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4.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LENOVO\Desktop\"/>
    </mc:Choice>
  </mc:AlternateContent>
  <xr:revisionPtr revIDLastSave="0" documentId="13_ncr:1_{4238E13E-7629-4559-93CD-6BB65767F66B}" xr6:coauthVersionLast="47" xr6:coauthVersionMax="47" xr10:uidLastSave="{00000000-0000-0000-0000-000000000000}"/>
  <bookViews>
    <workbookView xWindow="-108" yWindow="-108" windowWidth="23256" windowHeight="12456" activeTab="2" xr2:uid="{00000000-000D-0000-FFFF-FFFF00000000}"/>
  </bookViews>
  <sheets>
    <sheet name="HR_Data" sheetId="1" r:id="rId1"/>
    <sheet name="Pivot" sheetId="12" r:id="rId2"/>
    <sheet name="Executive Overview (DASH)" sheetId="3" r:id="rId3"/>
    <sheet name="Attrition &amp; Workforce" sheetId="4" r:id="rId4"/>
    <sheet name="Executive &amp; Manager" sheetId="8" r:id="rId5"/>
    <sheet name="Performance" sheetId="5" r:id="rId6"/>
    <sheet name="Compensation &amp; Salary" sheetId="6" r:id="rId7"/>
    <sheet name="Notes" sheetId="2" r:id="rId8"/>
  </sheets>
  <definedNames>
    <definedName name="Slicer_Attrition_Risk1">#N/A</definedName>
    <definedName name="Slicer_Business_Unit1">#N/A</definedName>
    <definedName name="Slicer_Department">#N/A</definedName>
    <definedName name="Slicer_Employment_Status1">#N/A</definedName>
    <definedName name="Slicer_Employment_Type1">#N/A</definedName>
    <definedName name="Slicer_Gender">#N/A</definedName>
    <definedName name="Slicer_Location">#N/A</definedName>
    <definedName name="Slicer_Promotion_Eligible1">#N/A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Lst>
</workbook>
</file>

<file path=xl/calcChain.xml><?xml version="1.0" encoding="utf-8"?>
<calcChain xmlns="http://schemas.openxmlformats.org/spreadsheetml/2006/main">
  <c r="C7" i="12" l="1"/>
  <c r="H12" i="12"/>
  <c r="H6" i="12"/>
  <c r="AB2" i="1"/>
  <c r="AA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H9" i="12"/>
  <c r="H3" i="12"/>
  <c r="C13" i="12"/>
  <c r="C11" i="12"/>
  <c r="C12" i="12"/>
  <c r="C35" i="5"/>
  <c r="C38" i="5"/>
  <c r="C6" i="12"/>
  <c r="C34" i="5"/>
  <c r="C5" i="12"/>
  <c r="C40" i="5"/>
  <c r="C30" i="5"/>
  <c r="C32" i="5"/>
  <c r="J20" i="12"/>
  <c r="C36" i="5"/>
  <c r="C31" i="5"/>
  <c r="C29" i="5"/>
  <c r="C9" i="12"/>
  <c r="C39" i="5"/>
  <c r="C37" i="5"/>
  <c r="C8" i="12"/>
  <c r="C33" i="5"/>
</calcChain>
</file>

<file path=xl/sharedStrings.xml><?xml version="1.0" encoding="utf-8"?>
<sst xmlns="http://schemas.openxmlformats.org/spreadsheetml/2006/main" count="15441" uniqueCount="4197">
  <si>
    <t>Employee_ID</t>
  </si>
  <si>
    <t>First_Name</t>
  </si>
  <si>
    <t>Last_Name</t>
  </si>
  <si>
    <t>Gender</t>
  </si>
  <si>
    <t>Age</t>
  </si>
  <si>
    <t>Department</t>
  </si>
  <si>
    <t>Job_Title</t>
  </si>
  <si>
    <t>Location</t>
  </si>
  <si>
    <t>Business_Unit</t>
  </si>
  <si>
    <t>Employment_Type</t>
  </si>
  <si>
    <t>Hire_Date</t>
  </si>
  <si>
    <t>Termination_Date</t>
  </si>
  <si>
    <t>Employment_Status</t>
  </si>
  <si>
    <t>Manager</t>
  </si>
  <si>
    <t>Education</t>
  </si>
  <si>
    <t>Experience_Years</t>
  </si>
  <si>
    <t>Salary_USD</t>
  </si>
  <si>
    <t>Bonus_%</t>
  </si>
  <si>
    <t>Performance_Rating</t>
  </si>
  <si>
    <t>Engagement_Score</t>
  </si>
  <si>
    <t>Absences</t>
  </si>
  <si>
    <t>Overtime_Hours</t>
  </si>
  <si>
    <t>Training_Hours</t>
  </si>
  <si>
    <t>Promotion_Eligible</t>
  </si>
  <si>
    <t>Attrition_Risk</t>
  </si>
  <si>
    <t>Tenure_Years</t>
  </si>
  <si>
    <t>E00001</t>
  </si>
  <si>
    <t>FN2</t>
  </si>
  <si>
    <t>LN2</t>
  </si>
  <si>
    <t>Male</t>
  </si>
  <si>
    <t>Operations</t>
  </si>
  <si>
    <t>Coordinator</t>
  </si>
  <si>
    <t>Bangalore</t>
  </si>
  <si>
    <t>Enterprise</t>
  </si>
  <si>
    <t>Contract</t>
  </si>
  <si>
    <t>2021-10-07</t>
  </si>
  <si>
    <t>Active</t>
  </si>
  <si>
    <t>M16</t>
  </si>
  <si>
    <t>MBA</t>
  </si>
  <si>
    <t>Yes</t>
  </si>
  <si>
    <t>High</t>
  </si>
  <si>
    <t>E00002</t>
  </si>
  <si>
    <t>FN3</t>
  </si>
  <si>
    <t>LN3</t>
  </si>
  <si>
    <t>Female</t>
  </si>
  <si>
    <t>Sales</t>
  </si>
  <si>
    <t>Sales Rep</t>
  </si>
  <si>
    <t>London</t>
  </si>
  <si>
    <t>Consumer</t>
  </si>
  <si>
    <t>Full-Time</t>
  </si>
  <si>
    <t>2025-08-12</t>
  </si>
  <si>
    <t>M19</t>
  </si>
  <si>
    <t>Master</t>
  </si>
  <si>
    <t>E00003</t>
  </si>
  <si>
    <t>FN4</t>
  </si>
  <si>
    <t>LN4</t>
  </si>
  <si>
    <t>Singapore</t>
  </si>
  <si>
    <t>Corporate</t>
  </si>
  <si>
    <t>2025-03-10</t>
  </si>
  <si>
    <t>M34</t>
  </si>
  <si>
    <t>Bachelor</t>
  </si>
  <si>
    <t>No</t>
  </si>
  <si>
    <t>Medium</t>
  </si>
  <si>
    <t>E00004</t>
  </si>
  <si>
    <t>FN5</t>
  </si>
  <si>
    <t>LN5</t>
  </si>
  <si>
    <t>New York</t>
  </si>
  <si>
    <t>2022-04-28</t>
  </si>
  <si>
    <t>M40</t>
  </si>
  <si>
    <t>E00005</t>
  </si>
  <si>
    <t>FN6</t>
  </si>
  <si>
    <t>LN6</t>
  </si>
  <si>
    <t>HR</t>
  </si>
  <si>
    <t>HRBP</t>
  </si>
  <si>
    <t>2021-03-30</t>
  </si>
  <si>
    <t>2023-05-21</t>
  </si>
  <si>
    <t>Terminated</t>
  </si>
  <si>
    <t>M24</t>
  </si>
  <si>
    <t>Low</t>
  </si>
  <si>
    <t>E00006</t>
  </si>
  <si>
    <t>FN7</t>
  </si>
  <si>
    <t>LN7</t>
  </si>
  <si>
    <t>Sales Manager</t>
  </si>
  <si>
    <t>Dubai</t>
  </si>
  <si>
    <t>2024-06-04</t>
  </si>
  <si>
    <t>2031-10-06</t>
  </si>
  <si>
    <t>M42</t>
  </si>
  <si>
    <t>E00007</t>
  </si>
  <si>
    <t>FN8</t>
  </si>
  <si>
    <t>LN8</t>
  </si>
  <si>
    <t>Marketing</t>
  </si>
  <si>
    <t>2020-08-20</t>
  </si>
  <si>
    <t>2022-03-22</t>
  </si>
  <si>
    <t>M53</t>
  </si>
  <si>
    <t>E00008</t>
  </si>
  <si>
    <t>FN9</t>
  </si>
  <si>
    <t>LN9</t>
  </si>
  <si>
    <t>HR Manager</t>
  </si>
  <si>
    <t>2025-10-25</t>
  </si>
  <si>
    <t>M43</t>
  </si>
  <si>
    <t>E00009</t>
  </si>
  <si>
    <t>FN10</t>
  </si>
  <si>
    <t>LN10</t>
  </si>
  <si>
    <t>IT</t>
  </si>
  <si>
    <t>Analyst</t>
  </si>
  <si>
    <t>2020-07-24</t>
  </si>
  <si>
    <t>M73</t>
  </si>
  <si>
    <t>E00010</t>
  </si>
  <si>
    <t>FN11</t>
  </si>
  <si>
    <t>LN11</t>
  </si>
  <si>
    <t>2022-01-07</t>
  </si>
  <si>
    <t>M11</t>
  </si>
  <si>
    <t>E00011</t>
  </si>
  <si>
    <t>FN12</t>
  </si>
  <si>
    <t>LN12</t>
  </si>
  <si>
    <t>2016-08-13</t>
  </si>
  <si>
    <t>E00012</t>
  </si>
  <si>
    <t>FN13</t>
  </si>
  <si>
    <t>LN13</t>
  </si>
  <si>
    <t>2021-10-12</t>
  </si>
  <si>
    <t>M77</t>
  </si>
  <si>
    <t>E00013</t>
  </si>
  <si>
    <t>FN14</t>
  </si>
  <si>
    <t>LN14</t>
  </si>
  <si>
    <t>Finance</t>
  </si>
  <si>
    <t>2019-03-21</t>
  </si>
  <si>
    <t>M74</t>
  </si>
  <si>
    <t>E00014</t>
  </si>
  <si>
    <t>FN15</t>
  </si>
  <si>
    <t>LN15</t>
  </si>
  <si>
    <t>2017-03-31</t>
  </si>
  <si>
    <t>M22</t>
  </si>
  <si>
    <t>E00015</t>
  </si>
  <si>
    <t>FN16</t>
  </si>
  <si>
    <t>LN16</t>
  </si>
  <si>
    <t>Recruiter</t>
  </si>
  <si>
    <t>2026-01-16</t>
  </si>
  <si>
    <t>M56</t>
  </si>
  <si>
    <t>E00016</t>
  </si>
  <si>
    <t>FN17</t>
  </si>
  <si>
    <t>LN17</t>
  </si>
  <si>
    <t>Accountant</t>
  </si>
  <si>
    <t>2025-03-27</t>
  </si>
  <si>
    <t>M30</t>
  </si>
  <si>
    <t>E00017</t>
  </si>
  <si>
    <t>FN18</t>
  </si>
  <si>
    <t>LN18</t>
  </si>
  <si>
    <t>Engineer</t>
  </si>
  <si>
    <t>2019-03-22</t>
  </si>
  <si>
    <t>M6</t>
  </si>
  <si>
    <t>E00018</t>
  </si>
  <si>
    <t>FN19</t>
  </si>
  <si>
    <t>LN19</t>
  </si>
  <si>
    <t>2016-08-03</t>
  </si>
  <si>
    <t>2024-02-15</t>
  </si>
  <si>
    <t>M75</t>
  </si>
  <si>
    <t>E00019</t>
  </si>
  <si>
    <t>FN20</t>
  </si>
  <si>
    <t>LN20</t>
  </si>
  <si>
    <t>2024-05-10</t>
  </si>
  <si>
    <t>E00020</t>
  </si>
  <si>
    <t>FN21</t>
  </si>
  <si>
    <t>LN21</t>
  </si>
  <si>
    <t>2021-10-03</t>
  </si>
  <si>
    <t>2025-03-06</t>
  </si>
  <si>
    <t>M63</t>
  </si>
  <si>
    <t>E00021</t>
  </si>
  <si>
    <t>FN22</t>
  </si>
  <si>
    <t>LN22</t>
  </si>
  <si>
    <t>2024-09-25</t>
  </si>
  <si>
    <t>M7</t>
  </si>
  <si>
    <t>E00022</t>
  </si>
  <si>
    <t>FN23</t>
  </si>
  <si>
    <t>LN23</t>
  </si>
  <si>
    <t>2018-12-07</t>
  </si>
  <si>
    <t>M28</t>
  </si>
  <si>
    <t>E00023</t>
  </si>
  <si>
    <t>FN24</t>
  </si>
  <si>
    <t>LN24</t>
  </si>
  <si>
    <t>2019-10-08</t>
  </si>
  <si>
    <t>M10</t>
  </si>
  <si>
    <t>E00024</t>
  </si>
  <si>
    <t>FN25</t>
  </si>
  <si>
    <t>LN25</t>
  </si>
  <si>
    <t>2019-07-26</t>
  </si>
  <si>
    <t>E00025</t>
  </si>
  <si>
    <t>FN26</t>
  </si>
  <si>
    <t>LN26</t>
  </si>
  <si>
    <t>2021-07-22</t>
  </si>
  <si>
    <t>M68</t>
  </si>
  <si>
    <t>E00026</t>
  </si>
  <si>
    <t>FN27</t>
  </si>
  <si>
    <t>LN27</t>
  </si>
  <si>
    <t>2017-09-14</t>
  </si>
  <si>
    <t>M15</t>
  </si>
  <si>
    <t>E00027</t>
  </si>
  <si>
    <t>FN28</t>
  </si>
  <si>
    <t>LN28</t>
  </si>
  <si>
    <t>2016-11-27</t>
  </si>
  <si>
    <t>M66</t>
  </si>
  <si>
    <t>E00028</t>
  </si>
  <si>
    <t>FN29</t>
  </si>
  <si>
    <t>LN29</t>
  </si>
  <si>
    <t>2017-11-12</t>
  </si>
  <si>
    <t>M45</t>
  </si>
  <si>
    <t>E00029</t>
  </si>
  <si>
    <t>FN30</t>
  </si>
  <si>
    <t>LN30</t>
  </si>
  <si>
    <t>2023-11-21</t>
  </si>
  <si>
    <t>M32</t>
  </si>
  <si>
    <t>E00030</t>
  </si>
  <si>
    <t>FN31</t>
  </si>
  <si>
    <t>LN31</t>
  </si>
  <si>
    <t>2025-04-16</t>
  </si>
  <si>
    <t>M70</t>
  </si>
  <si>
    <t>E00031</t>
  </si>
  <si>
    <t>FN32</t>
  </si>
  <si>
    <t>LN32</t>
  </si>
  <si>
    <t>2025-08-28</t>
  </si>
  <si>
    <t>M79</t>
  </si>
  <si>
    <t>E00032</t>
  </si>
  <si>
    <t>FN33</t>
  </si>
  <si>
    <t>LN33</t>
  </si>
  <si>
    <t>2023-08-28</t>
  </si>
  <si>
    <t>M18</t>
  </si>
  <si>
    <t>E00033</t>
  </si>
  <si>
    <t>FN34</t>
  </si>
  <si>
    <t>LN34</t>
  </si>
  <si>
    <t>2026-03-31</t>
  </si>
  <si>
    <t>M50</t>
  </si>
  <si>
    <t>E00034</t>
  </si>
  <si>
    <t>FN35</t>
  </si>
  <si>
    <t>LN35</t>
  </si>
  <si>
    <t>2018-02-03</t>
  </si>
  <si>
    <t>M21</t>
  </si>
  <si>
    <t>E00035</t>
  </si>
  <si>
    <t>FN36</t>
  </si>
  <si>
    <t>LN36</t>
  </si>
  <si>
    <t>2021-09-06</t>
  </si>
  <si>
    <t>E00036</t>
  </si>
  <si>
    <t>FN37</t>
  </si>
  <si>
    <t>LN37</t>
  </si>
  <si>
    <t>2020-11-23</t>
  </si>
  <si>
    <t>M48</t>
  </si>
  <si>
    <t>E00037</t>
  </si>
  <si>
    <t>FN38</t>
  </si>
  <si>
    <t>LN38</t>
  </si>
  <si>
    <t>2017-02-22</t>
  </si>
  <si>
    <t>M38</t>
  </si>
  <si>
    <t>E00038</t>
  </si>
  <si>
    <t>FN39</t>
  </si>
  <si>
    <t>LN39</t>
  </si>
  <si>
    <t>2025-08-10</t>
  </si>
  <si>
    <t>M61</t>
  </si>
  <si>
    <t>E00039</t>
  </si>
  <si>
    <t>FN40</t>
  </si>
  <si>
    <t>LN40</t>
  </si>
  <si>
    <t>2024-02-29</t>
  </si>
  <si>
    <t>M72</t>
  </si>
  <si>
    <t>E00040</t>
  </si>
  <si>
    <t>FN41</t>
  </si>
  <si>
    <t>LN41</t>
  </si>
  <si>
    <t>2017-06-10</t>
  </si>
  <si>
    <t>M4</t>
  </si>
  <si>
    <t>E00041</t>
  </si>
  <si>
    <t>FN42</t>
  </si>
  <si>
    <t>LN42</t>
  </si>
  <si>
    <t>2024-03-07</t>
  </si>
  <si>
    <t>M39</t>
  </si>
  <si>
    <t>E00042</t>
  </si>
  <si>
    <t>FN43</t>
  </si>
  <si>
    <t>LN43</t>
  </si>
  <si>
    <t>2025-08-29</t>
  </si>
  <si>
    <t>E00043</t>
  </si>
  <si>
    <t>FN44</t>
  </si>
  <si>
    <t>LN44</t>
  </si>
  <si>
    <t>2021-12-18</t>
  </si>
  <si>
    <t>M78</t>
  </si>
  <si>
    <t>E00044</t>
  </si>
  <si>
    <t>FN45</t>
  </si>
  <si>
    <t>LN45</t>
  </si>
  <si>
    <t>Specialist</t>
  </si>
  <si>
    <t>2024-02-01</t>
  </si>
  <si>
    <t>E00045</t>
  </si>
  <si>
    <t>FN46</t>
  </si>
  <si>
    <t>LN46</t>
  </si>
  <si>
    <t>M35</t>
  </si>
  <si>
    <t>E00046</t>
  </si>
  <si>
    <t>FN47</t>
  </si>
  <si>
    <t>LN47</t>
  </si>
  <si>
    <t>2020-07-22</t>
  </si>
  <si>
    <t>E00047</t>
  </si>
  <si>
    <t>FN48</t>
  </si>
  <si>
    <t>LN48</t>
  </si>
  <si>
    <t>2023-07-25</t>
  </si>
  <si>
    <t>M59</t>
  </si>
  <si>
    <t>E00048</t>
  </si>
  <si>
    <t>FN49</t>
  </si>
  <si>
    <t>LN49</t>
  </si>
  <si>
    <t>2024-05-08</t>
  </si>
  <si>
    <t>M14</t>
  </si>
  <si>
    <t>E00049</t>
  </si>
  <si>
    <t>FN50</t>
  </si>
  <si>
    <t>LN50</t>
  </si>
  <si>
    <t>2019-09-01</t>
  </si>
  <si>
    <t>E00050</t>
  </si>
  <si>
    <t>FN51</t>
  </si>
  <si>
    <t>LN51</t>
  </si>
  <si>
    <t>2024-01-19</t>
  </si>
  <si>
    <t>M23</t>
  </si>
  <si>
    <t>E00051</t>
  </si>
  <si>
    <t>FN52</t>
  </si>
  <si>
    <t>LN52</t>
  </si>
  <si>
    <t>2022-01-08</t>
  </si>
  <si>
    <t>M65</t>
  </si>
  <si>
    <t>E00052</t>
  </si>
  <si>
    <t>FN53</t>
  </si>
  <si>
    <t>LN53</t>
  </si>
  <si>
    <t>2018-02-01</t>
  </si>
  <si>
    <t>E00053</t>
  </si>
  <si>
    <t>FN54</t>
  </si>
  <si>
    <t>LN54</t>
  </si>
  <si>
    <t>2019-01-17</t>
  </si>
  <si>
    <t>M62</t>
  </si>
  <si>
    <t>E00054</t>
  </si>
  <si>
    <t>FN55</t>
  </si>
  <si>
    <t>LN55</t>
  </si>
  <si>
    <t>2018-09-10</t>
  </si>
  <si>
    <t>M51</t>
  </si>
  <si>
    <t>E00055</t>
  </si>
  <si>
    <t>FN56</t>
  </si>
  <si>
    <t>LN56</t>
  </si>
  <si>
    <t>2018-09-06</t>
  </si>
  <si>
    <t>M67</t>
  </si>
  <si>
    <t>E00056</t>
  </si>
  <si>
    <t>FN57</t>
  </si>
  <si>
    <t>LN57</t>
  </si>
  <si>
    <t>M8</t>
  </si>
  <si>
    <t>E00057</t>
  </si>
  <si>
    <t>FN58</t>
  </si>
  <si>
    <t>LN58</t>
  </si>
  <si>
    <t>2021-06-21</t>
  </si>
  <si>
    <t>M54</t>
  </si>
  <si>
    <t>E00058</t>
  </si>
  <si>
    <t>FN59</t>
  </si>
  <si>
    <t>LN59</t>
  </si>
  <si>
    <t>2018-10-21</t>
  </si>
  <si>
    <t>2021-09-01</t>
  </si>
  <si>
    <t>M9</t>
  </si>
  <si>
    <t>E00059</t>
  </si>
  <si>
    <t>FN60</t>
  </si>
  <si>
    <t>LN60</t>
  </si>
  <si>
    <t>2018-05-29</t>
  </si>
  <si>
    <t>M31</t>
  </si>
  <si>
    <t>E00060</t>
  </si>
  <si>
    <t>FN61</t>
  </si>
  <si>
    <t>LN61</t>
  </si>
  <si>
    <t>2020-04-04</t>
  </si>
  <si>
    <t>M20</t>
  </si>
  <si>
    <t>E00061</t>
  </si>
  <si>
    <t>FN62</t>
  </si>
  <si>
    <t>LN62</t>
  </si>
  <si>
    <t>2016-07-29</t>
  </si>
  <si>
    <t>E00062</t>
  </si>
  <si>
    <t>FN63</t>
  </si>
  <si>
    <t>LN63</t>
  </si>
  <si>
    <t>2019-04-13</t>
  </si>
  <si>
    <t>M2</t>
  </si>
  <si>
    <t>E00063</t>
  </si>
  <si>
    <t>FN64</t>
  </si>
  <si>
    <t>LN64</t>
  </si>
  <si>
    <t>2020-03-10</t>
  </si>
  <si>
    <t>E00064</t>
  </si>
  <si>
    <t>FN65</t>
  </si>
  <si>
    <t>LN65</t>
  </si>
  <si>
    <t>2026-02-22</t>
  </si>
  <si>
    <t>E00065</t>
  </si>
  <si>
    <t>FN66</t>
  </si>
  <si>
    <t>LN66</t>
  </si>
  <si>
    <t>2023-08-24</t>
  </si>
  <si>
    <t>M26</t>
  </si>
  <si>
    <t>E00066</t>
  </si>
  <si>
    <t>FN67</t>
  </si>
  <si>
    <t>LN67</t>
  </si>
  <si>
    <t>2020-07-17</t>
  </si>
  <si>
    <t>M80</t>
  </si>
  <si>
    <t>E00067</t>
  </si>
  <si>
    <t>FN68</t>
  </si>
  <si>
    <t>LN68</t>
  </si>
  <si>
    <t>2016-12-09</t>
  </si>
  <si>
    <t>2023-10-29</t>
  </si>
  <si>
    <t>E00068</t>
  </si>
  <si>
    <t>FN69</t>
  </si>
  <si>
    <t>LN69</t>
  </si>
  <si>
    <t>2024-05-30</t>
  </si>
  <si>
    <t>M44</t>
  </si>
  <si>
    <t>E00069</t>
  </si>
  <si>
    <t>FN70</t>
  </si>
  <si>
    <t>LN70</t>
  </si>
  <si>
    <t>2016-05-26</t>
  </si>
  <si>
    <t>E00070</t>
  </si>
  <si>
    <t>FN71</t>
  </si>
  <si>
    <t>LN71</t>
  </si>
  <si>
    <t>2019-08-25</t>
  </si>
  <si>
    <t>E00071</t>
  </si>
  <si>
    <t>FN72</t>
  </si>
  <si>
    <t>LN72</t>
  </si>
  <si>
    <t>2021-05-25</t>
  </si>
  <si>
    <t>E00072</t>
  </si>
  <si>
    <t>FN73</t>
  </si>
  <si>
    <t>LN73</t>
  </si>
  <si>
    <t>2018-12-18</t>
  </si>
  <si>
    <t>E00073</t>
  </si>
  <si>
    <t>FN74</t>
  </si>
  <si>
    <t>LN74</t>
  </si>
  <si>
    <t>E00074</t>
  </si>
  <si>
    <t>FN75</t>
  </si>
  <si>
    <t>LN75</t>
  </si>
  <si>
    <t>2017-05-19</t>
  </si>
  <si>
    <t>M57</t>
  </si>
  <si>
    <t>E00075</t>
  </si>
  <si>
    <t>FN76</t>
  </si>
  <si>
    <t>LN76</t>
  </si>
  <si>
    <t>E00076</t>
  </si>
  <si>
    <t>FN77</t>
  </si>
  <si>
    <t>LN77</t>
  </si>
  <si>
    <t>2023-04-08</t>
  </si>
  <si>
    <t>E00077</t>
  </si>
  <si>
    <t>FN78</t>
  </si>
  <si>
    <t>LN78</t>
  </si>
  <si>
    <t>2022-06-06</t>
  </si>
  <si>
    <t>E00078</t>
  </si>
  <si>
    <t>FN79</t>
  </si>
  <si>
    <t>LN79</t>
  </si>
  <si>
    <t>2018-01-13</t>
  </si>
  <si>
    <t>E00079</t>
  </si>
  <si>
    <t>FN80</t>
  </si>
  <si>
    <t>LN80</t>
  </si>
  <si>
    <t>2017-05-17</t>
  </si>
  <si>
    <t>2025-06-19</t>
  </si>
  <si>
    <t>E00080</t>
  </si>
  <si>
    <t>FN81</t>
  </si>
  <si>
    <t>LN81</t>
  </si>
  <si>
    <t>2025-03-15</t>
  </si>
  <si>
    <t>E00081</t>
  </si>
  <si>
    <t>FN82</t>
  </si>
  <si>
    <t>LN82</t>
  </si>
  <si>
    <t>2021-06-13</t>
  </si>
  <si>
    <t>E00082</t>
  </si>
  <si>
    <t>FN83</t>
  </si>
  <si>
    <t>LN83</t>
  </si>
  <si>
    <t>2021-03-16</t>
  </si>
  <si>
    <t>E00083</t>
  </si>
  <si>
    <t>FN84</t>
  </si>
  <si>
    <t>LN84</t>
  </si>
  <si>
    <t>2021-01-18</t>
  </si>
  <si>
    <t>E00084</t>
  </si>
  <si>
    <t>FN85</t>
  </si>
  <si>
    <t>LN85</t>
  </si>
  <si>
    <t>2018-10-24</t>
  </si>
  <si>
    <t>E00085</t>
  </si>
  <si>
    <t>FN86</t>
  </si>
  <si>
    <t>LN86</t>
  </si>
  <si>
    <t>2019-12-06</t>
  </si>
  <si>
    <t>2021-01-05</t>
  </si>
  <si>
    <t>E00086</t>
  </si>
  <si>
    <t>FN87</t>
  </si>
  <si>
    <t>LN87</t>
  </si>
  <si>
    <t>2025-08-22</t>
  </si>
  <si>
    <t>M5</t>
  </si>
  <si>
    <t>E00087</t>
  </si>
  <si>
    <t>FN88</t>
  </si>
  <si>
    <t>LN88</t>
  </si>
  <si>
    <t>2022-02-26</t>
  </si>
  <si>
    <t>E00088</t>
  </si>
  <si>
    <t>FN89</t>
  </si>
  <si>
    <t>LN89</t>
  </si>
  <si>
    <t>2021-07-15</t>
  </si>
  <si>
    <t>E00089</t>
  </si>
  <si>
    <t>FN90</t>
  </si>
  <si>
    <t>LN90</t>
  </si>
  <si>
    <t>2022-12-09</t>
  </si>
  <si>
    <t>E00090</t>
  </si>
  <si>
    <t>FN91</t>
  </si>
  <si>
    <t>LN91</t>
  </si>
  <si>
    <t>2019-09-20</t>
  </si>
  <si>
    <t>2024-03-09</t>
  </si>
  <si>
    <t>E00091</t>
  </si>
  <si>
    <t>FN92</t>
  </si>
  <si>
    <t>LN92</t>
  </si>
  <si>
    <t>2016-06-07</t>
  </si>
  <si>
    <t>M52</t>
  </si>
  <si>
    <t>E00092</t>
  </si>
  <si>
    <t>FN93</t>
  </si>
  <si>
    <t>LN93</t>
  </si>
  <si>
    <t>2016-12-30</t>
  </si>
  <si>
    <t>E00093</t>
  </si>
  <si>
    <t>FN94</t>
  </si>
  <si>
    <t>LN94</t>
  </si>
  <si>
    <t>2024-03-14</t>
  </si>
  <si>
    <t>2029-10-26</t>
  </si>
  <si>
    <t>E00094</t>
  </si>
  <si>
    <t>FN95</t>
  </si>
  <si>
    <t>LN95</t>
  </si>
  <si>
    <t>2022-04-08</t>
  </si>
  <si>
    <t>M69</t>
  </si>
  <si>
    <t>E00095</t>
  </si>
  <si>
    <t>FN96</t>
  </si>
  <si>
    <t>LN96</t>
  </si>
  <si>
    <t>2025-03-25</t>
  </si>
  <si>
    <t>M71</t>
  </si>
  <si>
    <t>E00096</t>
  </si>
  <si>
    <t>FN97</t>
  </si>
  <si>
    <t>LN97</t>
  </si>
  <si>
    <t>2023-06-10</t>
  </si>
  <si>
    <t>E00097</t>
  </si>
  <si>
    <t>FN98</t>
  </si>
  <si>
    <t>LN98</t>
  </si>
  <si>
    <t>2024-04-03</t>
  </si>
  <si>
    <t>E00098</t>
  </si>
  <si>
    <t>FN99</t>
  </si>
  <si>
    <t>LN99</t>
  </si>
  <si>
    <t>2019-09-21</t>
  </si>
  <si>
    <t>E00099</t>
  </si>
  <si>
    <t>FN100</t>
  </si>
  <si>
    <t>LN100</t>
  </si>
  <si>
    <t>2020-10-11</t>
  </si>
  <si>
    <t>M58</t>
  </si>
  <si>
    <t>E00100</t>
  </si>
  <si>
    <t>FN101</t>
  </si>
  <si>
    <t>LN101</t>
  </si>
  <si>
    <t>2016-10-30</t>
  </si>
  <si>
    <t>E00101</t>
  </si>
  <si>
    <t>FN102</t>
  </si>
  <si>
    <t>LN102</t>
  </si>
  <si>
    <t>2022-04-29</t>
  </si>
  <si>
    <t>M60</t>
  </si>
  <si>
    <t>E00102</t>
  </si>
  <si>
    <t>FN103</t>
  </si>
  <si>
    <t>LN103</t>
  </si>
  <si>
    <t>2026-05-12</t>
  </si>
  <si>
    <t>E00103</t>
  </si>
  <si>
    <t>FN104</t>
  </si>
  <si>
    <t>LN104</t>
  </si>
  <si>
    <t>2018-04-29</t>
  </si>
  <si>
    <t>2025-09-26</t>
  </si>
  <si>
    <t>E00104</t>
  </si>
  <si>
    <t>FN105</t>
  </si>
  <si>
    <t>LN105</t>
  </si>
  <si>
    <t>2017-12-14</t>
  </si>
  <si>
    <t>M12</t>
  </si>
  <si>
    <t>E00105</t>
  </si>
  <si>
    <t>FN106</t>
  </si>
  <si>
    <t>LN106</t>
  </si>
  <si>
    <t>2025-09-27</t>
  </si>
  <si>
    <t>2029-08-21</t>
  </si>
  <si>
    <t>E00106</t>
  </si>
  <si>
    <t>FN107</t>
  </si>
  <si>
    <t>LN107</t>
  </si>
  <si>
    <t>2025-05-03</t>
  </si>
  <si>
    <t>E00107</t>
  </si>
  <si>
    <t>FN108</t>
  </si>
  <si>
    <t>LN108</t>
  </si>
  <si>
    <t>2024-10-05</t>
  </si>
  <si>
    <t>E00108</t>
  </si>
  <si>
    <t>FN109</t>
  </si>
  <si>
    <t>LN109</t>
  </si>
  <si>
    <t>2020-03-21</t>
  </si>
  <si>
    <t>E00109</t>
  </si>
  <si>
    <t>FN110</t>
  </si>
  <si>
    <t>LN110</t>
  </si>
  <si>
    <t>2019-09-14</t>
  </si>
  <si>
    <t>E00110</t>
  </si>
  <si>
    <t>FN111</t>
  </si>
  <si>
    <t>LN111</t>
  </si>
  <si>
    <t>2025-02-20</t>
  </si>
  <si>
    <t>E00111</t>
  </si>
  <si>
    <t>FN112</t>
  </si>
  <si>
    <t>LN112</t>
  </si>
  <si>
    <t>2017-08-28</t>
  </si>
  <si>
    <t>E00112</t>
  </si>
  <si>
    <t>FN113</t>
  </si>
  <si>
    <t>LN113</t>
  </si>
  <si>
    <t>2024-08-07</t>
  </si>
  <si>
    <t>E00113</t>
  </si>
  <si>
    <t>FN114</t>
  </si>
  <si>
    <t>LN114</t>
  </si>
  <si>
    <t>2018-03-09</t>
  </si>
  <si>
    <t>M25</t>
  </si>
  <si>
    <t>E00114</t>
  </si>
  <si>
    <t>FN115</t>
  </si>
  <si>
    <t>LN115</t>
  </si>
  <si>
    <t>2024-09-09</t>
  </si>
  <si>
    <t>M64</t>
  </si>
  <si>
    <t>E00115</t>
  </si>
  <si>
    <t>FN116</t>
  </si>
  <si>
    <t>LN116</t>
  </si>
  <si>
    <t>E00116</t>
  </si>
  <si>
    <t>FN117</t>
  </si>
  <si>
    <t>LN117</t>
  </si>
  <si>
    <t>2017-12-07</t>
  </si>
  <si>
    <t>E00117</t>
  </si>
  <si>
    <t>FN118</t>
  </si>
  <si>
    <t>LN118</t>
  </si>
  <si>
    <t>2018-02-13</t>
  </si>
  <si>
    <t>M29</t>
  </si>
  <si>
    <t>E00118</t>
  </si>
  <si>
    <t>FN119</t>
  </si>
  <si>
    <t>LN119</t>
  </si>
  <si>
    <t>2020-02-24</t>
  </si>
  <si>
    <t>E00119</t>
  </si>
  <si>
    <t>FN120</t>
  </si>
  <si>
    <t>LN120</t>
  </si>
  <si>
    <t>2025-01-16</t>
  </si>
  <si>
    <t>E00120</t>
  </si>
  <si>
    <t>FN121</t>
  </si>
  <si>
    <t>LN121</t>
  </si>
  <si>
    <t>2025-08-04</t>
  </si>
  <si>
    <t>E00121</t>
  </si>
  <si>
    <t>FN122</t>
  </si>
  <si>
    <t>LN122</t>
  </si>
  <si>
    <t>2017-06-24</t>
  </si>
  <si>
    <t>2021-06-17</t>
  </si>
  <si>
    <t>E00122</t>
  </si>
  <si>
    <t>FN123</t>
  </si>
  <si>
    <t>LN123</t>
  </si>
  <si>
    <t>2021-03-23</t>
  </si>
  <si>
    <t>E00123</t>
  </si>
  <si>
    <t>FN124</t>
  </si>
  <si>
    <t>LN124</t>
  </si>
  <si>
    <t>2025-04-21</t>
  </si>
  <si>
    <t>M27</t>
  </si>
  <si>
    <t>E00124</t>
  </si>
  <si>
    <t>FN125</t>
  </si>
  <si>
    <t>LN125</t>
  </si>
  <si>
    <t>2026-02-19</t>
  </si>
  <si>
    <t>E00125</t>
  </si>
  <si>
    <t>FN126</t>
  </si>
  <si>
    <t>LN126</t>
  </si>
  <si>
    <t>2022-05-30</t>
  </si>
  <si>
    <t>2025-01-11</t>
  </si>
  <si>
    <t>E00126</t>
  </si>
  <si>
    <t>FN127</t>
  </si>
  <si>
    <t>LN127</t>
  </si>
  <si>
    <t>2022-10-29</t>
  </si>
  <si>
    <t>E00127</t>
  </si>
  <si>
    <t>FN128</t>
  </si>
  <si>
    <t>LN128</t>
  </si>
  <si>
    <t>2021-04-06</t>
  </si>
  <si>
    <t>E00128</t>
  </si>
  <si>
    <t>FN129</t>
  </si>
  <si>
    <t>LN129</t>
  </si>
  <si>
    <t>2017-01-17</t>
  </si>
  <si>
    <t>2024-04-09</t>
  </si>
  <si>
    <t>M13</t>
  </si>
  <si>
    <t>E00129</t>
  </si>
  <si>
    <t>FN130</t>
  </si>
  <si>
    <t>LN130</t>
  </si>
  <si>
    <t>2019-03-14</t>
  </si>
  <si>
    <t>M36</t>
  </si>
  <si>
    <t>E00130</t>
  </si>
  <si>
    <t>FN131</t>
  </si>
  <si>
    <t>LN131</t>
  </si>
  <si>
    <t>2020-05-12</t>
  </si>
  <si>
    <t>2025-01-27</t>
  </si>
  <si>
    <t>E00131</t>
  </si>
  <si>
    <t>FN132</t>
  </si>
  <si>
    <t>LN132</t>
  </si>
  <si>
    <t>2025-10-31</t>
  </si>
  <si>
    <t>M33</t>
  </si>
  <si>
    <t>E00132</t>
  </si>
  <si>
    <t>FN133</t>
  </si>
  <si>
    <t>LN133</t>
  </si>
  <si>
    <t>2021-04-23</t>
  </si>
  <si>
    <t>E00133</t>
  </si>
  <si>
    <t>FN134</t>
  </si>
  <si>
    <t>LN134</t>
  </si>
  <si>
    <t>2016-12-13</t>
  </si>
  <si>
    <t>E00134</t>
  </si>
  <si>
    <t>FN135</t>
  </si>
  <si>
    <t>LN135</t>
  </si>
  <si>
    <t>2016-07-19</t>
  </si>
  <si>
    <t>E00135</t>
  </si>
  <si>
    <t>FN136</t>
  </si>
  <si>
    <t>LN136</t>
  </si>
  <si>
    <t>2017-03-03</t>
  </si>
  <si>
    <t>E00136</t>
  </si>
  <si>
    <t>FN137</t>
  </si>
  <si>
    <t>LN137</t>
  </si>
  <si>
    <t>2019-08-21</t>
  </si>
  <si>
    <t>2026-07-22</t>
  </si>
  <si>
    <t>M47</t>
  </si>
  <si>
    <t>E00137</t>
  </si>
  <si>
    <t>FN138</t>
  </si>
  <si>
    <t>LN138</t>
  </si>
  <si>
    <t>2023-03-27</t>
  </si>
  <si>
    <t>E00138</t>
  </si>
  <si>
    <t>FN139</t>
  </si>
  <si>
    <t>LN139</t>
  </si>
  <si>
    <t>2022-01-13</t>
  </si>
  <si>
    <t>E00139</t>
  </si>
  <si>
    <t>FN140</t>
  </si>
  <si>
    <t>LN140</t>
  </si>
  <si>
    <t>E00140</t>
  </si>
  <si>
    <t>FN141</t>
  </si>
  <si>
    <t>LN141</t>
  </si>
  <si>
    <t>2026-03-02</t>
  </si>
  <si>
    <t>E00141</t>
  </si>
  <si>
    <t>FN142</t>
  </si>
  <si>
    <t>LN142</t>
  </si>
  <si>
    <t>2016-08-12</t>
  </si>
  <si>
    <t>E00142</t>
  </si>
  <si>
    <t>FN143</t>
  </si>
  <si>
    <t>LN143</t>
  </si>
  <si>
    <t>2031-12-01</t>
  </si>
  <si>
    <t>E00143</t>
  </si>
  <si>
    <t>FN144</t>
  </si>
  <si>
    <t>LN144</t>
  </si>
  <si>
    <t>2018-02-28</t>
  </si>
  <si>
    <t>E00144</t>
  </si>
  <si>
    <t>FN145</t>
  </si>
  <si>
    <t>LN145</t>
  </si>
  <si>
    <t>2016-07-27</t>
  </si>
  <si>
    <t>E00145</t>
  </si>
  <si>
    <t>FN146</t>
  </si>
  <si>
    <t>LN146</t>
  </si>
  <si>
    <t>2017-08-01</t>
  </si>
  <si>
    <t>E00146</t>
  </si>
  <si>
    <t>FN147</t>
  </si>
  <si>
    <t>LN147</t>
  </si>
  <si>
    <t>2021-10-22</t>
  </si>
  <si>
    <t>M37</t>
  </si>
  <si>
    <t>E00147</t>
  </si>
  <si>
    <t>FN148</t>
  </si>
  <si>
    <t>LN148</t>
  </si>
  <si>
    <t>2019-05-16</t>
  </si>
  <si>
    <t>E00148</t>
  </si>
  <si>
    <t>FN149</t>
  </si>
  <si>
    <t>LN149</t>
  </si>
  <si>
    <t>2023-01-28</t>
  </si>
  <si>
    <t>E00149</t>
  </si>
  <si>
    <t>FN150</t>
  </si>
  <si>
    <t>LN150</t>
  </si>
  <si>
    <t>2017-07-08</t>
  </si>
  <si>
    <t>E00150</t>
  </si>
  <si>
    <t>FN151</t>
  </si>
  <si>
    <t>LN151</t>
  </si>
  <si>
    <t>2017-08-07</t>
  </si>
  <si>
    <t>E00151</t>
  </si>
  <si>
    <t>FN152</t>
  </si>
  <si>
    <t>LN152</t>
  </si>
  <si>
    <t>2019-12-23</t>
  </si>
  <si>
    <t>E00152</t>
  </si>
  <si>
    <t>FN153</t>
  </si>
  <si>
    <t>LN153</t>
  </si>
  <si>
    <t>2024-02-22</t>
  </si>
  <si>
    <t>E00153</t>
  </si>
  <si>
    <t>FN154</t>
  </si>
  <si>
    <t>LN154</t>
  </si>
  <si>
    <t>2022-07-10</t>
  </si>
  <si>
    <t>E00154</t>
  </si>
  <si>
    <t>FN155</t>
  </si>
  <si>
    <t>LN155</t>
  </si>
  <si>
    <t>2021-11-13</t>
  </si>
  <si>
    <t>E00155</t>
  </si>
  <si>
    <t>FN156</t>
  </si>
  <si>
    <t>LN156</t>
  </si>
  <si>
    <t>2023-10-08</t>
  </si>
  <si>
    <t>E00156</t>
  </si>
  <si>
    <t>FN157</t>
  </si>
  <si>
    <t>LN157</t>
  </si>
  <si>
    <t>2017-03-28</t>
  </si>
  <si>
    <t>E00157</t>
  </si>
  <si>
    <t>FN158</t>
  </si>
  <si>
    <t>LN158</t>
  </si>
  <si>
    <t>2022-03-20</t>
  </si>
  <si>
    <t>E00158</t>
  </si>
  <si>
    <t>FN159</t>
  </si>
  <si>
    <t>LN159</t>
  </si>
  <si>
    <t>2022-11-10</t>
  </si>
  <si>
    <t>E00159</t>
  </si>
  <si>
    <t>FN160</t>
  </si>
  <si>
    <t>LN160</t>
  </si>
  <si>
    <t>2024-01-27</t>
  </si>
  <si>
    <t>E00160</t>
  </si>
  <si>
    <t>FN161</t>
  </si>
  <si>
    <t>LN161</t>
  </si>
  <si>
    <t>2018-05-04</t>
  </si>
  <si>
    <t>2021-02-28</t>
  </si>
  <si>
    <t>E00161</t>
  </si>
  <si>
    <t>FN162</t>
  </si>
  <si>
    <t>LN162</t>
  </si>
  <si>
    <t>2022-03-14</t>
  </si>
  <si>
    <t>E00162</t>
  </si>
  <si>
    <t>FN163</t>
  </si>
  <si>
    <t>LN163</t>
  </si>
  <si>
    <t>2022-11-17</t>
  </si>
  <si>
    <t>E00163</t>
  </si>
  <si>
    <t>FN164</t>
  </si>
  <si>
    <t>LN164</t>
  </si>
  <si>
    <t>2020-02-09</t>
  </si>
  <si>
    <t>E00164</t>
  </si>
  <si>
    <t>FN165</t>
  </si>
  <si>
    <t>LN165</t>
  </si>
  <si>
    <t>2022-04-22</t>
  </si>
  <si>
    <t>E00165</t>
  </si>
  <si>
    <t>FN166</t>
  </si>
  <si>
    <t>LN166</t>
  </si>
  <si>
    <t>2021-11-12</t>
  </si>
  <si>
    <t>E00166</t>
  </si>
  <si>
    <t>FN167</t>
  </si>
  <si>
    <t>LN167</t>
  </si>
  <si>
    <t>2018-02-16</t>
  </si>
  <si>
    <t>E00167</t>
  </si>
  <si>
    <t>FN168</t>
  </si>
  <si>
    <t>LN168</t>
  </si>
  <si>
    <t>2021-05-05</t>
  </si>
  <si>
    <t>E00168</t>
  </si>
  <si>
    <t>FN169</t>
  </si>
  <si>
    <t>LN169</t>
  </si>
  <si>
    <t>2019-03-20</t>
  </si>
  <si>
    <t>2026-06-02</t>
  </si>
  <si>
    <t>E00169</t>
  </si>
  <si>
    <t>FN170</t>
  </si>
  <si>
    <t>LN170</t>
  </si>
  <si>
    <t>2019-01-18</t>
  </si>
  <si>
    <t>E00170</t>
  </si>
  <si>
    <t>FN171</t>
  </si>
  <si>
    <t>LN171</t>
  </si>
  <si>
    <t>2016-08-09</t>
  </si>
  <si>
    <t>E00171</t>
  </si>
  <si>
    <t>FN172</t>
  </si>
  <si>
    <t>LN172</t>
  </si>
  <si>
    <t>2017-04-17</t>
  </si>
  <si>
    <t>E00172</t>
  </si>
  <si>
    <t>FN173</t>
  </si>
  <si>
    <t>LN173</t>
  </si>
  <si>
    <t>2016-10-01</t>
  </si>
  <si>
    <t>E00173</t>
  </si>
  <si>
    <t>FN174</t>
  </si>
  <si>
    <t>LN174</t>
  </si>
  <si>
    <t>2019-11-08</t>
  </si>
  <si>
    <t>E00174</t>
  </si>
  <si>
    <t>FN175</t>
  </si>
  <si>
    <t>LN175</t>
  </si>
  <si>
    <t>2024-03-19</t>
  </si>
  <si>
    <t>E00175</t>
  </si>
  <si>
    <t>FN176</t>
  </si>
  <si>
    <t>LN176</t>
  </si>
  <si>
    <t>2025-09-09</t>
  </si>
  <si>
    <t>E00176</t>
  </si>
  <si>
    <t>FN177</t>
  </si>
  <si>
    <t>LN177</t>
  </si>
  <si>
    <t>2016-10-03</t>
  </si>
  <si>
    <t>E00177</t>
  </si>
  <si>
    <t>FN178</t>
  </si>
  <si>
    <t>LN178</t>
  </si>
  <si>
    <t>2022-12-27</t>
  </si>
  <si>
    <t>M49</t>
  </si>
  <si>
    <t>E00178</t>
  </si>
  <si>
    <t>FN179</t>
  </si>
  <si>
    <t>LN179</t>
  </si>
  <si>
    <t>2021-08-05</t>
  </si>
  <si>
    <t>E00179</t>
  </si>
  <si>
    <t>FN180</t>
  </si>
  <si>
    <t>LN180</t>
  </si>
  <si>
    <t>2022-01-23</t>
  </si>
  <si>
    <t>E00180</t>
  </si>
  <si>
    <t>FN181</t>
  </si>
  <si>
    <t>LN181</t>
  </si>
  <si>
    <t>2016-04-01</t>
  </si>
  <si>
    <t>E00181</t>
  </si>
  <si>
    <t>FN182</t>
  </si>
  <si>
    <t>LN182</t>
  </si>
  <si>
    <t>2021-06-02</t>
  </si>
  <si>
    <t>E00182</t>
  </si>
  <si>
    <t>FN183</t>
  </si>
  <si>
    <t>LN183</t>
  </si>
  <si>
    <t>2024-03-06</t>
  </si>
  <si>
    <t>E00183</t>
  </si>
  <si>
    <t>FN184</t>
  </si>
  <si>
    <t>LN184</t>
  </si>
  <si>
    <t>2023-10-30</t>
  </si>
  <si>
    <t>E00184</t>
  </si>
  <si>
    <t>FN185</t>
  </si>
  <si>
    <t>LN185</t>
  </si>
  <si>
    <t>2025-07-22</t>
  </si>
  <si>
    <t>E00185</t>
  </si>
  <si>
    <t>FN186</t>
  </si>
  <si>
    <t>LN186</t>
  </si>
  <si>
    <t>2016-02-22</t>
  </si>
  <si>
    <t>2017-07-14</t>
  </si>
  <si>
    <t>E00186</t>
  </si>
  <si>
    <t>FN187</t>
  </si>
  <si>
    <t>LN187</t>
  </si>
  <si>
    <t>2018-02-20</t>
  </si>
  <si>
    <t>M76</t>
  </si>
  <si>
    <t>E00187</t>
  </si>
  <si>
    <t>FN188</t>
  </si>
  <si>
    <t>LN188</t>
  </si>
  <si>
    <t>2018-02-07</t>
  </si>
  <si>
    <t>E00188</t>
  </si>
  <si>
    <t>FN189</t>
  </si>
  <si>
    <t>LN189</t>
  </si>
  <si>
    <t>2020-07-18</t>
  </si>
  <si>
    <t>E00189</t>
  </si>
  <si>
    <t>FN190</t>
  </si>
  <si>
    <t>LN190</t>
  </si>
  <si>
    <t>2020-07-30</t>
  </si>
  <si>
    <t>E00190</t>
  </si>
  <si>
    <t>FN191</t>
  </si>
  <si>
    <t>LN191</t>
  </si>
  <si>
    <t>2017-08-10</t>
  </si>
  <si>
    <t>E00191</t>
  </si>
  <si>
    <t>FN192</t>
  </si>
  <si>
    <t>LN192</t>
  </si>
  <si>
    <t>E00192</t>
  </si>
  <si>
    <t>FN193</t>
  </si>
  <si>
    <t>LN193</t>
  </si>
  <si>
    <t>E00193</t>
  </si>
  <si>
    <t>FN194</t>
  </si>
  <si>
    <t>LN194</t>
  </si>
  <si>
    <t>2025-08-25</t>
  </si>
  <si>
    <t>E00194</t>
  </si>
  <si>
    <t>FN195</t>
  </si>
  <si>
    <t>LN195</t>
  </si>
  <si>
    <t>2017-06-08</t>
  </si>
  <si>
    <t>E00195</t>
  </si>
  <si>
    <t>FN196</t>
  </si>
  <si>
    <t>LN196</t>
  </si>
  <si>
    <t>2019-11-21</t>
  </si>
  <si>
    <t>E00196</t>
  </si>
  <si>
    <t>FN197</t>
  </si>
  <si>
    <t>LN197</t>
  </si>
  <si>
    <t>2022-06-05</t>
  </si>
  <si>
    <t>E00197</t>
  </si>
  <si>
    <t>FN198</t>
  </si>
  <si>
    <t>LN198</t>
  </si>
  <si>
    <t>E00198</t>
  </si>
  <si>
    <t>FN199</t>
  </si>
  <si>
    <t>LN199</t>
  </si>
  <si>
    <t>2020-03-14</t>
  </si>
  <si>
    <t>E00199</t>
  </si>
  <si>
    <t>FN200</t>
  </si>
  <si>
    <t>LN200</t>
  </si>
  <si>
    <t>2018-04-05</t>
  </si>
  <si>
    <t>2025-11-12</t>
  </si>
  <si>
    <t>E00200</t>
  </si>
  <si>
    <t>FN201</t>
  </si>
  <si>
    <t>LN201</t>
  </si>
  <si>
    <t>2026-05-16</t>
  </si>
  <si>
    <t>E00201</t>
  </si>
  <si>
    <t>FN202</t>
  </si>
  <si>
    <t>LN202</t>
  </si>
  <si>
    <t>2021-10-11</t>
  </si>
  <si>
    <t>E00202</t>
  </si>
  <si>
    <t>FN203</t>
  </si>
  <si>
    <t>LN203</t>
  </si>
  <si>
    <t>2024-01-03</t>
  </si>
  <si>
    <t>E00203</t>
  </si>
  <si>
    <t>FN204</t>
  </si>
  <si>
    <t>LN204</t>
  </si>
  <si>
    <t>2021-05-12</t>
  </si>
  <si>
    <t>E00204</t>
  </si>
  <si>
    <t>FN205</t>
  </si>
  <si>
    <t>LN205</t>
  </si>
  <si>
    <t>2019-03-04</t>
  </si>
  <si>
    <t>E00205</t>
  </si>
  <si>
    <t>FN206</t>
  </si>
  <si>
    <t>LN206</t>
  </si>
  <si>
    <t>2024-01-30</t>
  </si>
  <si>
    <t>E00206</t>
  </si>
  <si>
    <t>FN207</t>
  </si>
  <si>
    <t>LN207</t>
  </si>
  <si>
    <t>2021-12-06</t>
  </si>
  <si>
    <t>E00207</t>
  </si>
  <si>
    <t>FN208</t>
  </si>
  <si>
    <t>LN208</t>
  </si>
  <si>
    <t>2025-10-28</t>
  </si>
  <si>
    <t>2032-06-24</t>
  </si>
  <si>
    <t>E00208</t>
  </si>
  <si>
    <t>FN209</t>
  </si>
  <si>
    <t>LN209</t>
  </si>
  <si>
    <t>2019-01-11</t>
  </si>
  <si>
    <t>E00209</t>
  </si>
  <si>
    <t>FN210</t>
  </si>
  <si>
    <t>LN210</t>
  </si>
  <si>
    <t>2018-03-20</t>
  </si>
  <si>
    <t>E00210</t>
  </si>
  <si>
    <t>FN211</t>
  </si>
  <si>
    <t>LN211</t>
  </si>
  <si>
    <t>2024-08-29</t>
  </si>
  <si>
    <t>E00211</t>
  </si>
  <si>
    <t>FN212</t>
  </si>
  <si>
    <t>LN212</t>
  </si>
  <si>
    <t>2016-10-24</t>
  </si>
  <si>
    <t>E00212</t>
  </si>
  <si>
    <t>FN213</t>
  </si>
  <si>
    <t>LN213</t>
  </si>
  <si>
    <t>2022-06-09</t>
  </si>
  <si>
    <t>E00213</t>
  </si>
  <si>
    <t>FN214</t>
  </si>
  <si>
    <t>LN214</t>
  </si>
  <si>
    <t>2022-11-09</t>
  </si>
  <si>
    <t>E00214</t>
  </si>
  <si>
    <t>FN215</t>
  </si>
  <si>
    <t>LN215</t>
  </si>
  <si>
    <t>2023-08-27</t>
  </si>
  <si>
    <t>E00215</t>
  </si>
  <si>
    <t>FN216</t>
  </si>
  <si>
    <t>LN216</t>
  </si>
  <si>
    <t>2024-01-05</t>
  </si>
  <si>
    <t>E00216</t>
  </si>
  <si>
    <t>FN217</t>
  </si>
  <si>
    <t>LN217</t>
  </si>
  <si>
    <t>2023-11-07</t>
  </si>
  <si>
    <t>E00217</t>
  </si>
  <si>
    <t>FN218</t>
  </si>
  <si>
    <t>LN218</t>
  </si>
  <si>
    <t>2019-04-03</t>
  </si>
  <si>
    <t>E00218</t>
  </si>
  <si>
    <t>FN219</t>
  </si>
  <si>
    <t>LN219</t>
  </si>
  <si>
    <t>2023-05-13</t>
  </si>
  <si>
    <t>E00219</t>
  </si>
  <si>
    <t>FN220</t>
  </si>
  <si>
    <t>LN220</t>
  </si>
  <si>
    <t>E00220</t>
  </si>
  <si>
    <t>FN221</t>
  </si>
  <si>
    <t>LN221</t>
  </si>
  <si>
    <t>2016-12-26</t>
  </si>
  <si>
    <t>2020-11-17</t>
  </si>
  <si>
    <t>E00221</t>
  </si>
  <si>
    <t>FN222</t>
  </si>
  <si>
    <t>LN222</t>
  </si>
  <si>
    <t>2022-09-03</t>
  </si>
  <si>
    <t>E00222</t>
  </si>
  <si>
    <t>FN223</t>
  </si>
  <si>
    <t>LN223</t>
  </si>
  <si>
    <t>2017-06-25</t>
  </si>
  <si>
    <t>2018-07-13</t>
  </si>
  <si>
    <t>E00223</t>
  </si>
  <si>
    <t>FN224</t>
  </si>
  <si>
    <t>LN224</t>
  </si>
  <si>
    <t>2020-09-16</t>
  </si>
  <si>
    <t>E00224</t>
  </si>
  <si>
    <t>FN225</t>
  </si>
  <si>
    <t>LN225</t>
  </si>
  <si>
    <t>2016-11-12</t>
  </si>
  <si>
    <t>E00225</t>
  </si>
  <si>
    <t>FN226</t>
  </si>
  <si>
    <t>LN226</t>
  </si>
  <si>
    <t>2024-05-28</t>
  </si>
  <si>
    <t>E00226</t>
  </si>
  <si>
    <t>FN227</t>
  </si>
  <si>
    <t>LN227</t>
  </si>
  <si>
    <t>2023-07-04</t>
  </si>
  <si>
    <t>E00227</t>
  </si>
  <si>
    <t>FN228</t>
  </si>
  <si>
    <t>LN228</t>
  </si>
  <si>
    <t>2023-07-02</t>
  </si>
  <si>
    <t>E00228</t>
  </si>
  <si>
    <t>FN229</t>
  </si>
  <si>
    <t>LN229</t>
  </si>
  <si>
    <t>2020-11-13</t>
  </si>
  <si>
    <t>E00229</t>
  </si>
  <si>
    <t>FN230</t>
  </si>
  <si>
    <t>LN230</t>
  </si>
  <si>
    <t>2017-09-06</t>
  </si>
  <si>
    <t>M41</t>
  </si>
  <si>
    <t>E00230</t>
  </si>
  <si>
    <t>FN231</t>
  </si>
  <si>
    <t>LN231</t>
  </si>
  <si>
    <t>2021-03-04</t>
  </si>
  <si>
    <t>E00231</t>
  </si>
  <si>
    <t>FN232</t>
  </si>
  <si>
    <t>LN232</t>
  </si>
  <si>
    <t>2021-07-05</t>
  </si>
  <si>
    <t>E00232</t>
  </si>
  <si>
    <t>FN233</t>
  </si>
  <si>
    <t>LN233</t>
  </si>
  <si>
    <t>2018-11-20</t>
  </si>
  <si>
    <t>E00233</t>
  </si>
  <si>
    <t>FN234</t>
  </si>
  <si>
    <t>LN234</t>
  </si>
  <si>
    <t>2023-07-11</t>
  </si>
  <si>
    <t>E00234</t>
  </si>
  <si>
    <t>FN235</t>
  </si>
  <si>
    <t>LN235</t>
  </si>
  <si>
    <t>2021-08-27</t>
  </si>
  <si>
    <t>E00235</t>
  </si>
  <si>
    <t>FN236</t>
  </si>
  <si>
    <t>LN236</t>
  </si>
  <si>
    <t>2025-06-10</t>
  </si>
  <si>
    <t>E00236</t>
  </si>
  <si>
    <t>FN237</t>
  </si>
  <si>
    <t>LN237</t>
  </si>
  <si>
    <t>2022-05-19</t>
  </si>
  <si>
    <t>E00237</t>
  </si>
  <si>
    <t>FN238</t>
  </si>
  <si>
    <t>LN238</t>
  </si>
  <si>
    <t>2016-02-10</t>
  </si>
  <si>
    <t>E00238</t>
  </si>
  <si>
    <t>FN239</t>
  </si>
  <si>
    <t>LN239</t>
  </si>
  <si>
    <t>2025-05-31</t>
  </si>
  <si>
    <t>E00239</t>
  </si>
  <si>
    <t>FN240</t>
  </si>
  <si>
    <t>LN240</t>
  </si>
  <si>
    <t>E00240</t>
  </si>
  <si>
    <t>FN241</t>
  </si>
  <si>
    <t>LN241</t>
  </si>
  <si>
    <t>2020-05-11</t>
  </si>
  <si>
    <t>2021-08-21</t>
  </si>
  <si>
    <t>E00241</t>
  </si>
  <si>
    <t>FN242</t>
  </si>
  <si>
    <t>LN242</t>
  </si>
  <si>
    <t>2016-09-12</t>
  </si>
  <si>
    <t>E00242</t>
  </si>
  <si>
    <t>FN243</t>
  </si>
  <si>
    <t>LN243</t>
  </si>
  <si>
    <t>2021-09-14</t>
  </si>
  <si>
    <t>E00243</t>
  </si>
  <si>
    <t>FN244</t>
  </si>
  <si>
    <t>LN244</t>
  </si>
  <si>
    <t>2023-11-10</t>
  </si>
  <si>
    <t>2027-01-04</t>
  </si>
  <si>
    <t>E00244</t>
  </si>
  <si>
    <t>FN245</t>
  </si>
  <si>
    <t>LN245</t>
  </si>
  <si>
    <t>2017-03-21</t>
  </si>
  <si>
    <t>E00245</t>
  </si>
  <si>
    <t>FN246</t>
  </si>
  <si>
    <t>LN246</t>
  </si>
  <si>
    <t>2023-12-06</t>
  </si>
  <si>
    <t>2027-05-11</t>
  </si>
  <si>
    <t>E00246</t>
  </si>
  <si>
    <t>FN247</t>
  </si>
  <si>
    <t>LN247</t>
  </si>
  <si>
    <t>2026-03-29</t>
  </si>
  <si>
    <t>2029-09-15</t>
  </si>
  <si>
    <t>E00247</t>
  </si>
  <si>
    <t>FN248</t>
  </si>
  <si>
    <t>LN248</t>
  </si>
  <si>
    <t>2021-08-04</t>
  </si>
  <si>
    <t>E00248</t>
  </si>
  <si>
    <t>FN249</t>
  </si>
  <si>
    <t>LN249</t>
  </si>
  <si>
    <t>2017-11-30</t>
  </si>
  <si>
    <t>E00249</t>
  </si>
  <si>
    <t>FN250</t>
  </si>
  <si>
    <t>LN250</t>
  </si>
  <si>
    <t>2020-10-13</t>
  </si>
  <si>
    <t>E00250</t>
  </si>
  <si>
    <t>FN251</t>
  </si>
  <si>
    <t>LN251</t>
  </si>
  <si>
    <t>2022-03-25</t>
  </si>
  <si>
    <t>2028-04-12</t>
  </si>
  <si>
    <t>E00251</t>
  </si>
  <si>
    <t>FN252</t>
  </si>
  <si>
    <t>LN252</t>
  </si>
  <si>
    <t>2016-10-19</t>
  </si>
  <si>
    <t>E00252</t>
  </si>
  <si>
    <t>FN253</t>
  </si>
  <si>
    <t>LN253</t>
  </si>
  <si>
    <t>2020-12-13</t>
  </si>
  <si>
    <t>E00253</t>
  </si>
  <si>
    <t>FN254</t>
  </si>
  <si>
    <t>LN254</t>
  </si>
  <si>
    <t>2023-03-26</t>
  </si>
  <si>
    <t>E00254</t>
  </si>
  <si>
    <t>FN255</t>
  </si>
  <si>
    <t>LN255</t>
  </si>
  <si>
    <t>E00255</t>
  </si>
  <si>
    <t>FN256</t>
  </si>
  <si>
    <t>LN256</t>
  </si>
  <si>
    <t>2021-06-14</t>
  </si>
  <si>
    <t>2025-04-11</t>
  </si>
  <si>
    <t>E00256</t>
  </si>
  <si>
    <t>FN257</t>
  </si>
  <si>
    <t>LN257</t>
  </si>
  <si>
    <t>2023-09-04</t>
  </si>
  <si>
    <t>E00257</t>
  </si>
  <si>
    <t>FN258</t>
  </si>
  <si>
    <t>LN258</t>
  </si>
  <si>
    <t>2025-05-18</t>
  </si>
  <si>
    <t>E00258</t>
  </si>
  <si>
    <t>FN259</t>
  </si>
  <si>
    <t>LN259</t>
  </si>
  <si>
    <t>2017-01-27</t>
  </si>
  <si>
    <t>E00259</t>
  </si>
  <si>
    <t>FN260</t>
  </si>
  <si>
    <t>LN260</t>
  </si>
  <si>
    <t>2021-08-25</t>
  </si>
  <si>
    <t>E00260</t>
  </si>
  <si>
    <t>FN261</t>
  </si>
  <si>
    <t>LN261</t>
  </si>
  <si>
    <t>2018-01-18</t>
  </si>
  <si>
    <t>E00261</t>
  </si>
  <si>
    <t>FN262</t>
  </si>
  <si>
    <t>LN262</t>
  </si>
  <si>
    <t>2024-01-09</t>
  </si>
  <si>
    <t>E00262</t>
  </si>
  <si>
    <t>FN263</t>
  </si>
  <si>
    <t>LN263</t>
  </si>
  <si>
    <t>2024-04-06</t>
  </si>
  <si>
    <t>2031-10-21</t>
  </si>
  <si>
    <t>E00263</t>
  </si>
  <si>
    <t>FN264</t>
  </si>
  <si>
    <t>LN264</t>
  </si>
  <si>
    <t>2019-09-25</t>
  </si>
  <si>
    <t>E00264</t>
  </si>
  <si>
    <t>FN265</t>
  </si>
  <si>
    <t>LN265</t>
  </si>
  <si>
    <t>2018-12-23</t>
  </si>
  <si>
    <t>E00265</t>
  </si>
  <si>
    <t>FN266</t>
  </si>
  <si>
    <t>LN266</t>
  </si>
  <si>
    <t>2020-08-15</t>
  </si>
  <si>
    <t>E00266</t>
  </si>
  <si>
    <t>FN267</t>
  </si>
  <si>
    <t>LN267</t>
  </si>
  <si>
    <t>2020-05-01</t>
  </si>
  <si>
    <t>E00267</t>
  </si>
  <si>
    <t>FN268</t>
  </si>
  <si>
    <t>LN268</t>
  </si>
  <si>
    <t>2016-03-06</t>
  </si>
  <si>
    <t>E00268</t>
  </si>
  <si>
    <t>FN269</t>
  </si>
  <si>
    <t>LN269</t>
  </si>
  <si>
    <t>2020-01-12</t>
  </si>
  <si>
    <t>2021-07-06</t>
  </si>
  <si>
    <t>E00269</t>
  </si>
  <si>
    <t>FN270</t>
  </si>
  <si>
    <t>LN270</t>
  </si>
  <si>
    <t>2019-02-05</t>
  </si>
  <si>
    <t>2019-12-25</t>
  </si>
  <si>
    <t>M1</t>
  </si>
  <si>
    <t>E00270</t>
  </si>
  <si>
    <t>FN271</t>
  </si>
  <si>
    <t>LN271</t>
  </si>
  <si>
    <t>2021-08-26</t>
  </si>
  <si>
    <t>2026-06-13</t>
  </si>
  <si>
    <t>E00271</t>
  </si>
  <si>
    <t>FN272</t>
  </si>
  <si>
    <t>LN272</t>
  </si>
  <si>
    <t>2019-07-22</t>
  </si>
  <si>
    <t>E00272</t>
  </si>
  <si>
    <t>FN273</t>
  </si>
  <si>
    <t>LN273</t>
  </si>
  <si>
    <t>2022-04-05</t>
  </si>
  <si>
    <t>E00273</t>
  </si>
  <si>
    <t>FN274</t>
  </si>
  <si>
    <t>LN274</t>
  </si>
  <si>
    <t>2018-11-28</t>
  </si>
  <si>
    <t>E00274</t>
  </si>
  <si>
    <t>FN275</t>
  </si>
  <si>
    <t>LN275</t>
  </si>
  <si>
    <t>2026-04-13</t>
  </si>
  <si>
    <t>E00275</t>
  </si>
  <si>
    <t>FN276</t>
  </si>
  <si>
    <t>LN276</t>
  </si>
  <si>
    <t>2016-02-25</t>
  </si>
  <si>
    <t>2021-12-02</t>
  </si>
  <si>
    <t>E00276</t>
  </si>
  <si>
    <t>FN277</t>
  </si>
  <si>
    <t>LN277</t>
  </si>
  <si>
    <t>2020-01-06</t>
  </si>
  <si>
    <t>2027-03-09</t>
  </si>
  <si>
    <t>E00277</t>
  </si>
  <si>
    <t>FN278</t>
  </si>
  <si>
    <t>LN278</t>
  </si>
  <si>
    <t>2021-11-19</t>
  </si>
  <si>
    <t>E00278</t>
  </si>
  <si>
    <t>FN279</t>
  </si>
  <si>
    <t>LN279</t>
  </si>
  <si>
    <t>2016-01-20</t>
  </si>
  <si>
    <t>E00279</t>
  </si>
  <si>
    <t>FN280</t>
  </si>
  <si>
    <t>LN280</t>
  </si>
  <si>
    <t>2025-02-02</t>
  </si>
  <si>
    <t>E00280</t>
  </si>
  <si>
    <t>FN281</t>
  </si>
  <si>
    <t>LN281</t>
  </si>
  <si>
    <t>2018-09-18</t>
  </si>
  <si>
    <t>E00281</t>
  </si>
  <si>
    <t>FN282</t>
  </si>
  <si>
    <t>LN282</t>
  </si>
  <si>
    <t>2023-10-25</t>
  </si>
  <si>
    <t>E00282</t>
  </si>
  <si>
    <t>FN283</t>
  </si>
  <si>
    <t>LN283</t>
  </si>
  <si>
    <t>2017-12-27</t>
  </si>
  <si>
    <t>E00283</t>
  </si>
  <si>
    <t>FN284</t>
  </si>
  <si>
    <t>LN284</t>
  </si>
  <si>
    <t>2026-03-18</t>
  </si>
  <si>
    <t>M17</t>
  </si>
  <si>
    <t>E00284</t>
  </si>
  <si>
    <t>FN285</t>
  </si>
  <si>
    <t>LN285</t>
  </si>
  <si>
    <t>2018-01-15</t>
  </si>
  <si>
    <t>E00285</t>
  </si>
  <si>
    <t>FN286</t>
  </si>
  <si>
    <t>LN286</t>
  </si>
  <si>
    <t>2017-07-26</t>
  </si>
  <si>
    <t>E00286</t>
  </si>
  <si>
    <t>FN287</t>
  </si>
  <si>
    <t>LN287</t>
  </si>
  <si>
    <t>2024-01-24</t>
  </si>
  <si>
    <t>E00287</t>
  </si>
  <si>
    <t>FN288</t>
  </si>
  <si>
    <t>LN288</t>
  </si>
  <si>
    <t>E00288</t>
  </si>
  <si>
    <t>FN289</t>
  </si>
  <si>
    <t>LN289</t>
  </si>
  <si>
    <t>2018-01-31</t>
  </si>
  <si>
    <t>E00289</t>
  </si>
  <si>
    <t>FN290</t>
  </si>
  <si>
    <t>LN290</t>
  </si>
  <si>
    <t>2021-02-20</t>
  </si>
  <si>
    <t>E00290</t>
  </si>
  <si>
    <t>FN291</t>
  </si>
  <si>
    <t>LN291</t>
  </si>
  <si>
    <t>2019-08-12</t>
  </si>
  <si>
    <t>E00291</t>
  </si>
  <si>
    <t>FN292</t>
  </si>
  <si>
    <t>LN292</t>
  </si>
  <si>
    <t>2019-12-17</t>
  </si>
  <si>
    <t>E00292</t>
  </si>
  <si>
    <t>FN293</t>
  </si>
  <si>
    <t>LN293</t>
  </si>
  <si>
    <t>2023-05-07</t>
  </si>
  <si>
    <t>E00293</t>
  </si>
  <si>
    <t>FN294</t>
  </si>
  <si>
    <t>LN294</t>
  </si>
  <si>
    <t>2022-01-03</t>
  </si>
  <si>
    <t>E00294</t>
  </si>
  <si>
    <t>FN295</t>
  </si>
  <si>
    <t>LN295</t>
  </si>
  <si>
    <t>2021-10-14</t>
  </si>
  <si>
    <t>E00295</t>
  </si>
  <si>
    <t>FN296</t>
  </si>
  <si>
    <t>LN296</t>
  </si>
  <si>
    <t>2025-12-26</t>
  </si>
  <si>
    <t>2034-02-23</t>
  </si>
  <si>
    <t>E00296</t>
  </si>
  <si>
    <t>FN297</t>
  </si>
  <si>
    <t>LN297</t>
  </si>
  <si>
    <t>2018-11-19</t>
  </si>
  <si>
    <t>E00297</t>
  </si>
  <si>
    <t>FN298</t>
  </si>
  <si>
    <t>LN298</t>
  </si>
  <si>
    <t>2018-11-16</t>
  </si>
  <si>
    <t>E00298</t>
  </si>
  <si>
    <t>FN299</t>
  </si>
  <si>
    <t>LN299</t>
  </si>
  <si>
    <t>2023-10-06</t>
  </si>
  <si>
    <t>E00299</t>
  </si>
  <si>
    <t>FN300</t>
  </si>
  <si>
    <t>LN300</t>
  </si>
  <si>
    <t>2019-07-09</t>
  </si>
  <si>
    <t>E00300</t>
  </si>
  <si>
    <t>FN301</t>
  </si>
  <si>
    <t>LN301</t>
  </si>
  <si>
    <t>2017-05-24</t>
  </si>
  <si>
    <t>E00301</t>
  </si>
  <si>
    <t>FN302</t>
  </si>
  <si>
    <t>LN302</t>
  </si>
  <si>
    <t>2018-05-02</t>
  </si>
  <si>
    <t>E00302</t>
  </si>
  <si>
    <t>FN303</t>
  </si>
  <si>
    <t>LN303</t>
  </si>
  <si>
    <t>2020-06-14</t>
  </si>
  <si>
    <t>E00303</t>
  </si>
  <si>
    <t>FN304</t>
  </si>
  <si>
    <t>LN304</t>
  </si>
  <si>
    <t>E00304</t>
  </si>
  <si>
    <t>FN305</t>
  </si>
  <si>
    <t>LN305</t>
  </si>
  <si>
    <t>2021-09-19</t>
  </si>
  <si>
    <t>E00305</t>
  </si>
  <si>
    <t>FN306</t>
  </si>
  <si>
    <t>LN306</t>
  </si>
  <si>
    <t>2017-04-12</t>
  </si>
  <si>
    <t>E00306</t>
  </si>
  <si>
    <t>FN307</t>
  </si>
  <si>
    <t>LN307</t>
  </si>
  <si>
    <t>2016-04-12</t>
  </si>
  <si>
    <t>E00307</t>
  </si>
  <si>
    <t>FN308</t>
  </si>
  <si>
    <t>LN308</t>
  </si>
  <si>
    <t>2022-11-01</t>
  </si>
  <si>
    <t>E00308</t>
  </si>
  <si>
    <t>FN309</t>
  </si>
  <si>
    <t>LN309</t>
  </si>
  <si>
    <t>2026-04-28</t>
  </si>
  <si>
    <t>E00309</t>
  </si>
  <si>
    <t>FN310</t>
  </si>
  <si>
    <t>LN310</t>
  </si>
  <si>
    <t>2024-02-17</t>
  </si>
  <si>
    <t>E00310</t>
  </si>
  <si>
    <t>FN311</t>
  </si>
  <si>
    <t>LN311</t>
  </si>
  <si>
    <t>2026-04-12</t>
  </si>
  <si>
    <t>E00311</t>
  </si>
  <si>
    <t>FN312</t>
  </si>
  <si>
    <t>LN312</t>
  </si>
  <si>
    <t>2020-12-29</t>
  </si>
  <si>
    <t>E00312</t>
  </si>
  <si>
    <t>FN313</t>
  </si>
  <si>
    <t>LN313</t>
  </si>
  <si>
    <t>2023-07-09</t>
  </si>
  <si>
    <t>E00313</t>
  </si>
  <si>
    <t>FN314</t>
  </si>
  <si>
    <t>LN314</t>
  </si>
  <si>
    <t>2024-12-13</t>
  </si>
  <si>
    <t>E00314</t>
  </si>
  <si>
    <t>FN315</t>
  </si>
  <si>
    <t>LN315</t>
  </si>
  <si>
    <t>2017-09-03</t>
  </si>
  <si>
    <t>E00315</t>
  </si>
  <si>
    <t>FN316</t>
  </si>
  <si>
    <t>LN316</t>
  </si>
  <si>
    <t>2016-06-21</t>
  </si>
  <si>
    <t>E00316</t>
  </si>
  <si>
    <t>FN317</t>
  </si>
  <si>
    <t>LN317</t>
  </si>
  <si>
    <t>2018-01-08</t>
  </si>
  <si>
    <t>E00317</t>
  </si>
  <si>
    <t>FN318</t>
  </si>
  <si>
    <t>LN318</t>
  </si>
  <si>
    <t>2024-02-28</t>
  </si>
  <si>
    <t>E00318</t>
  </si>
  <si>
    <t>FN319</t>
  </si>
  <si>
    <t>LN319</t>
  </si>
  <si>
    <t>2017-03-11</t>
  </si>
  <si>
    <t>E00319</t>
  </si>
  <si>
    <t>FN320</t>
  </si>
  <si>
    <t>LN320</t>
  </si>
  <si>
    <t>2018-09-09</t>
  </si>
  <si>
    <t>E00320</t>
  </si>
  <si>
    <t>FN321</t>
  </si>
  <si>
    <t>LN321</t>
  </si>
  <si>
    <t>2021-06-27</t>
  </si>
  <si>
    <t>E00321</t>
  </si>
  <si>
    <t>FN322</t>
  </si>
  <si>
    <t>LN322</t>
  </si>
  <si>
    <t>2024-05-12</t>
  </si>
  <si>
    <t>E00322</t>
  </si>
  <si>
    <t>FN323</t>
  </si>
  <si>
    <t>LN323</t>
  </si>
  <si>
    <t>E00323</t>
  </si>
  <si>
    <t>FN324</t>
  </si>
  <si>
    <t>LN324</t>
  </si>
  <si>
    <t>2017-01-28</t>
  </si>
  <si>
    <t>E00324</t>
  </si>
  <si>
    <t>FN325</t>
  </si>
  <si>
    <t>LN325</t>
  </si>
  <si>
    <t>2017-04-16</t>
  </si>
  <si>
    <t>E00325</t>
  </si>
  <si>
    <t>FN326</t>
  </si>
  <si>
    <t>LN326</t>
  </si>
  <si>
    <t>E00326</t>
  </si>
  <si>
    <t>FN327</t>
  </si>
  <si>
    <t>LN327</t>
  </si>
  <si>
    <t>2026-02-04</t>
  </si>
  <si>
    <t>E00327</t>
  </si>
  <si>
    <t>FN328</t>
  </si>
  <si>
    <t>LN328</t>
  </si>
  <si>
    <t>2026-08-28</t>
  </si>
  <si>
    <t>E00328</t>
  </si>
  <si>
    <t>FN329</t>
  </si>
  <si>
    <t>LN329</t>
  </si>
  <si>
    <t>2019-01-10</t>
  </si>
  <si>
    <t>E00329</t>
  </si>
  <si>
    <t>FN330</t>
  </si>
  <si>
    <t>LN330</t>
  </si>
  <si>
    <t>2019-07-19</t>
  </si>
  <si>
    <t>2024-04-21</t>
  </si>
  <si>
    <t>E00330</t>
  </si>
  <si>
    <t>FN331</t>
  </si>
  <si>
    <t>LN331</t>
  </si>
  <si>
    <t>2016-10-09</t>
  </si>
  <si>
    <t>E00331</t>
  </si>
  <si>
    <t>FN332</t>
  </si>
  <si>
    <t>LN332</t>
  </si>
  <si>
    <t>2020-09-24</t>
  </si>
  <si>
    <t>E00332</t>
  </si>
  <si>
    <t>FN333</t>
  </si>
  <si>
    <t>LN333</t>
  </si>
  <si>
    <t>2020-04-13</t>
  </si>
  <si>
    <t>E00333</t>
  </si>
  <si>
    <t>FN334</t>
  </si>
  <si>
    <t>LN334</t>
  </si>
  <si>
    <t>2022-06-03</t>
  </si>
  <si>
    <t>E00334</t>
  </si>
  <si>
    <t>FN335</t>
  </si>
  <si>
    <t>LN335</t>
  </si>
  <si>
    <t>E00335</t>
  </si>
  <si>
    <t>FN336</t>
  </si>
  <si>
    <t>LN336</t>
  </si>
  <si>
    <t>2021-07-25</t>
  </si>
  <si>
    <t>2027-01-03</t>
  </si>
  <si>
    <t>E00336</t>
  </si>
  <si>
    <t>FN337</t>
  </si>
  <si>
    <t>LN337</t>
  </si>
  <si>
    <t>2018-09-05</t>
  </si>
  <si>
    <t>E00337</t>
  </si>
  <si>
    <t>FN338</t>
  </si>
  <si>
    <t>LN338</t>
  </si>
  <si>
    <t>2023-08-18</t>
  </si>
  <si>
    <t>E00338</t>
  </si>
  <si>
    <t>FN339</t>
  </si>
  <si>
    <t>LN339</t>
  </si>
  <si>
    <t>E00339</t>
  </si>
  <si>
    <t>FN340</t>
  </si>
  <si>
    <t>LN340</t>
  </si>
  <si>
    <t>E00340</t>
  </si>
  <si>
    <t>FN341</t>
  </si>
  <si>
    <t>LN341</t>
  </si>
  <si>
    <t>E00341</t>
  </si>
  <si>
    <t>FN342</t>
  </si>
  <si>
    <t>LN342</t>
  </si>
  <si>
    <t>E00342</t>
  </si>
  <si>
    <t>FN343</t>
  </si>
  <si>
    <t>LN343</t>
  </si>
  <si>
    <t>2021-12-24</t>
  </si>
  <si>
    <t>E00343</t>
  </si>
  <si>
    <t>FN344</t>
  </si>
  <si>
    <t>LN344</t>
  </si>
  <si>
    <t>2019-03-01</t>
  </si>
  <si>
    <t>E00344</t>
  </si>
  <si>
    <t>FN345</t>
  </si>
  <si>
    <t>LN345</t>
  </si>
  <si>
    <t>2022-10-21</t>
  </si>
  <si>
    <t>E00345</t>
  </si>
  <si>
    <t>FN346</t>
  </si>
  <si>
    <t>LN346</t>
  </si>
  <si>
    <t>2023-08-21</t>
  </si>
  <si>
    <t>E00346</t>
  </si>
  <si>
    <t>FN347</t>
  </si>
  <si>
    <t>LN347</t>
  </si>
  <si>
    <t>2025-06-02</t>
  </si>
  <si>
    <t>E00347</t>
  </si>
  <si>
    <t>FN348</t>
  </si>
  <si>
    <t>LN348</t>
  </si>
  <si>
    <t>2024-12-09</t>
  </si>
  <si>
    <t>E00348</t>
  </si>
  <si>
    <t>FN349</t>
  </si>
  <si>
    <t>LN349</t>
  </si>
  <si>
    <t>2018-07-21</t>
  </si>
  <si>
    <t>E00349</t>
  </si>
  <si>
    <t>FN350</t>
  </si>
  <si>
    <t>LN350</t>
  </si>
  <si>
    <t>2025-07-21</t>
  </si>
  <si>
    <t>E00350</t>
  </si>
  <si>
    <t>FN351</t>
  </si>
  <si>
    <t>LN351</t>
  </si>
  <si>
    <t>2025-04-04</t>
  </si>
  <si>
    <t>E00351</t>
  </si>
  <si>
    <t>FN352</t>
  </si>
  <si>
    <t>LN352</t>
  </si>
  <si>
    <t>2016-11-02</t>
  </si>
  <si>
    <t>E00352</t>
  </si>
  <si>
    <t>FN353</t>
  </si>
  <si>
    <t>LN353</t>
  </si>
  <si>
    <t>2020-01-05</t>
  </si>
  <si>
    <t>2023-06-12</t>
  </si>
  <si>
    <t>E00353</t>
  </si>
  <si>
    <t>FN354</t>
  </si>
  <si>
    <t>LN354</t>
  </si>
  <si>
    <t>2020-07-20</t>
  </si>
  <si>
    <t>E00354</t>
  </si>
  <si>
    <t>FN355</t>
  </si>
  <si>
    <t>LN355</t>
  </si>
  <si>
    <t>2026-01-31</t>
  </si>
  <si>
    <t>E00355</t>
  </si>
  <si>
    <t>FN356</t>
  </si>
  <si>
    <t>LN356</t>
  </si>
  <si>
    <t>2018-04-28</t>
  </si>
  <si>
    <t>2021-04-21</t>
  </si>
  <si>
    <t>E00356</t>
  </si>
  <si>
    <t>FN357</t>
  </si>
  <si>
    <t>LN357</t>
  </si>
  <si>
    <t>2022-02-21</t>
  </si>
  <si>
    <t>E00357</t>
  </si>
  <si>
    <t>FN358</t>
  </si>
  <si>
    <t>LN358</t>
  </si>
  <si>
    <t>2018-05-09</t>
  </si>
  <si>
    <t>E00358</t>
  </si>
  <si>
    <t>FN359</t>
  </si>
  <si>
    <t>LN359</t>
  </si>
  <si>
    <t>2020-01-21</t>
  </si>
  <si>
    <t>E00359</t>
  </si>
  <si>
    <t>FN360</t>
  </si>
  <si>
    <t>LN360</t>
  </si>
  <si>
    <t>2016-09-16</t>
  </si>
  <si>
    <t>2022-05-07</t>
  </si>
  <si>
    <t>E00360</t>
  </si>
  <si>
    <t>FN361</t>
  </si>
  <si>
    <t>LN361</t>
  </si>
  <si>
    <t>2018-07-26</t>
  </si>
  <si>
    <t>E00361</t>
  </si>
  <si>
    <t>FN362</t>
  </si>
  <si>
    <t>LN362</t>
  </si>
  <si>
    <t>2017-07-25</t>
  </si>
  <si>
    <t>2019-12-16</t>
  </si>
  <si>
    <t>E00362</t>
  </si>
  <si>
    <t>FN363</t>
  </si>
  <si>
    <t>LN363</t>
  </si>
  <si>
    <t>2022-12-30</t>
  </si>
  <si>
    <t>E00363</t>
  </si>
  <si>
    <t>FN364</t>
  </si>
  <si>
    <t>LN364</t>
  </si>
  <si>
    <t>2020-05-22</t>
  </si>
  <si>
    <t>E00364</t>
  </si>
  <si>
    <t>FN365</t>
  </si>
  <si>
    <t>LN365</t>
  </si>
  <si>
    <t>2017-10-24</t>
  </si>
  <si>
    <t>E00365</t>
  </si>
  <si>
    <t>FN366</t>
  </si>
  <si>
    <t>LN366</t>
  </si>
  <si>
    <t>2017-01-13</t>
  </si>
  <si>
    <t>E00366</t>
  </si>
  <si>
    <t>FN367</t>
  </si>
  <si>
    <t>LN367</t>
  </si>
  <si>
    <t>2016-07-03</t>
  </si>
  <si>
    <t>E00367</t>
  </si>
  <si>
    <t>FN368</t>
  </si>
  <si>
    <t>LN368</t>
  </si>
  <si>
    <t>2016-11-20</t>
  </si>
  <si>
    <t>2025-02-03</t>
  </si>
  <si>
    <t>E00368</t>
  </si>
  <si>
    <t>FN369</t>
  </si>
  <si>
    <t>LN369</t>
  </si>
  <si>
    <t>2019-11-02</t>
  </si>
  <si>
    <t>E00369</t>
  </si>
  <si>
    <t>FN370</t>
  </si>
  <si>
    <t>LN370</t>
  </si>
  <si>
    <t>2019-12-02</t>
  </si>
  <si>
    <t>2025-04-02</t>
  </si>
  <si>
    <t>E00370</t>
  </si>
  <si>
    <t>FN371</t>
  </si>
  <si>
    <t>LN371</t>
  </si>
  <si>
    <t>2023-09-18</t>
  </si>
  <si>
    <t>E00371</t>
  </si>
  <si>
    <t>FN372</t>
  </si>
  <si>
    <t>LN372</t>
  </si>
  <si>
    <t>2020-12-21</t>
  </si>
  <si>
    <t>E00372</t>
  </si>
  <si>
    <t>FN373</t>
  </si>
  <si>
    <t>LN373</t>
  </si>
  <si>
    <t>2023-07-22</t>
  </si>
  <si>
    <t>E00373</t>
  </si>
  <si>
    <t>FN374</t>
  </si>
  <si>
    <t>LN374</t>
  </si>
  <si>
    <t>2024-11-03</t>
  </si>
  <si>
    <t>2027-01-31</t>
  </si>
  <si>
    <t>E00374</t>
  </si>
  <si>
    <t>FN375</t>
  </si>
  <si>
    <t>LN375</t>
  </si>
  <si>
    <t>E00375</t>
  </si>
  <si>
    <t>FN376</t>
  </si>
  <si>
    <t>LN376</t>
  </si>
  <si>
    <t>2026-02-28</t>
  </si>
  <si>
    <t>E00376</t>
  </si>
  <si>
    <t>FN377</t>
  </si>
  <si>
    <t>LN377</t>
  </si>
  <si>
    <t>2023-12-27</t>
  </si>
  <si>
    <t>E00377</t>
  </si>
  <si>
    <t>FN378</t>
  </si>
  <si>
    <t>LN378</t>
  </si>
  <si>
    <t>2020-09-19</t>
  </si>
  <si>
    <t>E00378</t>
  </si>
  <si>
    <t>FN379</t>
  </si>
  <si>
    <t>LN379</t>
  </si>
  <si>
    <t>2026-04-09</t>
  </si>
  <si>
    <t>2030-06-11</t>
  </si>
  <si>
    <t>E00379</t>
  </si>
  <si>
    <t>FN380</t>
  </si>
  <si>
    <t>LN380</t>
  </si>
  <si>
    <t>2024-08-08</t>
  </si>
  <si>
    <t>E00380</t>
  </si>
  <si>
    <t>FN381</t>
  </si>
  <si>
    <t>LN381</t>
  </si>
  <si>
    <t>2022-06-25</t>
  </si>
  <si>
    <t>E00381</t>
  </si>
  <si>
    <t>FN382</t>
  </si>
  <si>
    <t>LN382</t>
  </si>
  <si>
    <t>E00382</t>
  </si>
  <si>
    <t>FN383</t>
  </si>
  <si>
    <t>LN383</t>
  </si>
  <si>
    <t>2022-08-09</t>
  </si>
  <si>
    <t>M46</t>
  </si>
  <si>
    <t>E00383</t>
  </si>
  <si>
    <t>FN384</t>
  </si>
  <si>
    <t>LN384</t>
  </si>
  <si>
    <t>2022-09-24</t>
  </si>
  <si>
    <t>E00384</t>
  </si>
  <si>
    <t>FN385</t>
  </si>
  <si>
    <t>LN385</t>
  </si>
  <si>
    <t>2023-12-20</t>
  </si>
  <si>
    <t>E00385</t>
  </si>
  <si>
    <t>FN386</t>
  </si>
  <si>
    <t>LN386</t>
  </si>
  <si>
    <t>2019-12-30</t>
  </si>
  <si>
    <t>E00386</t>
  </si>
  <si>
    <t>FN387</t>
  </si>
  <si>
    <t>LN387</t>
  </si>
  <si>
    <t>2021-10-01</t>
  </si>
  <si>
    <t>E00387</t>
  </si>
  <si>
    <t>FN388</t>
  </si>
  <si>
    <t>LN388</t>
  </si>
  <si>
    <t>2023-08-09</t>
  </si>
  <si>
    <t>E00388</t>
  </si>
  <si>
    <t>FN389</t>
  </si>
  <si>
    <t>LN389</t>
  </si>
  <si>
    <t>E00389</t>
  </si>
  <si>
    <t>FN390</t>
  </si>
  <si>
    <t>LN390</t>
  </si>
  <si>
    <t>2022-05-23</t>
  </si>
  <si>
    <t>E00390</t>
  </si>
  <si>
    <t>FN391</t>
  </si>
  <si>
    <t>LN391</t>
  </si>
  <si>
    <t>2024-06-02</t>
  </si>
  <si>
    <t>E00391</t>
  </si>
  <si>
    <t>FN392</t>
  </si>
  <si>
    <t>LN392</t>
  </si>
  <si>
    <t>2025-11-15</t>
  </si>
  <si>
    <t>E00392</t>
  </si>
  <si>
    <t>FN393</t>
  </si>
  <si>
    <t>LN393</t>
  </si>
  <si>
    <t>2017-08-16</t>
  </si>
  <si>
    <t>E00393</t>
  </si>
  <si>
    <t>FN394</t>
  </si>
  <si>
    <t>LN394</t>
  </si>
  <si>
    <t>E00394</t>
  </si>
  <si>
    <t>FN395</t>
  </si>
  <si>
    <t>LN395</t>
  </si>
  <si>
    <t>E00395</t>
  </si>
  <si>
    <t>FN396</t>
  </si>
  <si>
    <t>LN396</t>
  </si>
  <si>
    <t>2024-10-13</t>
  </si>
  <si>
    <t>E00396</t>
  </si>
  <si>
    <t>FN397</t>
  </si>
  <si>
    <t>LN397</t>
  </si>
  <si>
    <t>2025-12-28</t>
  </si>
  <si>
    <t>E00397</t>
  </si>
  <si>
    <t>FN398</t>
  </si>
  <si>
    <t>LN398</t>
  </si>
  <si>
    <t>2020-07-04</t>
  </si>
  <si>
    <t>E00398</t>
  </si>
  <si>
    <t>FN399</t>
  </si>
  <si>
    <t>LN399</t>
  </si>
  <si>
    <t>2019-04-18</t>
  </si>
  <si>
    <t>E00399</t>
  </si>
  <si>
    <t>FN400</t>
  </si>
  <si>
    <t>LN400</t>
  </si>
  <si>
    <t>2025-06-05</t>
  </si>
  <si>
    <t>2032-12-18</t>
  </si>
  <si>
    <t>E00400</t>
  </si>
  <si>
    <t>FN401</t>
  </si>
  <si>
    <t>LN401</t>
  </si>
  <si>
    <t>E00401</t>
  </si>
  <si>
    <t>FN402</t>
  </si>
  <si>
    <t>LN402</t>
  </si>
  <si>
    <t>2018-02-06</t>
  </si>
  <si>
    <t>E00402</t>
  </si>
  <si>
    <t>FN403</t>
  </si>
  <si>
    <t>LN403</t>
  </si>
  <si>
    <t>2023-09-24</t>
  </si>
  <si>
    <t>E00403</t>
  </si>
  <si>
    <t>FN404</t>
  </si>
  <si>
    <t>LN404</t>
  </si>
  <si>
    <t>2018-04-01</t>
  </si>
  <si>
    <t>E00404</t>
  </si>
  <si>
    <t>FN405</t>
  </si>
  <si>
    <t>LN405</t>
  </si>
  <si>
    <t>2023-09-26</t>
  </si>
  <si>
    <t>E00405</t>
  </si>
  <si>
    <t>FN406</t>
  </si>
  <si>
    <t>LN406</t>
  </si>
  <si>
    <t>2026-03-15</t>
  </si>
  <si>
    <t>E00406</t>
  </si>
  <si>
    <t>FN407</t>
  </si>
  <si>
    <t>LN407</t>
  </si>
  <si>
    <t>2020-08-04</t>
  </si>
  <si>
    <t>E00407</t>
  </si>
  <si>
    <t>FN408</t>
  </si>
  <si>
    <t>LN408</t>
  </si>
  <si>
    <t>M55</t>
  </si>
  <si>
    <t>E00408</t>
  </si>
  <si>
    <t>FN409</t>
  </si>
  <si>
    <t>LN409</t>
  </si>
  <si>
    <t>2018-10-25</t>
  </si>
  <si>
    <t>E00409</t>
  </si>
  <si>
    <t>FN410</t>
  </si>
  <si>
    <t>LN410</t>
  </si>
  <si>
    <t>2024-03-22</t>
  </si>
  <si>
    <t>2031-04-21</t>
  </si>
  <si>
    <t>E00410</t>
  </si>
  <si>
    <t>FN411</t>
  </si>
  <si>
    <t>LN411</t>
  </si>
  <si>
    <t>2025-03-03</t>
  </si>
  <si>
    <t>E00411</t>
  </si>
  <si>
    <t>FN412</t>
  </si>
  <si>
    <t>LN412</t>
  </si>
  <si>
    <t>2019-01-26</t>
  </si>
  <si>
    <t>E00412</t>
  </si>
  <si>
    <t>FN413</t>
  </si>
  <si>
    <t>LN413</t>
  </si>
  <si>
    <t>2020-06-06</t>
  </si>
  <si>
    <t>2024-10-08</t>
  </si>
  <si>
    <t>E00413</t>
  </si>
  <si>
    <t>FN414</t>
  </si>
  <si>
    <t>LN414</t>
  </si>
  <si>
    <t>2024-05-15</t>
  </si>
  <si>
    <t>E00414</t>
  </si>
  <si>
    <t>FN415</t>
  </si>
  <si>
    <t>LN415</t>
  </si>
  <si>
    <t>2021-08-17</t>
  </si>
  <si>
    <t>E00415</t>
  </si>
  <si>
    <t>FN416</t>
  </si>
  <si>
    <t>LN416</t>
  </si>
  <si>
    <t>2022-11-14</t>
  </si>
  <si>
    <t>E00416</t>
  </si>
  <si>
    <t>FN417</t>
  </si>
  <si>
    <t>LN417</t>
  </si>
  <si>
    <t>2022-11-18</t>
  </si>
  <si>
    <t>E00417</t>
  </si>
  <si>
    <t>FN418</t>
  </si>
  <si>
    <t>LN418</t>
  </si>
  <si>
    <t>2019-06-17</t>
  </si>
  <si>
    <t>2022-08-12</t>
  </si>
  <si>
    <t>E00418</t>
  </si>
  <si>
    <t>FN419</t>
  </si>
  <si>
    <t>LN419</t>
  </si>
  <si>
    <t>2024-07-28</t>
  </si>
  <si>
    <t>E00419</t>
  </si>
  <si>
    <t>FN420</t>
  </si>
  <si>
    <t>LN420</t>
  </si>
  <si>
    <t>2017-12-08</t>
  </si>
  <si>
    <t>E00420</t>
  </si>
  <si>
    <t>FN421</t>
  </si>
  <si>
    <t>LN421</t>
  </si>
  <si>
    <t>2026-01-21</t>
  </si>
  <si>
    <t>E00421</t>
  </si>
  <si>
    <t>FN422</t>
  </si>
  <si>
    <t>LN422</t>
  </si>
  <si>
    <t>2017-07-21</t>
  </si>
  <si>
    <t>E00422</t>
  </si>
  <si>
    <t>FN423</t>
  </si>
  <si>
    <t>LN423</t>
  </si>
  <si>
    <t>2019-01-12</t>
  </si>
  <si>
    <t>E00423</t>
  </si>
  <si>
    <t>FN424</t>
  </si>
  <si>
    <t>LN424</t>
  </si>
  <si>
    <t>2025-07-18</t>
  </si>
  <si>
    <t>E00424</t>
  </si>
  <si>
    <t>FN425</t>
  </si>
  <si>
    <t>LN425</t>
  </si>
  <si>
    <t>2028-04-23</t>
  </si>
  <si>
    <t>E00425</t>
  </si>
  <si>
    <t>FN426</t>
  </si>
  <si>
    <t>LN426</t>
  </si>
  <si>
    <t>2021-02-16</t>
  </si>
  <si>
    <t>E00426</t>
  </si>
  <si>
    <t>FN427</t>
  </si>
  <si>
    <t>LN427</t>
  </si>
  <si>
    <t>2025-04-24</t>
  </si>
  <si>
    <t>E00427</t>
  </si>
  <si>
    <t>FN428</t>
  </si>
  <si>
    <t>LN428</t>
  </si>
  <si>
    <t>2026-05-06</t>
  </si>
  <si>
    <t>E00428</t>
  </si>
  <si>
    <t>FN429</t>
  </si>
  <si>
    <t>LN429</t>
  </si>
  <si>
    <t>E00429</t>
  </si>
  <si>
    <t>FN430</t>
  </si>
  <si>
    <t>LN430</t>
  </si>
  <si>
    <t>2018-07-27</t>
  </si>
  <si>
    <t>E00430</t>
  </si>
  <si>
    <t>FN431</t>
  </si>
  <si>
    <t>LN431</t>
  </si>
  <si>
    <t>2020-11-19</t>
  </si>
  <si>
    <t>2022-09-17</t>
  </si>
  <si>
    <t>E00431</t>
  </si>
  <si>
    <t>FN432</t>
  </si>
  <si>
    <t>LN432</t>
  </si>
  <si>
    <t>2017-04-18</t>
  </si>
  <si>
    <t>2020-08-07</t>
  </si>
  <si>
    <t>E00432</t>
  </si>
  <si>
    <t>FN433</t>
  </si>
  <si>
    <t>LN433</t>
  </si>
  <si>
    <t>E00433</t>
  </si>
  <si>
    <t>FN434</t>
  </si>
  <si>
    <t>LN434</t>
  </si>
  <si>
    <t>2025-02-27</t>
  </si>
  <si>
    <t>E00434</t>
  </si>
  <si>
    <t>FN435</t>
  </si>
  <si>
    <t>LN435</t>
  </si>
  <si>
    <t>2024-10-09</t>
  </si>
  <si>
    <t>E00435</t>
  </si>
  <si>
    <t>FN436</t>
  </si>
  <si>
    <t>LN436</t>
  </si>
  <si>
    <t>2026-02-10</t>
  </si>
  <si>
    <t>E00436</t>
  </si>
  <si>
    <t>FN437</t>
  </si>
  <si>
    <t>LN437</t>
  </si>
  <si>
    <t>2017-03-29</t>
  </si>
  <si>
    <t>E00437</t>
  </si>
  <si>
    <t>FN438</t>
  </si>
  <si>
    <t>LN438</t>
  </si>
  <si>
    <t>2019-10-22</t>
  </si>
  <si>
    <t>E00438</t>
  </si>
  <si>
    <t>FN439</t>
  </si>
  <si>
    <t>LN439</t>
  </si>
  <si>
    <t>2017-05-30</t>
  </si>
  <si>
    <t>E00439</t>
  </si>
  <si>
    <t>FN440</t>
  </si>
  <si>
    <t>LN440</t>
  </si>
  <si>
    <t>2023-07-23</t>
  </si>
  <si>
    <t>E00440</t>
  </si>
  <si>
    <t>FN441</t>
  </si>
  <si>
    <t>LN441</t>
  </si>
  <si>
    <t>2026-03-08</t>
  </si>
  <si>
    <t>E00441</t>
  </si>
  <si>
    <t>FN442</t>
  </si>
  <si>
    <t>LN442</t>
  </si>
  <si>
    <t>2025-07-28</t>
  </si>
  <si>
    <t>E00442</t>
  </si>
  <si>
    <t>FN443</t>
  </si>
  <si>
    <t>LN443</t>
  </si>
  <si>
    <t>2016-09-15</t>
  </si>
  <si>
    <t>E00443</t>
  </si>
  <si>
    <t>FN444</t>
  </si>
  <si>
    <t>LN444</t>
  </si>
  <si>
    <t>2025-10-20</t>
  </si>
  <si>
    <t>E00444</t>
  </si>
  <si>
    <t>FN445</t>
  </si>
  <si>
    <t>LN445</t>
  </si>
  <si>
    <t>2020-11-04</t>
  </si>
  <si>
    <t>E00445</t>
  </si>
  <si>
    <t>FN446</t>
  </si>
  <si>
    <t>LN446</t>
  </si>
  <si>
    <t>E00446</t>
  </si>
  <si>
    <t>FN447</t>
  </si>
  <si>
    <t>LN447</t>
  </si>
  <si>
    <t>2021-10-18</t>
  </si>
  <si>
    <t>2024-05-02</t>
  </si>
  <si>
    <t>E00447</t>
  </si>
  <si>
    <t>FN448</t>
  </si>
  <si>
    <t>LN448</t>
  </si>
  <si>
    <t>2025-12-09</t>
  </si>
  <si>
    <t>E00448</t>
  </si>
  <si>
    <t>FN449</t>
  </si>
  <si>
    <t>LN449</t>
  </si>
  <si>
    <t>2017-11-28</t>
  </si>
  <si>
    <t>E00449</t>
  </si>
  <si>
    <t>FN450</t>
  </si>
  <si>
    <t>LN450</t>
  </si>
  <si>
    <t>E00450</t>
  </si>
  <si>
    <t>FN451</t>
  </si>
  <si>
    <t>LN451</t>
  </si>
  <si>
    <t>2020-07-12</t>
  </si>
  <si>
    <t>E00451</t>
  </si>
  <si>
    <t>FN452</t>
  </si>
  <si>
    <t>LN452</t>
  </si>
  <si>
    <t>2019-08-03</t>
  </si>
  <si>
    <t>E00452</t>
  </si>
  <si>
    <t>FN453</t>
  </si>
  <si>
    <t>LN453</t>
  </si>
  <si>
    <t>2025-05-23</t>
  </si>
  <si>
    <t>E00453</t>
  </si>
  <si>
    <t>FN454</t>
  </si>
  <si>
    <t>LN454</t>
  </si>
  <si>
    <t>2019-09-18</t>
  </si>
  <si>
    <t>2023-10-15</t>
  </si>
  <si>
    <t>E00454</t>
  </si>
  <si>
    <t>FN455</t>
  </si>
  <si>
    <t>LN455</t>
  </si>
  <si>
    <t>2023-08-29</t>
  </si>
  <si>
    <t>E00455</t>
  </si>
  <si>
    <t>FN456</t>
  </si>
  <si>
    <t>LN456</t>
  </si>
  <si>
    <t>2024-06-11</t>
  </si>
  <si>
    <t>E00456</t>
  </si>
  <si>
    <t>FN457</t>
  </si>
  <si>
    <t>LN457</t>
  </si>
  <si>
    <t>2022-03-15</t>
  </si>
  <si>
    <t>E00457</t>
  </si>
  <si>
    <t>FN458</t>
  </si>
  <si>
    <t>LN458</t>
  </si>
  <si>
    <t>2018-12-04</t>
  </si>
  <si>
    <t>E00458</t>
  </si>
  <si>
    <t>FN459</t>
  </si>
  <si>
    <t>LN459</t>
  </si>
  <si>
    <t>2021-08-18</t>
  </si>
  <si>
    <t>E00459</t>
  </si>
  <si>
    <t>FN460</t>
  </si>
  <si>
    <t>LN460</t>
  </si>
  <si>
    <t>2025-11-10</t>
  </si>
  <si>
    <t>E00460</t>
  </si>
  <si>
    <t>FN461</t>
  </si>
  <si>
    <t>LN461</t>
  </si>
  <si>
    <t>2020-08-27</t>
  </si>
  <si>
    <t>E00461</t>
  </si>
  <si>
    <t>FN462</t>
  </si>
  <si>
    <t>LN462</t>
  </si>
  <si>
    <t>E00462</t>
  </si>
  <si>
    <t>FN463</t>
  </si>
  <si>
    <t>LN463</t>
  </si>
  <si>
    <t>2025-07-20</t>
  </si>
  <si>
    <t>E00463</t>
  </si>
  <si>
    <t>FN464</t>
  </si>
  <si>
    <t>LN464</t>
  </si>
  <si>
    <t>2025-01-05</t>
  </si>
  <si>
    <t>E00464</t>
  </si>
  <si>
    <t>FN465</t>
  </si>
  <si>
    <t>LN465</t>
  </si>
  <si>
    <t>2016-12-20</t>
  </si>
  <si>
    <t>E00465</t>
  </si>
  <si>
    <t>FN466</t>
  </si>
  <si>
    <t>LN466</t>
  </si>
  <si>
    <t>2018-03-26</t>
  </si>
  <si>
    <t>E00466</t>
  </si>
  <si>
    <t>FN467</t>
  </si>
  <si>
    <t>LN467</t>
  </si>
  <si>
    <t>2020-01-14</t>
  </si>
  <si>
    <t>E00467</t>
  </si>
  <si>
    <t>FN468</t>
  </si>
  <si>
    <t>LN468</t>
  </si>
  <si>
    <t>E00468</t>
  </si>
  <si>
    <t>FN469</t>
  </si>
  <si>
    <t>LN469</t>
  </si>
  <si>
    <t>2022-11-04</t>
  </si>
  <si>
    <t>2023-10-01</t>
  </si>
  <si>
    <t>E00469</t>
  </si>
  <si>
    <t>FN470</t>
  </si>
  <si>
    <t>LN470</t>
  </si>
  <si>
    <t>2017-01-30</t>
  </si>
  <si>
    <t>E00470</t>
  </si>
  <si>
    <t>FN471</t>
  </si>
  <si>
    <t>LN471</t>
  </si>
  <si>
    <t>2023-07-13</t>
  </si>
  <si>
    <t>E00471</t>
  </si>
  <si>
    <t>FN472</t>
  </si>
  <si>
    <t>LN472</t>
  </si>
  <si>
    <t>E00472</t>
  </si>
  <si>
    <t>FN473</t>
  </si>
  <si>
    <t>LN473</t>
  </si>
  <si>
    <t>E00473</t>
  </si>
  <si>
    <t>FN474</t>
  </si>
  <si>
    <t>LN474</t>
  </si>
  <si>
    <t>2019-08-17</t>
  </si>
  <si>
    <t>2020-07-31</t>
  </si>
  <si>
    <t>E00474</t>
  </si>
  <si>
    <t>FN475</t>
  </si>
  <si>
    <t>LN475</t>
  </si>
  <si>
    <t>2023-06-25</t>
  </si>
  <si>
    <t>E00475</t>
  </si>
  <si>
    <t>FN476</t>
  </si>
  <si>
    <t>LN476</t>
  </si>
  <si>
    <t>2024-06-15</t>
  </si>
  <si>
    <t>E00476</t>
  </si>
  <si>
    <t>FN477</t>
  </si>
  <si>
    <t>LN477</t>
  </si>
  <si>
    <t>2018-04-08</t>
  </si>
  <si>
    <t>E00477</t>
  </si>
  <si>
    <t>FN478</t>
  </si>
  <si>
    <t>LN478</t>
  </si>
  <si>
    <t>E00478</t>
  </si>
  <si>
    <t>FN479</t>
  </si>
  <si>
    <t>LN479</t>
  </si>
  <si>
    <t>2023-03-06</t>
  </si>
  <si>
    <t>E00479</t>
  </si>
  <si>
    <t>FN480</t>
  </si>
  <si>
    <t>LN480</t>
  </si>
  <si>
    <t>2016-03-15</t>
  </si>
  <si>
    <t>2023-10-14</t>
  </si>
  <si>
    <t>E00480</t>
  </si>
  <si>
    <t>FN481</t>
  </si>
  <si>
    <t>LN481</t>
  </si>
  <si>
    <t>2020-04-15</t>
  </si>
  <si>
    <t>E00481</t>
  </si>
  <si>
    <t>FN482</t>
  </si>
  <si>
    <t>LN482</t>
  </si>
  <si>
    <t>2018-10-10</t>
  </si>
  <si>
    <t>E00482</t>
  </si>
  <si>
    <t>FN483</t>
  </si>
  <si>
    <t>LN483</t>
  </si>
  <si>
    <t>2018-09-26</t>
  </si>
  <si>
    <t>E00483</t>
  </si>
  <si>
    <t>FN484</t>
  </si>
  <si>
    <t>LN484</t>
  </si>
  <si>
    <t>2021-03-05</t>
  </si>
  <si>
    <t>E00484</t>
  </si>
  <si>
    <t>FN485</t>
  </si>
  <si>
    <t>LN485</t>
  </si>
  <si>
    <t>2026-05-05</t>
  </si>
  <si>
    <t>E00485</t>
  </si>
  <si>
    <t>FN486</t>
  </si>
  <si>
    <t>LN486</t>
  </si>
  <si>
    <t>2024-09-12</t>
  </si>
  <si>
    <t>E00486</t>
  </si>
  <si>
    <t>FN487</t>
  </si>
  <si>
    <t>LN487</t>
  </si>
  <si>
    <t>2020-02-05</t>
  </si>
  <si>
    <t>E00487</t>
  </si>
  <si>
    <t>FN488</t>
  </si>
  <si>
    <t>LN488</t>
  </si>
  <si>
    <t>2023-03-14</t>
  </si>
  <si>
    <t>E00488</t>
  </si>
  <si>
    <t>FN489</t>
  </si>
  <si>
    <t>LN489</t>
  </si>
  <si>
    <t>2021-12-31</t>
  </si>
  <si>
    <t>E00489</t>
  </si>
  <si>
    <t>FN490</t>
  </si>
  <si>
    <t>LN490</t>
  </si>
  <si>
    <t>E00490</t>
  </si>
  <si>
    <t>FN491</t>
  </si>
  <si>
    <t>LN491</t>
  </si>
  <si>
    <t>2021-07-13</t>
  </si>
  <si>
    <t>2024-11-16</t>
  </si>
  <si>
    <t>E00491</t>
  </si>
  <si>
    <t>FN492</t>
  </si>
  <si>
    <t>LN492</t>
  </si>
  <si>
    <t>E00492</t>
  </si>
  <si>
    <t>FN493</t>
  </si>
  <si>
    <t>LN493</t>
  </si>
  <si>
    <t>2021-01-03</t>
  </si>
  <si>
    <t>E00493</t>
  </si>
  <si>
    <t>FN494</t>
  </si>
  <si>
    <t>LN494</t>
  </si>
  <si>
    <t>2016-02-24</t>
  </si>
  <si>
    <t>E00494</t>
  </si>
  <si>
    <t>FN495</t>
  </si>
  <si>
    <t>LN495</t>
  </si>
  <si>
    <t>2021-07-12</t>
  </si>
  <si>
    <t>E00495</t>
  </si>
  <si>
    <t>FN496</t>
  </si>
  <si>
    <t>LN496</t>
  </si>
  <si>
    <t>2023-04-28</t>
  </si>
  <si>
    <t>E00496</t>
  </si>
  <si>
    <t>FN497</t>
  </si>
  <si>
    <t>LN497</t>
  </si>
  <si>
    <t>2026-01-29</t>
  </si>
  <si>
    <t>2028-08-08</t>
  </si>
  <si>
    <t>E00497</t>
  </si>
  <si>
    <t>FN498</t>
  </si>
  <si>
    <t>LN498</t>
  </si>
  <si>
    <t>2021-06-22</t>
  </si>
  <si>
    <t>E00498</t>
  </si>
  <si>
    <t>FN499</t>
  </si>
  <si>
    <t>LN499</t>
  </si>
  <si>
    <t>2020-04-10</t>
  </si>
  <si>
    <t>E00499</t>
  </si>
  <si>
    <t>FN500</t>
  </si>
  <si>
    <t>LN500</t>
  </si>
  <si>
    <t>2025-11-19</t>
  </si>
  <si>
    <t>E00500</t>
  </si>
  <si>
    <t>FN501</t>
  </si>
  <si>
    <t>LN501</t>
  </si>
  <si>
    <t>2017-01-20</t>
  </si>
  <si>
    <t>E00501</t>
  </si>
  <si>
    <t>FN502</t>
  </si>
  <si>
    <t>LN502</t>
  </si>
  <si>
    <t>E00502</t>
  </si>
  <si>
    <t>FN503</t>
  </si>
  <si>
    <t>LN503</t>
  </si>
  <si>
    <t>2019-01-22</t>
  </si>
  <si>
    <t>2027-01-18</t>
  </si>
  <si>
    <t>E00503</t>
  </si>
  <si>
    <t>FN504</t>
  </si>
  <si>
    <t>LN504</t>
  </si>
  <si>
    <t>2026-01-13</t>
  </si>
  <si>
    <t>E00504</t>
  </si>
  <si>
    <t>FN505</t>
  </si>
  <si>
    <t>LN505</t>
  </si>
  <si>
    <t>E00505</t>
  </si>
  <si>
    <t>FN506</t>
  </si>
  <si>
    <t>LN506</t>
  </si>
  <si>
    <t>2022-11-21</t>
  </si>
  <si>
    <t>E00506</t>
  </si>
  <si>
    <t>FN507</t>
  </si>
  <si>
    <t>LN507</t>
  </si>
  <si>
    <t>2023-08-05</t>
  </si>
  <si>
    <t>E00507</t>
  </si>
  <si>
    <t>FN508</t>
  </si>
  <si>
    <t>LN508</t>
  </si>
  <si>
    <t>2019-03-28</t>
  </si>
  <si>
    <t>E00508</t>
  </si>
  <si>
    <t>FN509</t>
  </si>
  <si>
    <t>LN509</t>
  </si>
  <si>
    <t>2021-09-11</t>
  </si>
  <si>
    <t>E00509</t>
  </si>
  <si>
    <t>FN510</t>
  </si>
  <si>
    <t>LN510</t>
  </si>
  <si>
    <t>2024-08-14</t>
  </si>
  <si>
    <t>E00510</t>
  </si>
  <si>
    <t>FN511</t>
  </si>
  <si>
    <t>LN511</t>
  </si>
  <si>
    <t>2018-05-26</t>
  </si>
  <si>
    <t>E00511</t>
  </si>
  <si>
    <t>FN512</t>
  </si>
  <si>
    <t>LN512</t>
  </si>
  <si>
    <t>2026-04-20</t>
  </si>
  <si>
    <t>E00512</t>
  </si>
  <si>
    <t>FN513</t>
  </si>
  <si>
    <t>LN513</t>
  </si>
  <si>
    <t>2023-06-13</t>
  </si>
  <si>
    <t>E00513</t>
  </si>
  <si>
    <t>FN514</t>
  </si>
  <si>
    <t>LN514</t>
  </si>
  <si>
    <t>2020-08-03</t>
  </si>
  <si>
    <t>2027-08-05</t>
  </si>
  <si>
    <t>E00514</t>
  </si>
  <si>
    <t>FN515</t>
  </si>
  <si>
    <t>LN515</t>
  </si>
  <si>
    <t>2017-05-21</t>
  </si>
  <si>
    <t>E00515</t>
  </si>
  <si>
    <t>FN516</t>
  </si>
  <si>
    <t>LN516</t>
  </si>
  <si>
    <t>2016-02-26</t>
  </si>
  <si>
    <t>E00516</t>
  </si>
  <si>
    <t>FN517</t>
  </si>
  <si>
    <t>LN517</t>
  </si>
  <si>
    <t>2021-07-14</t>
  </si>
  <si>
    <t>E00517</t>
  </si>
  <si>
    <t>FN518</t>
  </si>
  <si>
    <t>LN518</t>
  </si>
  <si>
    <t>2024-10-16</t>
  </si>
  <si>
    <t>E00518</t>
  </si>
  <si>
    <t>FN519</t>
  </si>
  <si>
    <t>LN519</t>
  </si>
  <si>
    <t>2024-06-22</t>
  </si>
  <si>
    <t>E00519</t>
  </si>
  <si>
    <t>FN520</t>
  </si>
  <si>
    <t>LN520</t>
  </si>
  <si>
    <t>E00520</t>
  </si>
  <si>
    <t>FN521</t>
  </si>
  <si>
    <t>LN521</t>
  </si>
  <si>
    <t>2021-04-29</t>
  </si>
  <si>
    <t>E00521</t>
  </si>
  <si>
    <t>FN522</t>
  </si>
  <si>
    <t>LN522</t>
  </si>
  <si>
    <t>E00522</t>
  </si>
  <si>
    <t>FN523</t>
  </si>
  <si>
    <t>LN523</t>
  </si>
  <si>
    <t>2019-06-22</t>
  </si>
  <si>
    <t>E00523</t>
  </si>
  <si>
    <t>FN524</t>
  </si>
  <si>
    <t>LN524</t>
  </si>
  <si>
    <t>2019-08-26</t>
  </si>
  <si>
    <t>E00524</t>
  </si>
  <si>
    <t>FN525</t>
  </si>
  <si>
    <t>LN525</t>
  </si>
  <si>
    <t>2022-11-07</t>
  </si>
  <si>
    <t>E00525</t>
  </si>
  <si>
    <t>FN526</t>
  </si>
  <si>
    <t>LN526</t>
  </si>
  <si>
    <t>2023-11-25</t>
  </si>
  <si>
    <t>E00526</t>
  </si>
  <si>
    <t>FN527</t>
  </si>
  <si>
    <t>LN527</t>
  </si>
  <si>
    <t>E00527</t>
  </si>
  <si>
    <t>FN528</t>
  </si>
  <si>
    <t>LN528</t>
  </si>
  <si>
    <t>2026-01-20</t>
  </si>
  <si>
    <t>E00528</t>
  </si>
  <si>
    <t>FN529</t>
  </si>
  <si>
    <t>LN529</t>
  </si>
  <si>
    <t>2023-07-29</t>
  </si>
  <si>
    <t>E00529</t>
  </si>
  <si>
    <t>FN530</t>
  </si>
  <si>
    <t>LN530</t>
  </si>
  <si>
    <t>2026-02-27</t>
  </si>
  <si>
    <t>E00530</t>
  </si>
  <si>
    <t>FN531</t>
  </si>
  <si>
    <t>LN531</t>
  </si>
  <si>
    <t>2025-03-26</t>
  </si>
  <si>
    <t>E00531</t>
  </si>
  <si>
    <t>FN532</t>
  </si>
  <si>
    <t>LN532</t>
  </si>
  <si>
    <t>2022-12-12</t>
  </si>
  <si>
    <t>E00532</t>
  </si>
  <si>
    <t>FN533</t>
  </si>
  <si>
    <t>LN533</t>
  </si>
  <si>
    <t>2022-01-30</t>
  </si>
  <si>
    <t>2025-05-07</t>
  </si>
  <si>
    <t>E00533</t>
  </si>
  <si>
    <t>FN534</t>
  </si>
  <si>
    <t>LN534</t>
  </si>
  <si>
    <t>M3</t>
  </si>
  <si>
    <t>E00534</t>
  </si>
  <si>
    <t>FN535</t>
  </si>
  <si>
    <t>LN535</t>
  </si>
  <si>
    <t>2019-03-03</t>
  </si>
  <si>
    <t>E00535</t>
  </si>
  <si>
    <t>FN536</t>
  </si>
  <si>
    <t>LN536</t>
  </si>
  <si>
    <t>2024-11-22</t>
  </si>
  <si>
    <t>E00536</t>
  </si>
  <si>
    <t>FN537</t>
  </si>
  <si>
    <t>LN537</t>
  </si>
  <si>
    <t>2016-01-15</t>
  </si>
  <si>
    <t>E00537</t>
  </si>
  <si>
    <t>FN538</t>
  </si>
  <si>
    <t>LN538</t>
  </si>
  <si>
    <t>E00538</t>
  </si>
  <si>
    <t>FN539</t>
  </si>
  <si>
    <t>LN539</t>
  </si>
  <si>
    <t>2024-02-06</t>
  </si>
  <si>
    <t>E00539</t>
  </si>
  <si>
    <t>FN540</t>
  </si>
  <si>
    <t>LN540</t>
  </si>
  <si>
    <t>2023-07-01</t>
  </si>
  <si>
    <t>E00540</t>
  </si>
  <si>
    <t>FN541</t>
  </si>
  <si>
    <t>LN541</t>
  </si>
  <si>
    <t>2017-03-23</t>
  </si>
  <si>
    <t>E00541</t>
  </si>
  <si>
    <t>FN542</t>
  </si>
  <si>
    <t>LN542</t>
  </si>
  <si>
    <t>E00542</t>
  </si>
  <si>
    <t>FN543</t>
  </si>
  <si>
    <t>LN543</t>
  </si>
  <si>
    <t>2023-07-14</t>
  </si>
  <si>
    <t>E00543</t>
  </si>
  <si>
    <t>FN544</t>
  </si>
  <si>
    <t>LN544</t>
  </si>
  <si>
    <t>2018-02-10</t>
  </si>
  <si>
    <t>E00544</t>
  </si>
  <si>
    <t>FN545</t>
  </si>
  <si>
    <t>LN545</t>
  </si>
  <si>
    <t>2016-02-04</t>
  </si>
  <si>
    <t>E00545</t>
  </si>
  <si>
    <t>FN546</t>
  </si>
  <si>
    <t>LN546</t>
  </si>
  <si>
    <t>2021-03-08</t>
  </si>
  <si>
    <t>E00546</t>
  </si>
  <si>
    <t>FN547</t>
  </si>
  <si>
    <t>LN547</t>
  </si>
  <si>
    <t>2022-08-04</t>
  </si>
  <si>
    <t>E00547</t>
  </si>
  <si>
    <t>FN548</t>
  </si>
  <si>
    <t>LN548</t>
  </si>
  <si>
    <t>2021-12-12</t>
  </si>
  <si>
    <t>E00548</t>
  </si>
  <si>
    <t>FN549</t>
  </si>
  <si>
    <t>LN549</t>
  </si>
  <si>
    <t>E00549</t>
  </si>
  <si>
    <t>FN550</t>
  </si>
  <si>
    <t>LN550</t>
  </si>
  <si>
    <t>2022-02-17</t>
  </si>
  <si>
    <t>E00550</t>
  </si>
  <si>
    <t>FN551</t>
  </si>
  <si>
    <t>LN551</t>
  </si>
  <si>
    <t>E00551</t>
  </si>
  <si>
    <t>FN552</t>
  </si>
  <si>
    <t>LN552</t>
  </si>
  <si>
    <t>2024-05-26</t>
  </si>
  <si>
    <t>E00552</t>
  </si>
  <si>
    <t>FN553</t>
  </si>
  <si>
    <t>LN553</t>
  </si>
  <si>
    <t>2016-02-17</t>
  </si>
  <si>
    <t>E00553</t>
  </si>
  <si>
    <t>FN554</t>
  </si>
  <si>
    <t>LN554</t>
  </si>
  <si>
    <t>2018-11-23</t>
  </si>
  <si>
    <t>E00554</t>
  </si>
  <si>
    <t>FN555</t>
  </si>
  <si>
    <t>LN555</t>
  </si>
  <si>
    <t>2024-11-08</t>
  </si>
  <si>
    <t>E00555</t>
  </si>
  <si>
    <t>FN556</t>
  </si>
  <si>
    <t>LN556</t>
  </si>
  <si>
    <t>2021-10-21</t>
  </si>
  <si>
    <t>E00556</t>
  </si>
  <si>
    <t>FN557</t>
  </si>
  <si>
    <t>LN557</t>
  </si>
  <si>
    <t>2023-11-22</t>
  </si>
  <si>
    <t>E00557</t>
  </si>
  <si>
    <t>FN558</t>
  </si>
  <si>
    <t>LN558</t>
  </si>
  <si>
    <t>2023-08-10</t>
  </si>
  <si>
    <t>E00558</t>
  </si>
  <si>
    <t>FN559</t>
  </si>
  <si>
    <t>LN559</t>
  </si>
  <si>
    <t>2018-06-04</t>
  </si>
  <si>
    <t>E00559</t>
  </si>
  <si>
    <t>FN560</t>
  </si>
  <si>
    <t>LN560</t>
  </si>
  <si>
    <t>2025-06-06</t>
  </si>
  <si>
    <t>E00560</t>
  </si>
  <si>
    <t>FN561</t>
  </si>
  <si>
    <t>LN561</t>
  </si>
  <si>
    <t>2025-10-23</t>
  </si>
  <si>
    <t>E00561</t>
  </si>
  <si>
    <t>FN562</t>
  </si>
  <si>
    <t>LN562</t>
  </si>
  <si>
    <t>2020-04-20</t>
  </si>
  <si>
    <t>E00562</t>
  </si>
  <si>
    <t>FN563</t>
  </si>
  <si>
    <t>LN563</t>
  </si>
  <si>
    <t>2021-09-16</t>
  </si>
  <si>
    <t>E00563</t>
  </si>
  <si>
    <t>FN564</t>
  </si>
  <si>
    <t>LN564</t>
  </si>
  <si>
    <t>2019-11-30</t>
  </si>
  <si>
    <t>E00564</t>
  </si>
  <si>
    <t>FN565</t>
  </si>
  <si>
    <t>LN565</t>
  </si>
  <si>
    <t>E00565</t>
  </si>
  <si>
    <t>FN566</t>
  </si>
  <si>
    <t>LN566</t>
  </si>
  <si>
    <t>2018-01-11</t>
  </si>
  <si>
    <t>E00566</t>
  </si>
  <si>
    <t>FN567</t>
  </si>
  <si>
    <t>LN567</t>
  </si>
  <si>
    <t>2018-12-27</t>
  </si>
  <si>
    <t>E00567</t>
  </si>
  <si>
    <t>FN568</t>
  </si>
  <si>
    <t>LN568</t>
  </si>
  <si>
    <t>2022-11-15</t>
  </si>
  <si>
    <t>E00568</t>
  </si>
  <si>
    <t>FN569</t>
  </si>
  <si>
    <t>LN569</t>
  </si>
  <si>
    <t>2025-01-17</t>
  </si>
  <si>
    <t>E00569</t>
  </si>
  <si>
    <t>FN570</t>
  </si>
  <si>
    <t>LN570</t>
  </si>
  <si>
    <t>2018-02-26</t>
  </si>
  <si>
    <t>E00570</t>
  </si>
  <si>
    <t>FN571</t>
  </si>
  <si>
    <t>LN571</t>
  </si>
  <si>
    <t>2019-08-28</t>
  </si>
  <si>
    <t>E00571</t>
  </si>
  <si>
    <t>FN572</t>
  </si>
  <si>
    <t>LN572</t>
  </si>
  <si>
    <t>2018-05-03</t>
  </si>
  <si>
    <t>E00572</t>
  </si>
  <si>
    <t>FN573</t>
  </si>
  <si>
    <t>LN573</t>
  </si>
  <si>
    <t>2025-03-23</t>
  </si>
  <si>
    <t>E00573</t>
  </si>
  <si>
    <t>FN574</t>
  </si>
  <si>
    <t>LN574</t>
  </si>
  <si>
    <t>E00574</t>
  </si>
  <si>
    <t>FN575</t>
  </si>
  <si>
    <t>LN575</t>
  </si>
  <si>
    <t>E00575</t>
  </si>
  <si>
    <t>FN576</t>
  </si>
  <si>
    <t>LN576</t>
  </si>
  <si>
    <t>2019-04-04</t>
  </si>
  <si>
    <t>E00576</t>
  </si>
  <si>
    <t>FN577</t>
  </si>
  <si>
    <t>LN577</t>
  </si>
  <si>
    <t>2025-12-07</t>
  </si>
  <si>
    <t>E00577</t>
  </si>
  <si>
    <t>FN578</t>
  </si>
  <si>
    <t>LN578</t>
  </si>
  <si>
    <t>2019-04-22</t>
  </si>
  <si>
    <t>E00578</t>
  </si>
  <si>
    <t>FN579</t>
  </si>
  <si>
    <t>LN579</t>
  </si>
  <si>
    <t>2024-02-02</t>
  </si>
  <si>
    <t>E00579</t>
  </si>
  <si>
    <t>FN580</t>
  </si>
  <si>
    <t>LN580</t>
  </si>
  <si>
    <t>2017-07-10</t>
  </si>
  <si>
    <t>E00580</t>
  </si>
  <si>
    <t>FN581</t>
  </si>
  <si>
    <t>LN581</t>
  </si>
  <si>
    <t>2018-03-04</t>
  </si>
  <si>
    <t>2019-10-10</t>
  </si>
  <si>
    <t>E00581</t>
  </si>
  <si>
    <t>FN582</t>
  </si>
  <si>
    <t>LN582</t>
  </si>
  <si>
    <t>E00582</t>
  </si>
  <si>
    <t>FN583</t>
  </si>
  <si>
    <t>LN583</t>
  </si>
  <si>
    <t>2021-04-28</t>
  </si>
  <si>
    <t>E00583</t>
  </si>
  <si>
    <t>FN584</t>
  </si>
  <si>
    <t>LN584</t>
  </si>
  <si>
    <t>2025-07-01</t>
  </si>
  <si>
    <t>E00584</t>
  </si>
  <si>
    <t>FN585</t>
  </si>
  <si>
    <t>LN585</t>
  </si>
  <si>
    <t>2018-09-25</t>
  </si>
  <si>
    <t>2023-05-12</t>
  </si>
  <si>
    <t>E00585</t>
  </si>
  <si>
    <t>FN586</t>
  </si>
  <si>
    <t>LN586</t>
  </si>
  <si>
    <t>2021-11-14</t>
  </si>
  <si>
    <t>E00586</t>
  </si>
  <si>
    <t>FN587</t>
  </si>
  <si>
    <t>LN587</t>
  </si>
  <si>
    <t>E00587</t>
  </si>
  <si>
    <t>FN588</t>
  </si>
  <si>
    <t>LN588</t>
  </si>
  <si>
    <t>2023-04-09</t>
  </si>
  <si>
    <t>2028-04-20</t>
  </si>
  <si>
    <t>E00588</t>
  </si>
  <si>
    <t>FN589</t>
  </si>
  <si>
    <t>LN589</t>
  </si>
  <si>
    <t>2018-04-25</t>
  </si>
  <si>
    <t>E00589</t>
  </si>
  <si>
    <t>FN590</t>
  </si>
  <si>
    <t>LN590</t>
  </si>
  <si>
    <t>2022-01-10</t>
  </si>
  <si>
    <t>E00590</t>
  </si>
  <si>
    <t>FN591</t>
  </si>
  <si>
    <t>LN591</t>
  </si>
  <si>
    <t>2019-01-03</t>
  </si>
  <si>
    <t>E00591</t>
  </si>
  <si>
    <t>FN592</t>
  </si>
  <si>
    <t>LN592</t>
  </si>
  <si>
    <t>E00592</t>
  </si>
  <si>
    <t>FN593</t>
  </si>
  <si>
    <t>LN593</t>
  </si>
  <si>
    <t>2028-03-06</t>
  </si>
  <si>
    <t>E00593</t>
  </si>
  <si>
    <t>FN594</t>
  </si>
  <si>
    <t>LN594</t>
  </si>
  <si>
    <t>E00594</t>
  </si>
  <si>
    <t>FN595</t>
  </si>
  <si>
    <t>LN595</t>
  </si>
  <si>
    <t>2025-03-17</t>
  </si>
  <si>
    <t>E00595</t>
  </si>
  <si>
    <t>FN596</t>
  </si>
  <si>
    <t>LN596</t>
  </si>
  <si>
    <t>2026-04-30</t>
  </si>
  <si>
    <t>E00596</t>
  </si>
  <si>
    <t>FN597</t>
  </si>
  <si>
    <t>LN597</t>
  </si>
  <si>
    <t>2019-10-26</t>
  </si>
  <si>
    <t>E00597</t>
  </si>
  <si>
    <t>FN598</t>
  </si>
  <si>
    <t>LN598</t>
  </si>
  <si>
    <t>2017-10-21</t>
  </si>
  <si>
    <t>2025-11-08</t>
  </si>
  <si>
    <t>E00598</t>
  </si>
  <si>
    <t>FN599</t>
  </si>
  <si>
    <t>LN599</t>
  </si>
  <si>
    <t>E00599</t>
  </si>
  <si>
    <t>FN600</t>
  </si>
  <si>
    <t>LN600</t>
  </si>
  <si>
    <t>2019-12-18</t>
  </si>
  <si>
    <t>2026-04-19</t>
  </si>
  <si>
    <t>E00600</t>
  </si>
  <si>
    <t>FN601</t>
  </si>
  <si>
    <t>LN601</t>
  </si>
  <si>
    <t>2018-04-26</t>
  </si>
  <si>
    <t>E00601</t>
  </si>
  <si>
    <t>FN602</t>
  </si>
  <si>
    <t>LN602</t>
  </si>
  <si>
    <t>E00602</t>
  </si>
  <si>
    <t>FN603</t>
  </si>
  <si>
    <t>LN603</t>
  </si>
  <si>
    <t>E00603</t>
  </si>
  <si>
    <t>FN604</t>
  </si>
  <si>
    <t>LN604</t>
  </si>
  <si>
    <t>2016-10-13</t>
  </si>
  <si>
    <t>E00604</t>
  </si>
  <si>
    <t>FN605</t>
  </si>
  <si>
    <t>LN605</t>
  </si>
  <si>
    <t>2016-03-29</t>
  </si>
  <si>
    <t>E00605</t>
  </si>
  <si>
    <t>FN606</t>
  </si>
  <si>
    <t>LN606</t>
  </si>
  <si>
    <t>2017-08-20</t>
  </si>
  <si>
    <t>2019-07-11</t>
  </si>
  <si>
    <t>E00606</t>
  </si>
  <si>
    <t>FN607</t>
  </si>
  <si>
    <t>LN607</t>
  </si>
  <si>
    <t>2024-02-25</t>
  </si>
  <si>
    <t>2030-06-02</t>
  </si>
  <si>
    <t>E00607</t>
  </si>
  <si>
    <t>FN608</t>
  </si>
  <si>
    <t>LN608</t>
  </si>
  <si>
    <t>E00608</t>
  </si>
  <si>
    <t>FN609</t>
  </si>
  <si>
    <t>LN609</t>
  </si>
  <si>
    <t>2024-09-20</t>
  </si>
  <si>
    <t>E00609</t>
  </si>
  <si>
    <t>FN610</t>
  </si>
  <si>
    <t>LN610</t>
  </si>
  <si>
    <t>2017-04-22</t>
  </si>
  <si>
    <t>E00610</t>
  </si>
  <si>
    <t>FN611</t>
  </si>
  <si>
    <t>LN611</t>
  </si>
  <si>
    <t>2021-04-04</t>
  </si>
  <si>
    <t>E00611</t>
  </si>
  <si>
    <t>FN612</t>
  </si>
  <si>
    <t>LN612</t>
  </si>
  <si>
    <t>2020-01-02</t>
  </si>
  <si>
    <t>E00612</t>
  </si>
  <si>
    <t>FN613</t>
  </si>
  <si>
    <t>LN613</t>
  </si>
  <si>
    <t>2017-01-09</t>
  </si>
  <si>
    <t>E00613</t>
  </si>
  <si>
    <t>FN614</t>
  </si>
  <si>
    <t>LN614</t>
  </si>
  <si>
    <t>2018-07-02</t>
  </si>
  <si>
    <t>E00614</t>
  </si>
  <si>
    <t>FN615</t>
  </si>
  <si>
    <t>LN615</t>
  </si>
  <si>
    <t>2018-01-03</t>
  </si>
  <si>
    <t>E00615</t>
  </si>
  <si>
    <t>FN616</t>
  </si>
  <si>
    <t>LN616</t>
  </si>
  <si>
    <t>2024-04-02</t>
  </si>
  <si>
    <t>E00616</t>
  </si>
  <si>
    <t>FN617</t>
  </si>
  <si>
    <t>LN617</t>
  </si>
  <si>
    <t>2024-04-15</t>
  </si>
  <si>
    <t>2027-07-21</t>
  </si>
  <si>
    <t>E00617</t>
  </si>
  <si>
    <t>FN618</t>
  </si>
  <si>
    <t>LN618</t>
  </si>
  <si>
    <t>2024-04-04</t>
  </si>
  <si>
    <t>E00618</t>
  </si>
  <si>
    <t>FN619</t>
  </si>
  <si>
    <t>LN619</t>
  </si>
  <si>
    <t>2016-11-05</t>
  </si>
  <si>
    <t>2023-05-17</t>
  </si>
  <si>
    <t>E00619</t>
  </si>
  <si>
    <t>FN620</t>
  </si>
  <si>
    <t>LN620</t>
  </si>
  <si>
    <t>2021-12-09</t>
  </si>
  <si>
    <t>E00620</t>
  </si>
  <si>
    <t>FN621</t>
  </si>
  <si>
    <t>LN621</t>
  </si>
  <si>
    <t>2019-07-23</t>
  </si>
  <si>
    <t>E00621</t>
  </si>
  <si>
    <t>FN622</t>
  </si>
  <si>
    <t>LN622</t>
  </si>
  <si>
    <t>E00622</t>
  </si>
  <si>
    <t>FN623</t>
  </si>
  <si>
    <t>LN623</t>
  </si>
  <si>
    <t>2022-11-19</t>
  </si>
  <si>
    <t>E00623</t>
  </si>
  <si>
    <t>FN624</t>
  </si>
  <si>
    <t>LN624</t>
  </si>
  <si>
    <t>2020-04-01</t>
  </si>
  <si>
    <t>E00624</t>
  </si>
  <si>
    <t>FN625</t>
  </si>
  <si>
    <t>LN625</t>
  </si>
  <si>
    <t>2023-03-03</t>
  </si>
  <si>
    <t>2028-07-01</t>
  </si>
  <si>
    <t>E00625</t>
  </si>
  <si>
    <t>FN626</t>
  </si>
  <si>
    <t>LN626</t>
  </si>
  <si>
    <t>2016-03-21</t>
  </si>
  <si>
    <t>E00626</t>
  </si>
  <si>
    <t>FN627</t>
  </si>
  <si>
    <t>LN627</t>
  </si>
  <si>
    <t>2018-12-01</t>
  </si>
  <si>
    <t>E00627</t>
  </si>
  <si>
    <t>FN628</t>
  </si>
  <si>
    <t>LN628</t>
  </si>
  <si>
    <t>2024-10-07</t>
  </si>
  <si>
    <t>E00628</t>
  </si>
  <si>
    <t>FN629</t>
  </si>
  <si>
    <t>LN629</t>
  </si>
  <si>
    <t>E00629</t>
  </si>
  <si>
    <t>FN630</t>
  </si>
  <si>
    <t>LN630</t>
  </si>
  <si>
    <t>2022-11-05</t>
  </si>
  <si>
    <t>E00630</t>
  </si>
  <si>
    <t>FN631</t>
  </si>
  <si>
    <t>LN631</t>
  </si>
  <si>
    <t>2017-06-27</t>
  </si>
  <si>
    <t>E00631</t>
  </si>
  <si>
    <t>FN632</t>
  </si>
  <si>
    <t>LN632</t>
  </si>
  <si>
    <t>E00632</t>
  </si>
  <si>
    <t>FN633</t>
  </si>
  <si>
    <t>LN633</t>
  </si>
  <si>
    <t>E00633</t>
  </si>
  <si>
    <t>FN634</t>
  </si>
  <si>
    <t>LN634</t>
  </si>
  <si>
    <t>2017-01-19</t>
  </si>
  <si>
    <t>E00634</t>
  </si>
  <si>
    <t>FN635</t>
  </si>
  <si>
    <t>LN635</t>
  </si>
  <si>
    <t>2026-04-08</t>
  </si>
  <si>
    <t>E00635</t>
  </si>
  <si>
    <t>FN636</t>
  </si>
  <si>
    <t>LN636</t>
  </si>
  <si>
    <t>2019-01-25</t>
  </si>
  <si>
    <t>E00636</t>
  </si>
  <si>
    <t>FN637</t>
  </si>
  <si>
    <t>LN637</t>
  </si>
  <si>
    <t>2020-06-07</t>
  </si>
  <si>
    <t>E00637</t>
  </si>
  <si>
    <t>FN638</t>
  </si>
  <si>
    <t>LN638</t>
  </si>
  <si>
    <t>2023-01-09</t>
  </si>
  <si>
    <t>2024-06-12</t>
  </si>
  <si>
    <t>E00638</t>
  </si>
  <si>
    <t>FN639</t>
  </si>
  <si>
    <t>LN639</t>
  </si>
  <si>
    <t>2023-03-28</t>
  </si>
  <si>
    <t>E00639</t>
  </si>
  <si>
    <t>FN640</t>
  </si>
  <si>
    <t>LN640</t>
  </si>
  <si>
    <t>2016-11-22</t>
  </si>
  <si>
    <t>E00640</t>
  </si>
  <si>
    <t>FN641</t>
  </si>
  <si>
    <t>LN641</t>
  </si>
  <si>
    <t>2016-04-16</t>
  </si>
  <si>
    <t>E00641</t>
  </si>
  <si>
    <t>FN642</t>
  </si>
  <si>
    <t>LN642</t>
  </si>
  <si>
    <t>2018-03-30</t>
  </si>
  <si>
    <t>2019-04-14</t>
  </si>
  <si>
    <t>E00642</t>
  </si>
  <si>
    <t>FN643</t>
  </si>
  <si>
    <t>LN643</t>
  </si>
  <si>
    <t>2023-06-04</t>
  </si>
  <si>
    <t>E00643</t>
  </si>
  <si>
    <t>FN644</t>
  </si>
  <si>
    <t>LN644</t>
  </si>
  <si>
    <t>2026-05-22</t>
  </si>
  <si>
    <t>E00644</t>
  </si>
  <si>
    <t>FN645</t>
  </si>
  <si>
    <t>LN645</t>
  </si>
  <si>
    <t>2030-08-18</t>
  </si>
  <si>
    <t>E00645</t>
  </si>
  <si>
    <t>FN646</t>
  </si>
  <si>
    <t>LN646</t>
  </si>
  <si>
    <t>2018-11-05</t>
  </si>
  <si>
    <t>E00646</t>
  </si>
  <si>
    <t>FN647</t>
  </si>
  <si>
    <t>LN647</t>
  </si>
  <si>
    <t>2020-02-21</t>
  </si>
  <si>
    <t>E00647</t>
  </si>
  <si>
    <t>FN648</t>
  </si>
  <si>
    <t>LN648</t>
  </si>
  <si>
    <t>2026-05-02</t>
  </si>
  <si>
    <t>E00648</t>
  </si>
  <si>
    <t>FN649</t>
  </si>
  <si>
    <t>LN649</t>
  </si>
  <si>
    <t>2016-03-31</t>
  </si>
  <si>
    <t>E00649</t>
  </si>
  <si>
    <t>FN650</t>
  </si>
  <si>
    <t>LN650</t>
  </si>
  <si>
    <t>E00650</t>
  </si>
  <si>
    <t>FN651</t>
  </si>
  <si>
    <t>LN651</t>
  </si>
  <si>
    <t>E00651</t>
  </si>
  <si>
    <t>FN652</t>
  </si>
  <si>
    <t>LN652</t>
  </si>
  <si>
    <t>2018-02-12</t>
  </si>
  <si>
    <t>E00652</t>
  </si>
  <si>
    <t>FN653</t>
  </si>
  <si>
    <t>LN653</t>
  </si>
  <si>
    <t>2020-11-03</t>
  </si>
  <si>
    <t>E00653</t>
  </si>
  <si>
    <t>FN654</t>
  </si>
  <si>
    <t>LN654</t>
  </si>
  <si>
    <t>2016-08-11</t>
  </si>
  <si>
    <t>E00654</t>
  </si>
  <si>
    <t>FN655</t>
  </si>
  <si>
    <t>LN655</t>
  </si>
  <si>
    <t>E00655</t>
  </si>
  <si>
    <t>FN656</t>
  </si>
  <si>
    <t>LN656</t>
  </si>
  <si>
    <t>2018-05-17</t>
  </si>
  <si>
    <t>E00656</t>
  </si>
  <si>
    <t>FN657</t>
  </si>
  <si>
    <t>LN657</t>
  </si>
  <si>
    <t>2016-01-05</t>
  </si>
  <si>
    <t>E00657</t>
  </si>
  <si>
    <t>FN658</t>
  </si>
  <si>
    <t>LN658</t>
  </si>
  <si>
    <t>2022-04-18</t>
  </si>
  <si>
    <t>E00658</t>
  </si>
  <si>
    <t>FN659</t>
  </si>
  <si>
    <t>LN659</t>
  </si>
  <si>
    <t>2023-09-15</t>
  </si>
  <si>
    <t>E00659</t>
  </si>
  <si>
    <t>FN660</t>
  </si>
  <si>
    <t>LN660</t>
  </si>
  <si>
    <t>2024-12-30</t>
  </si>
  <si>
    <t>E00660</t>
  </si>
  <si>
    <t>FN661</t>
  </si>
  <si>
    <t>LN661</t>
  </si>
  <si>
    <t>2021-12-19</t>
  </si>
  <si>
    <t>E00661</t>
  </si>
  <si>
    <t>FN662</t>
  </si>
  <si>
    <t>LN662</t>
  </si>
  <si>
    <t>2026-09-09</t>
  </si>
  <si>
    <t>E00662</t>
  </si>
  <si>
    <t>FN663</t>
  </si>
  <si>
    <t>LN663</t>
  </si>
  <si>
    <t>2017-08-13</t>
  </si>
  <si>
    <t>E00663</t>
  </si>
  <si>
    <t>FN664</t>
  </si>
  <si>
    <t>LN664</t>
  </si>
  <si>
    <t>2021-05-07</t>
  </si>
  <si>
    <t>E00664</t>
  </si>
  <si>
    <t>FN665</t>
  </si>
  <si>
    <t>LN665</t>
  </si>
  <si>
    <t>2016-10-31</t>
  </si>
  <si>
    <t>E00665</t>
  </si>
  <si>
    <t>FN666</t>
  </si>
  <si>
    <t>LN666</t>
  </si>
  <si>
    <t>2023-03-21</t>
  </si>
  <si>
    <t>E00666</t>
  </si>
  <si>
    <t>FN667</t>
  </si>
  <si>
    <t>LN667</t>
  </si>
  <si>
    <t>2025-03-21</t>
  </si>
  <si>
    <t>E00667</t>
  </si>
  <si>
    <t>FN668</t>
  </si>
  <si>
    <t>LN668</t>
  </si>
  <si>
    <t>2025-06-18</t>
  </si>
  <si>
    <t>E00668</t>
  </si>
  <si>
    <t>FN669</t>
  </si>
  <si>
    <t>LN669</t>
  </si>
  <si>
    <t>2017-01-18</t>
  </si>
  <si>
    <t>E00669</t>
  </si>
  <si>
    <t>FN670</t>
  </si>
  <si>
    <t>LN670</t>
  </si>
  <si>
    <t>2016-04-25</t>
  </si>
  <si>
    <t>E00670</t>
  </si>
  <si>
    <t>FN671</t>
  </si>
  <si>
    <t>LN671</t>
  </si>
  <si>
    <t>E00671</t>
  </si>
  <si>
    <t>FN672</t>
  </si>
  <si>
    <t>LN672</t>
  </si>
  <si>
    <t>E00672</t>
  </si>
  <si>
    <t>FN673</t>
  </si>
  <si>
    <t>LN673</t>
  </si>
  <si>
    <t>2019-12-20</t>
  </si>
  <si>
    <t>E00673</t>
  </si>
  <si>
    <t>FN674</t>
  </si>
  <si>
    <t>LN674</t>
  </si>
  <si>
    <t>2023-03-09</t>
  </si>
  <si>
    <t>E00674</t>
  </si>
  <si>
    <t>FN675</t>
  </si>
  <si>
    <t>LN675</t>
  </si>
  <si>
    <t>E00675</t>
  </si>
  <si>
    <t>FN676</t>
  </si>
  <si>
    <t>LN676</t>
  </si>
  <si>
    <t>2023-01-15</t>
  </si>
  <si>
    <t>E00676</t>
  </si>
  <si>
    <t>FN677</t>
  </si>
  <si>
    <t>LN677</t>
  </si>
  <si>
    <t>2020-07-08</t>
  </si>
  <si>
    <t>E00677</t>
  </si>
  <si>
    <t>FN678</t>
  </si>
  <si>
    <t>LN678</t>
  </si>
  <si>
    <t>2018-10-28</t>
  </si>
  <si>
    <t>E00678</t>
  </si>
  <si>
    <t>FN679</t>
  </si>
  <si>
    <t>LN679</t>
  </si>
  <si>
    <t>2024-03-15</t>
  </si>
  <si>
    <t>E00679</t>
  </si>
  <si>
    <t>FN680</t>
  </si>
  <si>
    <t>LN680</t>
  </si>
  <si>
    <t>2018-06-19</t>
  </si>
  <si>
    <t>E00680</t>
  </si>
  <si>
    <t>FN681</t>
  </si>
  <si>
    <t>LN681</t>
  </si>
  <si>
    <t>2024-07-22</t>
  </si>
  <si>
    <t>E00681</t>
  </si>
  <si>
    <t>FN682</t>
  </si>
  <si>
    <t>LN682</t>
  </si>
  <si>
    <t>2025-06-14</t>
  </si>
  <si>
    <t>E00682</t>
  </si>
  <si>
    <t>FN683</t>
  </si>
  <si>
    <t>LN683</t>
  </si>
  <si>
    <t>2025-03-30</t>
  </si>
  <si>
    <t>E00683</t>
  </si>
  <si>
    <t>FN684</t>
  </si>
  <si>
    <t>LN684</t>
  </si>
  <si>
    <t>2018-08-07</t>
  </si>
  <si>
    <t>E00684</t>
  </si>
  <si>
    <t>FN685</t>
  </si>
  <si>
    <t>LN685</t>
  </si>
  <si>
    <t>2023-10-17</t>
  </si>
  <si>
    <t>E00685</t>
  </si>
  <si>
    <t>FN686</t>
  </si>
  <si>
    <t>LN686</t>
  </si>
  <si>
    <t>2019-03-08</t>
  </si>
  <si>
    <t>E00686</t>
  </si>
  <si>
    <t>FN687</t>
  </si>
  <si>
    <t>LN687</t>
  </si>
  <si>
    <t>2025-07-09</t>
  </si>
  <si>
    <t>E00687</t>
  </si>
  <si>
    <t>FN688</t>
  </si>
  <si>
    <t>LN688</t>
  </si>
  <si>
    <t>2018-01-02</t>
  </si>
  <si>
    <t>E00688</t>
  </si>
  <si>
    <t>FN689</t>
  </si>
  <si>
    <t>LN689</t>
  </si>
  <si>
    <t>2019-11-10</t>
  </si>
  <si>
    <t>E00689</t>
  </si>
  <si>
    <t>FN690</t>
  </si>
  <si>
    <t>LN690</t>
  </si>
  <si>
    <t>2024-12-03</t>
  </si>
  <si>
    <t>E00690</t>
  </si>
  <si>
    <t>FN691</t>
  </si>
  <si>
    <t>LN691</t>
  </si>
  <si>
    <t>2024-10-24</t>
  </si>
  <si>
    <t>2029-10-22</t>
  </si>
  <si>
    <t>E00691</t>
  </si>
  <si>
    <t>FN692</t>
  </si>
  <si>
    <t>LN692</t>
  </si>
  <si>
    <t>2020-03-07</t>
  </si>
  <si>
    <t>E00692</t>
  </si>
  <si>
    <t>FN693</t>
  </si>
  <si>
    <t>LN693</t>
  </si>
  <si>
    <t>2016-11-24</t>
  </si>
  <si>
    <t>E00693</t>
  </si>
  <si>
    <t>FN694</t>
  </si>
  <si>
    <t>LN694</t>
  </si>
  <si>
    <t>2017-02-06</t>
  </si>
  <si>
    <t>E00694</t>
  </si>
  <si>
    <t>FN695</t>
  </si>
  <si>
    <t>LN695</t>
  </si>
  <si>
    <t>2019-07-01</t>
  </si>
  <si>
    <t>E00695</t>
  </si>
  <si>
    <t>FN696</t>
  </si>
  <si>
    <t>LN696</t>
  </si>
  <si>
    <t>2018-01-06</t>
  </si>
  <si>
    <t>E00696</t>
  </si>
  <si>
    <t>FN697</t>
  </si>
  <si>
    <t>LN697</t>
  </si>
  <si>
    <t>2022-07-29</t>
  </si>
  <si>
    <t>E00697</t>
  </si>
  <si>
    <t>FN698</t>
  </si>
  <si>
    <t>LN698</t>
  </si>
  <si>
    <t>E00698</t>
  </si>
  <si>
    <t>FN699</t>
  </si>
  <si>
    <t>LN699</t>
  </si>
  <si>
    <t>2021-06-30</t>
  </si>
  <si>
    <t>E00699</t>
  </si>
  <si>
    <t>FN700</t>
  </si>
  <si>
    <t>LN700</t>
  </si>
  <si>
    <t>E00700</t>
  </si>
  <si>
    <t>FN701</t>
  </si>
  <si>
    <t>LN701</t>
  </si>
  <si>
    <t>2025-05-16</t>
  </si>
  <si>
    <t>E00701</t>
  </si>
  <si>
    <t>FN702</t>
  </si>
  <si>
    <t>LN702</t>
  </si>
  <si>
    <t>2021-10-19</t>
  </si>
  <si>
    <t>E00702</t>
  </si>
  <si>
    <t>FN703</t>
  </si>
  <si>
    <t>LN703</t>
  </si>
  <si>
    <t>E00703</t>
  </si>
  <si>
    <t>FN704</t>
  </si>
  <si>
    <t>LN704</t>
  </si>
  <si>
    <t>2016-07-15</t>
  </si>
  <si>
    <t>E00704</t>
  </si>
  <si>
    <t>FN705</t>
  </si>
  <si>
    <t>LN705</t>
  </si>
  <si>
    <t>2019-11-16</t>
  </si>
  <si>
    <t>E00705</t>
  </si>
  <si>
    <t>FN706</t>
  </si>
  <si>
    <t>LN706</t>
  </si>
  <si>
    <t>E00706</t>
  </si>
  <si>
    <t>FN707</t>
  </si>
  <si>
    <t>LN707</t>
  </si>
  <si>
    <t>2022-09-27</t>
  </si>
  <si>
    <t>E00707</t>
  </si>
  <si>
    <t>FN708</t>
  </si>
  <si>
    <t>LN708</t>
  </si>
  <si>
    <t>2023-02-07</t>
  </si>
  <si>
    <t>E00708</t>
  </si>
  <si>
    <t>FN709</t>
  </si>
  <si>
    <t>LN709</t>
  </si>
  <si>
    <t>2024-12-07</t>
  </si>
  <si>
    <t>E00709</t>
  </si>
  <si>
    <t>FN710</t>
  </si>
  <si>
    <t>LN710</t>
  </si>
  <si>
    <t>E00710</t>
  </si>
  <si>
    <t>FN711</t>
  </si>
  <si>
    <t>LN711</t>
  </si>
  <si>
    <t>2025-03-13</t>
  </si>
  <si>
    <t>E00711</t>
  </si>
  <si>
    <t>FN712</t>
  </si>
  <si>
    <t>LN712</t>
  </si>
  <si>
    <t>2023-09-22</t>
  </si>
  <si>
    <t>E00712</t>
  </si>
  <si>
    <t>FN713</t>
  </si>
  <si>
    <t>LN713</t>
  </si>
  <si>
    <t>2022-07-24</t>
  </si>
  <si>
    <t>E00713</t>
  </si>
  <si>
    <t>FN714</t>
  </si>
  <si>
    <t>LN714</t>
  </si>
  <si>
    <t>E00714</t>
  </si>
  <si>
    <t>FN715</t>
  </si>
  <si>
    <t>LN715</t>
  </si>
  <si>
    <t>2019-12-08</t>
  </si>
  <si>
    <t>E00715</t>
  </si>
  <si>
    <t>FN716</t>
  </si>
  <si>
    <t>LN716</t>
  </si>
  <si>
    <t>2022-05-09</t>
  </si>
  <si>
    <t>E00716</t>
  </si>
  <si>
    <t>FN717</t>
  </si>
  <si>
    <t>LN717</t>
  </si>
  <si>
    <t>E00717</t>
  </si>
  <si>
    <t>FN718</t>
  </si>
  <si>
    <t>LN718</t>
  </si>
  <si>
    <t>2024-11-05</t>
  </si>
  <si>
    <t>E00718</t>
  </si>
  <si>
    <t>FN719</t>
  </si>
  <si>
    <t>LN719</t>
  </si>
  <si>
    <t>2018-09-01</t>
  </si>
  <si>
    <t>E00719</t>
  </si>
  <si>
    <t>FN720</t>
  </si>
  <si>
    <t>LN720</t>
  </si>
  <si>
    <t>2022-01-01</t>
  </si>
  <si>
    <t>E00720</t>
  </si>
  <si>
    <t>FN721</t>
  </si>
  <si>
    <t>LN721</t>
  </si>
  <si>
    <t>2019-03-11</t>
  </si>
  <si>
    <t>E00721</t>
  </si>
  <si>
    <t>FN722</t>
  </si>
  <si>
    <t>LN722</t>
  </si>
  <si>
    <t>2018-07-12</t>
  </si>
  <si>
    <t>E00722</t>
  </si>
  <si>
    <t>FN723</t>
  </si>
  <si>
    <t>LN723</t>
  </si>
  <si>
    <t>2019-10-15</t>
  </si>
  <si>
    <t>2024-10-30</t>
  </si>
  <si>
    <t>E00723</t>
  </si>
  <si>
    <t>FN724</t>
  </si>
  <si>
    <t>LN724</t>
  </si>
  <si>
    <t>2022-02-01</t>
  </si>
  <si>
    <t>E00724</t>
  </si>
  <si>
    <t>FN725</t>
  </si>
  <si>
    <t>LN725</t>
  </si>
  <si>
    <t>E00725</t>
  </si>
  <si>
    <t>FN726</t>
  </si>
  <si>
    <t>LN726</t>
  </si>
  <si>
    <t>2022-08-13</t>
  </si>
  <si>
    <t>E00726</t>
  </si>
  <si>
    <t>FN727</t>
  </si>
  <si>
    <t>LN727</t>
  </si>
  <si>
    <t>2023-09-19</t>
  </si>
  <si>
    <t>E00727</t>
  </si>
  <si>
    <t>FN728</t>
  </si>
  <si>
    <t>LN728</t>
  </si>
  <si>
    <t>E00728</t>
  </si>
  <si>
    <t>FN729</t>
  </si>
  <si>
    <t>LN729</t>
  </si>
  <si>
    <t>2024-11-06</t>
  </si>
  <si>
    <t>E00729</t>
  </si>
  <si>
    <t>FN730</t>
  </si>
  <si>
    <t>LN730</t>
  </si>
  <si>
    <t>2017-04-13</t>
  </si>
  <si>
    <t>E00730</t>
  </si>
  <si>
    <t>FN731</t>
  </si>
  <si>
    <t>LN731</t>
  </si>
  <si>
    <t>2023-01-23</t>
  </si>
  <si>
    <t>E00731</t>
  </si>
  <si>
    <t>FN732</t>
  </si>
  <si>
    <t>LN732</t>
  </si>
  <si>
    <t>2019-12-22</t>
  </si>
  <si>
    <t>E00732</t>
  </si>
  <si>
    <t>FN733</t>
  </si>
  <si>
    <t>LN733</t>
  </si>
  <si>
    <t>2023-05-19</t>
  </si>
  <si>
    <t>E00733</t>
  </si>
  <si>
    <t>FN734</t>
  </si>
  <si>
    <t>LN734</t>
  </si>
  <si>
    <t>2022-12-07</t>
  </si>
  <si>
    <t>E00734</t>
  </si>
  <si>
    <t>FN735</t>
  </si>
  <si>
    <t>LN735</t>
  </si>
  <si>
    <t>2016-03-13</t>
  </si>
  <si>
    <t>E00735</t>
  </si>
  <si>
    <t>FN736</t>
  </si>
  <si>
    <t>LN736</t>
  </si>
  <si>
    <t>2020-11-28</t>
  </si>
  <si>
    <t>E00736</t>
  </si>
  <si>
    <t>FN737</t>
  </si>
  <si>
    <t>LN737</t>
  </si>
  <si>
    <t>2019-09-03</t>
  </si>
  <si>
    <t>E00737</t>
  </si>
  <si>
    <t>FN738</t>
  </si>
  <si>
    <t>LN738</t>
  </si>
  <si>
    <t>E00738</t>
  </si>
  <si>
    <t>FN739</t>
  </si>
  <si>
    <t>LN739</t>
  </si>
  <si>
    <t>2024-10-27</t>
  </si>
  <si>
    <t>E00739</t>
  </si>
  <si>
    <t>FN740</t>
  </si>
  <si>
    <t>LN740</t>
  </si>
  <si>
    <t>2022-07-21</t>
  </si>
  <si>
    <t>E00740</t>
  </si>
  <si>
    <t>FN741</t>
  </si>
  <si>
    <t>LN741</t>
  </si>
  <si>
    <t>2023-08-22</t>
  </si>
  <si>
    <t>E00741</t>
  </si>
  <si>
    <t>FN742</t>
  </si>
  <si>
    <t>LN742</t>
  </si>
  <si>
    <t>E00742</t>
  </si>
  <si>
    <t>FN743</t>
  </si>
  <si>
    <t>LN743</t>
  </si>
  <si>
    <t>E00743</t>
  </si>
  <si>
    <t>FN744</t>
  </si>
  <si>
    <t>LN744</t>
  </si>
  <si>
    <t>2017-07-22</t>
  </si>
  <si>
    <t>E00744</t>
  </si>
  <si>
    <t>FN745</t>
  </si>
  <si>
    <t>LN745</t>
  </si>
  <si>
    <t>2024-04-23</t>
  </si>
  <si>
    <t>E00745</t>
  </si>
  <si>
    <t>FN746</t>
  </si>
  <si>
    <t>LN746</t>
  </si>
  <si>
    <t>E00746</t>
  </si>
  <si>
    <t>FN747</t>
  </si>
  <si>
    <t>LN747</t>
  </si>
  <si>
    <t>E00747</t>
  </si>
  <si>
    <t>FN748</t>
  </si>
  <si>
    <t>LN748</t>
  </si>
  <si>
    <t>2025-01-20</t>
  </si>
  <si>
    <t>E00748</t>
  </si>
  <si>
    <t>FN749</t>
  </si>
  <si>
    <t>LN749</t>
  </si>
  <si>
    <t>2025-07-24</t>
  </si>
  <si>
    <t>E00749</t>
  </si>
  <si>
    <t>FN750</t>
  </si>
  <si>
    <t>LN750</t>
  </si>
  <si>
    <t>2019-06-06</t>
  </si>
  <si>
    <t>E00750</t>
  </si>
  <si>
    <t>FN751</t>
  </si>
  <si>
    <t>LN751</t>
  </si>
  <si>
    <t>2023-08-14</t>
  </si>
  <si>
    <t>E00751</t>
  </si>
  <si>
    <t>FN752</t>
  </si>
  <si>
    <t>LN752</t>
  </si>
  <si>
    <t>2018-11-22</t>
  </si>
  <si>
    <t>E00752</t>
  </si>
  <si>
    <t>FN753</t>
  </si>
  <si>
    <t>LN753</t>
  </si>
  <si>
    <t>E00753</t>
  </si>
  <si>
    <t>FN754</t>
  </si>
  <si>
    <t>LN754</t>
  </si>
  <si>
    <t>2016-10-04</t>
  </si>
  <si>
    <t>E00754</t>
  </si>
  <si>
    <t>FN755</t>
  </si>
  <si>
    <t>LN755</t>
  </si>
  <si>
    <t>2021-07-17</t>
  </si>
  <si>
    <t>E00755</t>
  </si>
  <si>
    <t>FN756</t>
  </si>
  <si>
    <t>LN756</t>
  </si>
  <si>
    <t>2016-10-14</t>
  </si>
  <si>
    <t>2020-04-17</t>
  </si>
  <si>
    <t>E00756</t>
  </si>
  <si>
    <t>FN757</t>
  </si>
  <si>
    <t>LN757</t>
  </si>
  <si>
    <t>2022-11-25</t>
  </si>
  <si>
    <t>E00757</t>
  </si>
  <si>
    <t>FN758</t>
  </si>
  <si>
    <t>LN758</t>
  </si>
  <si>
    <t>2018-07-17</t>
  </si>
  <si>
    <t>E00758</t>
  </si>
  <si>
    <t>FN759</t>
  </si>
  <si>
    <t>LN759</t>
  </si>
  <si>
    <t>2025-12-15</t>
  </si>
  <si>
    <t>E00759</t>
  </si>
  <si>
    <t>FN760</t>
  </si>
  <si>
    <t>LN760</t>
  </si>
  <si>
    <t>E00760</t>
  </si>
  <si>
    <t>FN761</t>
  </si>
  <si>
    <t>LN761</t>
  </si>
  <si>
    <t>2025-02-28</t>
  </si>
  <si>
    <t>E00761</t>
  </si>
  <si>
    <t>FN762</t>
  </si>
  <si>
    <t>LN762</t>
  </si>
  <si>
    <t>2024-05-13</t>
  </si>
  <si>
    <t>E00762</t>
  </si>
  <si>
    <t>FN763</t>
  </si>
  <si>
    <t>LN763</t>
  </si>
  <si>
    <t>E00763</t>
  </si>
  <si>
    <t>FN764</t>
  </si>
  <si>
    <t>LN764</t>
  </si>
  <si>
    <t>E00764</t>
  </si>
  <si>
    <t>FN765</t>
  </si>
  <si>
    <t>LN765</t>
  </si>
  <si>
    <t>2026-02-11</t>
  </si>
  <si>
    <t>E00765</t>
  </si>
  <si>
    <t>FN766</t>
  </si>
  <si>
    <t>LN766</t>
  </si>
  <si>
    <t>2024-06-16</t>
  </si>
  <si>
    <t>2025-08-06</t>
  </si>
  <si>
    <t>E00766</t>
  </si>
  <si>
    <t>FN767</t>
  </si>
  <si>
    <t>LN767</t>
  </si>
  <si>
    <t>2021-03-10</t>
  </si>
  <si>
    <t>E00767</t>
  </si>
  <si>
    <t>FN768</t>
  </si>
  <si>
    <t>LN768</t>
  </si>
  <si>
    <t>2025-05-25</t>
  </si>
  <si>
    <t>E00768</t>
  </si>
  <si>
    <t>FN769</t>
  </si>
  <si>
    <t>LN769</t>
  </si>
  <si>
    <t>2021-09-29</t>
  </si>
  <si>
    <t>E00769</t>
  </si>
  <si>
    <t>FN770</t>
  </si>
  <si>
    <t>LN770</t>
  </si>
  <si>
    <t>2020-12-07</t>
  </si>
  <si>
    <t>E00770</t>
  </si>
  <si>
    <t>FN771</t>
  </si>
  <si>
    <t>LN771</t>
  </si>
  <si>
    <t>E00771</t>
  </si>
  <si>
    <t>FN772</t>
  </si>
  <si>
    <t>LN772</t>
  </si>
  <si>
    <t>E00772</t>
  </si>
  <si>
    <t>FN773</t>
  </si>
  <si>
    <t>LN773</t>
  </si>
  <si>
    <t>2023-09-08</t>
  </si>
  <si>
    <t>E00773</t>
  </si>
  <si>
    <t>FN774</t>
  </si>
  <si>
    <t>LN774</t>
  </si>
  <si>
    <t>2016-07-30</t>
  </si>
  <si>
    <t>E00774</t>
  </si>
  <si>
    <t>FN775</t>
  </si>
  <si>
    <t>LN775</t>
  </si>
  <si>
    <t>2016-11-14</t>
  </si>
  <si>
    <t>E00775</t>
  </si>
  <si>
    <t>FN776</t>
  </si>
  <si>
    <t>LN776</t>
  </si>
  <si>
    <t>E00776</t>
  </si>
  <si>
    <t>FN777</t>
  </si>
  <si>
    <t>LN777</t>
  </si>
  <si>
    <t>2020-10-26</t>
  </si>
  <si>
    <t>E00777</t>
  </si>
  <si>
    <t>FN778</t>
  </si>
  <si>
    <t>LN778</t>
  </si>
  <si>
    <t>2022-12-31</t>
  </si>
  <si>
    <t>E00778</t>
  </si>
  <si>
    <t>FN779</t>
  </si>
  <si>
    <t>LN779</t>
  </si>
  <si>
    <t>2022-05-11</t>
  </si>
  <si>
    <t>2026-11-14</t>
  </si>
  <si>
    <t>E00779</t>
  </si>
  <si>
    <t>FN780</t>
  </si>
  <si>
    <t>LN780</t>
  </si>
  <si>
    <t>2021-02-09</t>
  </si>
  <si>
    <t>E00780</t>
  </si>
  <si>
    <t>FN781</t>
  </si>
  <si>
    <t>LN781</t>
  </si>
  <si>
    <t>2017-08-30</t>
  </si>
  <si>
    <t>E00781</t>
  </si>
  <si>
    <t>FN782</t>
  </si>
  <si>
    <t>LN782</t>
  </si>
  <si>
    <t>2016-01-16</t>
  </si>
  <si>
    <t>E00782</t>
  </si>
  <si>
    <t>FN783</t>
  </si>
  <si>
    <t>LN783</t>
  </si>
  <si>
    <t>2023-04-01</t>
  </si>
  <si>
    <t>E00783</t>
  </si>
  <si>
    <t>FN784</t>
  </si>
  <si>
    <t>LN784</t>
  </si>
  <si>
    <t>E00784</t>
  </si>
  <si>
    <t>FN785</t>
  </si>
  <si>
    <t>LN785</t>
  </si>
  <si>
    <t>2022-11-24</t>
  </si>
  <si>
    <t>E00785</t>
  </si>
  <si>
    <t>FN786</t>
  </si>
  <si>
    <t>LN786</t>
  </si>
  <si>
    <t>2025-07-23</t>
  </si>
  <si>
    <t>E00786</t>
  </si>
  <si>
    <t>FN787</t>
  </si>
  <si>
    <t>LN787</t>
  </si>
  <si>
    <t>2023-12-21</t>
  </si>
  <si>
    <t>E00787</t>
  </si>
  <si>
    <t>FN788</t>
  </si>
  <si>
    <t>LN788</t>
  </si>
  <si>
    <t>E00788</t>
  </si>
  <si>
    <t>FN789</t>
  </si>
  <si>
    <t>LN789</t>
  </si>
  <si>
    <t>E00789</t>
  </si>
  <si>
    <t>FN790</t>
  </si>
  <si>
    <t>LN790</t>
  </si>
  <si>
    <t>2019-11-25</t>
  </si>
  <si>
    <t>E00790</t>
  </si>
  <si>
    <t>FN791</t>
  </si>
  <si>
    <t>LN791</t>
  </si>
  <si>
    <t>E00791</t>
  </si>
  <si>
    <t>FN792</t>
  </si>
  <si>
    <t>LN792</t>
  </si>
  <si>
    <t>2019-03-26</t>
  </si>
  <si>
    <t>E00792</t>
  </si>
  <si>
    <t>FN793</t>
  </si>
  <si>
    <t>LN793</t>
  </si>
  <si>
    <t>2019-06-29</t>
  </si>
  <si>
    <t>E00793</t>
  </si>
  <si>
    <t>FN794</t>
  </si>
  <si>
    <t>LN794</t>
  </si>
  <si>
    <t>2023-11-03</t>
  </si>
  <si>
    <t>E00794</t>
  </si>
  <si>
    <t>FN795</t>
  </si>
  <si>
    <t>LN795</t>
  </si>
  <si>
    <t>2017-10-27</t>
  </si>
  <si>
    <t>E00795</t>
  </si>
  <si>
    <t>FN796</t>
  </si>
  <si>
    <t>LN796</t>
  </si>
  <si>
    <t>2017-12-21</t>
  </si>
  <si>
    <t>E00796</t>
  </si>
  <si>
    <t>FN797</t>
  </si>
  <si>
    <t>LN797</t>
  </si>
  <si>
    <t>2017-09-20</t>
  </si>
  <si>
    <t>E00797</t>
  </si>
  <si>
    <t>FN798</t>
  </si>
  <si>
    <t>LN798</t>
  </si>
  <si>
    <t>E00798</t>
  </si>
  <si>
    <t>FN799</t>
  </si>
  <si>
    <t>LN799</t>
  </si>
  <si>
    <t>2019-11-01</t>
  </si>
  <si>
    <t>E00799</t>
  </si>
  <si>
    <t>FN800</t>
  </si>
  <si>
    <t>LN800</t>
  </si>
  <si>
    <t>2020-05-16</t>
  </si>
  <si>
    <t>E00800</t>
  </si>
  <si>
    <t>FN801</t>
  </si>
  <si>
    <t>LN801</t>
  </si>
  <si>
    <t>2025-02-24</t>
  </si>
  <si>
    <t>E00801</t>
  </si>
  <si>
    <t>FN802</t>
  </si>
  <si>
    <t>LN802</t>
  </si>
  <si>
    <t>2019-12-05</t>
  </si>
  <si>
    <t>E00802</t>
  </si>
  <si>
    <t>FN803</t>
  </si>
  <si>
    <t>LN803</t>
  </si>
  <si>
    <t>2016-04-14</t>
  </si>
  <si>
    <t>E00803</t>
  </si>
  <si>
    <t>FN804</t>
  </si>
  <si>
    <t>LN804</t>
  </si>
  <si>
    <t>2020-12-11</t>
  </si>
  <si>
    <t>E00804</t>
  </si>
  <si>
    <t>FN805</t>
  </si>
  <si>
    <t>LN805</t>
  </si>
  <si>
    <t>2024-03-24</t>
  </si>
  <si>
    <t>E00805</t>
  </si>
  <si>
    <t>FN806</t>
  </si>
  <si>
    <t>LN806</t>
  </si>
  <si>
    <t>E00806</t>
  </si>
  <si>
    <t>FN807</t>
  </si>
  <si>
    <t>LN807</t>
  </si>
  <si>
    <t>2025-01-18</t>
  </si>
  <si>
    <t>E00807</t>
  </si>
  <si>
    <t>FN808</t>
  </si>
  <si>
    <t>LN808</t>
  </si>
  <si>
    <t>2019-01-24</t>
  </si>
  <si>
    <t>E00808</t>
  </si>
  <si>
    <t>FN809</t>
  </si>
  <si>
    <t>LN809</t>
  </si>
  <si>
    <t>2021-12-05</t>
  </si>
  <si>
    <t>E00809</t>
  </si>
  <si>
    <t>FN810</t>
  </si>
  <si>
    <t>LN810</t>
  </si>
  <si>
    <t>2020-01-16</t>
  </si>
  <si>
    <t>E00810</t>
  </si>
  <si>
    <t>FN811</t>
  </si>
  <si>
    <t>LN811</t>
  </si>
  <si>
    <t>2025-02-19</t>
  </si>
  <si>
    <t>E00811</t>
  </si>
  <si>
    <t>FN812</t>
  </si>
  <si>
    <t>LN812</t>
  </si>
  <si>
    <t>2021-09-09</t>
  </si>
  <si>
    <t>E00812</t>
  </si>
  <si>
    <t>FN813</t>
  </si>
  <si>
    <t>LN813</t>
  </si>
  <si>
    <t>2022-02-09</t>
  </si>
  <si>
    <t>2024-03-01</t>
  </si>
  <si>
    <t>E00813</t>
  </si>
  <si>
    <t>FN814</t>
  </si>
  <si>
    <t>LN814</t>
  </si>
  <si>
    <t>2018-08-05</t>
  </si>
  <si>
    <t>E00814</t>
  </si>
  <si>
    <t>FN815</t>
  </si>
  <si>
    <t>LN815</t>
  </si>
  <si>
    <t>E00815</t>
  </si>
  <si>
    <t>FN816</t>
  </si>
  <si>
    <t>LN816</t>
  </si>
  <si>
    <t>2023-12-02</t>
  </si>
  <si>
    <t>E00816</t>
  </si>
  <si>
    <t>FN817</t>
  </si>
  <si>
    <t>LN817</t>
  </si>
  <si>
    <t>2023-05-01</t>
  </si>
  <si>
    <t>E00817</t>
  </si>
  <si>
    <t>FN818</t>
  </si>
  <si>
    <t>LN818</t>
  </si>
  <si>
    <t>2024-11-28</t>
  </si>
  <si>
    <t>E00818</t>
  </si>
  <si>
    <t>FN819</t>
  </si>
  <si>
    <t>LN819</t>
  </si>
  <si>
    <t>2026-05-14</t>
  </si>
  <si>
    <t>2028-12-07</t>
  </si>
  <si>
    <t>E00819</t>
  </si>
  <si>
    <t>FN820</t>
  </si>
  <si>
    <t>LN820</t>
  </si>
  <si>
    <t>2017-08-23</t>
  </si>
  <si>
    <t>E00820</t>
  </si>
  <si>
    <t>FN821</t>
  </si>
  <si>
    <t>LN821</t>
  </si>
  <si>
    <t>2023-09-16</t>
  </si>
  <si>
    <t>E00821</t>
  </si>
  <si>
    <t>FN822</t>
  </si>
  <si>
    <t>LN822</t>
  </si>
  <si>
    <t>2019-01-09</t>
  </si>
  <si>
    <t>E00822</t>
  </si>
  <si>
    <t>FN823</t>
  </si>
  <si>
    <t>LN823</t>
  </si>
  <si>
    <t>2022-05-20</t>
  </si>
  <si>
    <t>E00823</t>
  </si>
  <si>
    <t>FN824</t>
  </si>
  <si>
    <t>LN824</t>
  </si>
  <si>
    <t>2016-04-26</t>
  </si>
  <si>
    <t>E00824</t>
  </si>
  <si>
    <t>FN825</t>
  </si>
  <si>
    <t>LN825</t>
  </si>
  <si>
    <t>2021-12-04</t>
  </si>
  <si>
    <t>E00825</t>
  </si>
  <si>
    <t>FN826</t>
  </si>
  <si>
    <t>LN826</t>
  </si>
  <si>
    <t>E00826</t>
  </si>
  <si>
    <t>FN827</t>
  </si>
  <si>
    <t>LN827</t>
  </si>
  <si>
    <t>2022-04-25</t>
  </si>
  <si>
    <t>E00827</t>
  </si>
  <si>
    <t>FN828</t>
  </si>
  <si>
    <t>LN828</t>
  </si>
  <si>
    <t>2024-01-07</t>
  </si>
  <si>
    <t>2028-10-06</t>
  </si>
  <si>
    <t>E00828</t>
  </si>
  <si>
    <t>FN829</t>
  </si>
  <si>
    <t>LN829</t>
  </si>
  <si>
    <t>E00829</t>
  </si>
  <si>
    <t>FN830</t>
  </si>
  <si>
    <t>LN830</t>
  </si>
  <si>
    <t>E00830</t>
  </si>
  <si>
    <t>FN831</t>
  </si>
  <si>
    <t>LN831</t>
  </si>
  <si>
    <t>2024-05-18</t>
  </si>
  <si>
    <t>2026-12-10</t>
  </si>
  <si>
    <t>E00831</t>
  </si>
  <si>
    <t>FN832</t>
  </si>
  <si>
    <t>LN832</t>
  </si>
  <si>
    <t>2020-07-10</t>
  </si>
  <si>
    <t>E00832</t>
  </si>
  <si>
    <t>FN833</t>
  </si>
  <si>
    <t>LN833</t>
  </si>
  <si>
    <t>2021-11-18</t>
  </si>
  <si>
    <t>E00833</t>
  </si>
  <si>
    <t>FN834</t>
  </si>
  <si>
    <t>LN834</t>
  </si>
  <si>
    <t>2019-11-18</t>
  </si>
  <si>
    <t>E00834</t>
  </si>
  <si>
    <t>FN835</t>
  </si>
  <si>
    <t>LN835</t>
  </si>
  <si>
    <t>2018-12-05</t>
  </si>
  <si>
    <t>2027-01-12</t>
  </si>
  <si>
    <t>E00835</t>
  </si>
  <si>
    <t>FN836</t>
  </si>
  <si>
    <t>LN836</t>
  </si>
  <si>
    <t>2018-11-25</t>
  </si>
  <si>
    <t>E00836</t>
  </si>
  <si>
    <t>FN837</t>
  </si>
  <si>
    <t>LN837</t>
  </si>
  <si>
    <t>2021-02-01</t>
  </si>
  <si>
    <t>E00837</t>
  </si>
  <si>
    <t>FN838</t>
  </si>
  <si>
    <t>LN838</t>
  </si>
  <si>
    <t>2025-06-21</t>
  </si>
  <si>
    <t>2029-05-06</t>
  </si>
  <si>
    <t>E00838</t>
  </si>
  <si>
    <t>FN839</t>
  </si>
  <si>
    <t>LN839</t>
  </si>
  <si>
    <t>E00839</t>
  </si>
  <si>
    <t>FN840</t>
  </si>
  <si>
    <t>LN840</t>
  </si>
  <si>
    <t>2018-01-12</t>
  </si>
  <si>
    <t>E00840</t>
  </si>
  <si>
    <t>FN841</t>
  </si>
  <si>
    <t>LN841</t>
  </si>
  <si>
    <t>2024-02-11</t>
  </si>
  <si>
    <t>E00841</t>
  </si>
  <si>
    <t>FN842</t>
  </si>
  <si>
    <t>LN842</t>
  </si>
  <si>
    <t>2018-07-20</t>
  </si>
  <si>
    <t>E00842</t>
  </si>
  <si>
    <t>FN843</t>
  </si>
  <si>
    <t>LN843</t>
  </si>
  <si>
    <t>2026-02-13</t>
  </si>
  <si>
    <t>E00843</t>
  </si>
  <si>
    <t>FN844</t>
  </si>
  <si>
    <t>LN844</t>
  </si>
  <si>
    <t>2017-04-01</t>
  </si>
  <si>
    <t>E00844</t>
  </si>
  <si>
    <t>FN845</t>
  </si>
  <si>
    <t>LN845</t>
  </si>
  <si>
    <t>2016-01-13</t>
  </si>
  <si>
    <t>E00845</t>
  </si>
  <si>
    <t>FN846</t>
  </si>
  <si>
    <t>LN846</t>
  </si>
  <si>
    <t>2017-05-09</t>
  </si>
  <si>
    <t>E00846</t>
  </si>
  <si>
    <t>FN847</t>
  </si>
  <si>
    <t>LN847</t>
  </si>
  <si>
    <t>2025-11-23</t>
  </si>
  <si>
    <t>E00847</t>
  </si>
  <si>
    <t>FN848</t>
  </si>
  <si>
    <t>LN848</t>
  </si>
  <si>
    <t>2016-04-10</t>
  </si>
  <si>
    <t>E00848</t>
  </si>
  <si>
    <t>FN849</t>
  </si>
  <si>
    <t>LN849</t>
  </si>
  <si>
    <t>E00849</t>
  </si>
  <si>
    <t>FN850</t>
  </si>
  <si>
    <t>LN850</t>
  </si>
  <si>
    <t>E00850</t>
  </si>
  <si>
    <t>FN851</t>
  </si>
  <si>
    <t>LN851</t>
  </si>
  <si>
    <t>2018-08-25</t>
  </si>
  <si>
    <t>2023-01-18</t>
  </si>
  <si>
    <t>E00851</t>
  </si>
  <si>
    <t>FN852</t>
  </si>
  <si>
    <t>LN852</t>
  </si>
  <si>
    <t>2018-04-17</t>
  </si>
  <si>
    <t>E00852</t>
  </si>
  <si>
    <t>FN853</t>
  </si>
  <si>
    <t>LN853</t>
  </si>
  <si>
    <t>2016-02-15</t>
  </si>
  <si>
    <t>E00853</t>
  </si>
  <si>
    <t>FN854</t>
  </si>
  <si>
    <t>LN854</t>
  </si>
  <si>
    <t>2026-04-26</t>
  </si>
  <si>
    <t>E00854</t>
  </si>
  <si>
    <t>FN855</t>
  </si>
  <si>
    <t>LN855</t>
  </si>
  <si>
    <t>2019-09-07</t>
  </si>
  <si>
    <t>E00855</t>
  </si>
  <si>
    <t>FN856</t>
  </si>
  <si>
    <t>LN856</t>
  </si>
  <si>
    <t>2018-02-05</t>
  </si>
  <si>
    <t>E00856</t>
  </si>
  <si>
    <t>FN857</t>
  </si>
  <si>
    <t>LN857</t>
  </si>
  <si>
    <t>2021-09-30</t>
  </si>
  <si>
    <t>E00857</t>
  </si>
  <si>
    <t>FN858</t>
  </si>
  <si>
    <t>LN858</t>
  </si>
  <si>
    <t>2016-11-29</t>
  </si>
  <si>
    <t>E00858</t>
  </si>
  <si>
    <t>FN859</t>
  </si>
  <si>
    <t>LN859</t>
  </si>
  <si>
    <t>2021-05-10</t>
  </si>
  <si>
    <t>E00859</t>
  </si>
  <si>
    <t>FN860</t>
  </si>
  <si>
    <t>LN860</t>
  </si>
  <si>
    <t>2017-01-08</t>
  </si>
  <si>
    <t>2021-09-12</t>
  </si>
  <si>
    <t>E00860</t>
  </si>
  <si>
    <t>FN861</t>
  </si>
  <si>
    <t>LN861</t>
  </si>
  <si>
    <t>2021-10-24</t>
  </si>
  <si>
    <t>E00861</t>
  </si>
  <si>
    <t>FN862</t>
  </si>
  <si>
    <t>LN862</t>
  </si>
  <si>
    <t>E00862</t>
  </si>
  <si>
    <t>FN863</t>
  </si>
  <si>
    <t>LN863</t>
  </si>
  <si>
    <t>2019-05-21</t>
  </si>
  <si>
    <t>E00863</t>
  </si>
  <si>
    <t>FN864</t>
  </si>
  <si>
    <t>LN864</t>
  </si>
  <si>
    <t>2018-07-30</t>
  </si>
  <si>
    <t>E00864</t>
  </si>
  <si>
    <t>FN865</t>
  </si>
  <si>
    <t>LN865</t>
  </si>
  <si>
    <t>2020-10-06</t>
  </si>
  <si>
    <t>E00865</t>
  </si>
  <si>
    <t>FN866</t>
  </si>
  <si>
    <t>LN866</t>
  </si>
  <si>
    <t>2024-11-14</t>
  </si>
  <si>
    <t>E00866</t>
  </si>
  <si>
    <t>FN867</t>
  </si>
  <si>
    <t>LN867</t>
  </si>
  <si>
    <t>E00867</t>
  </si>
  <si>
    <t>FN868</t>
  </si>
  <si>
    <t>LN868</t>
  </si>
  <si>
    <t>2021-08-01</t>
  </si>
  <si>
    <t>E00868</t>
  </si>
  <si>
    <t>FN869</t>
  </si>
  <si>
    <t>LN869</t>
  </si>
  <si>
    <t>2025-11-05</t>
  </si>
  <si>
    <t>E00869</t>
  </si>
  <si>
    <t>FN870</t>
  </si>
  <si>
    <t>LN870</t>
  </si>
  <si>
    <t>2019-10-01</t>
  </si>
  <si>
    <t>E00870</t>
  </si>
  <si>
    <t>FN871</t>
  </si>
  <si>
    <t>LN871</t>
  </si>
  <si>
    <t>2020-08-10</t>
  </si>
  <si>
    <t>E00871</t>
  </si>
  <si>
    <t>FN872</t>
  </si>
  <si>
    <t>LN872</t>
  </si>
  <si>
    <t>2019-05-15</t>
  </si>
  <si>
    <t>E00872</t>
  </si>
  <si>
    <t>FN873</t>
  </si>
  <si>
    <t>LN873</t>
  </si>
  <si>
    <t>2021-05-16</t>
  </si>
  <si>
    <t>2028-10-19</t>
  </si>
  <si>
    <t>E00873</t>
  </si>
  <si>
    <t>FN874</t>
  </si>
  <si>
    <t>LN874</t>
  </si>
  <si>
    <t>2019-12-12</t>
  </si>
  <si>
    <t>E00874</t>
  </si>
  <si>
    <t>FN875</t>
  </si>
  <si>
    <t>LN875</t>
  </si>
  <si>
    <t>2019-09-13</t>
  </si>
  <si>
    <t>E00875</t>
  </si>
  <si>
    <t>FN876</t>
  </si>
  <si>
    <t>LN876</t>
  </si>
  <si>
    <t>2028-02-05</t>
  </si>
  <si>
    <t>E00876</t>
  </si>
  <si>
    <t>FN877</t>
  </si>
  <si>
    <t>LN877</t>
  </si>
  <si>
    <t>E00877</t>
  </si>
  <si>
    <t>FN878</t>
  </si>
  <si>
    <t>LN878</t>
  </si>
  <si>
    <t>2018-07-28</t>
  </si>
  <si>
    <t>2023-10-12</t>
  </si>
  <si>
    <t>E00878</t>
  </si>
  <si>
    <t>FN879</t>
  </si>
  <si>
    <t>LN879</t>
  </si>
  <si>
    <t>2022-07-01</t>
  </si>
  <si>
    <t>E00879</t>
  </si>
  <si>
    <t>FN880</t>
  </si>
  <si>
    <t>LN880</t>
  </si>
  <si>
    <t>2023-03-19</t>
  </si>
  <si>
    <t>E00880</t>
  </si>
  <si>
    <t>FN881</t>
  </si>
  <si>
    <t>LN881</t>
  </si>
  <si>
    <t>2023-09-11</t>
  </si>
  <si>
    <t>E00881</t>
  </si>
  <si>
    <t>FN882</t>
  </si>
  <si>
    <t>LN882</t>
  </si>
  <si>
    <t>2025-03-02</t>
  </si>
  <si>
    <t>E00882</t>
  </si>
  <si>
    <t>FN883</t>
  </si>
  <si>
    <t>LN883</t>
  </si>
  <si>
    <t>2022-04-11</t>
  </si>
  <si>
    <t>E00883</t>
  </si>
  <si>
    <t>FN884</t>
  </si>
  <si>
    <t>LN884</t>
  </si>
  <si>
    <t>2025-02-26</t>
  </si>
  <si>
    <t>2026-06-21</t>
  </si>
  <si>
    <t>E00884</t>
  </si>
  <si>
    <t>FN885</t>
  </si>
  <si>
    <t>LN885</t>
  </si>
  <si>
    <t>2024-10-19</t>
  </si>
  <si>
    <t>2032-11-03</t>
  </si>
  <si>
    <t>E00885</t>
  </si>
  <si>
    <t>FN886</t>
  </si>
  <si>
    <t>LN886</t>
  </si>
  <si>
    <t>2019-04-09</t>
  </si>
  <si>
    <t>E00886</t>
  </si>
  <si>
    <t>FN887</t>
  </si>
  <si>
    <t>LN887</t>
  </si>
  <si>
    <t>2019-02-21</t>
  </si>
  <si>
    <t>2026-09-21</t>
  </si>
  <si>
    <t>E00887</t>
  </si>
  <si>
    <t>FN888</t>
  </si>
  <si>
    <t>LN888</t>
  </si>
  <si>
    <t>2023-07-03</t>
  </si>
  <si>
    <t>E00888</t>
  </si>
  <si>
    <t>FN889</t>
  </si>
  <si>
    <t>LN889</t>
  </si>
  <si>
    <t>2022-09-12</t>
  </si>
  <si>
    <t>E00889</t>
  </si>
  <si>
    <t>FN890</t>
  </si>
  <si>
    <t>LN890</t>
  </si>
  <si>
    <t>2022-02-23</t>
  </si>
  <si>
    <t>E00890</t>
  </si>
  <si>
    <t>FN891</t>
  </si>
  <si>
    <t>LN891</t>
  </si>
  <si>
    <t>2023-06-08</t>
  </si>
  <si>
    <t>E00891</t>
  </si>
  <si>
    <t>FN892</t>
  </si>
  <si>
    <t>LN892</t>
  </si>
  <si>
    <t>2018-05-07</t>
  </si>
  <si>
    <t>E00892</t>
  </si>
  <si>
    <t>FN893</t>
  </si>
  <si>
    <t>LN893</t>
  </si>
  <si>
    <t>2020-06-28</t>
  </si>
  <si>
    <t>E00893</t>
  </si>
  <si>
    <t>FN894</t>
  </si>
  <si>
    <t>LN894</t>
  </si>
  <si>
    <t>2025-09-15</t>
  </si>
  <si>
    <t>E00894</t>
  </si>
  <si>
    <t>FN895</t>
  </si>
  <si>
    <t>LN895</t>
  </si>
  <si>
    <t>2021-06-09</t>
  </si>
  <si>
    <t>E00895</t>
  </si>
  <si>
    <t>FN896</t>
  </si>
  <si>
    <t>LN896</t>
  </si>
  <si>
    <t>2022-05-08</t>
  </si>
  <si>
    <t>E00896</t>
  </si>
  <si>
    <t>FN897</t>
  </si>
  <si>
    <t>LN897</t>
  </si>
  <si>
    <t>2018-11-07</t>
  </si>
  <si>
    <t>E00897</t>
  </si>
  <si>
    <t>FN898</t>
  </si>
  <si>
    <t>LN898</t>
  </si>
  <si>
    <t>2016-09-06</t>
  </si>
  <si>
    <t>E00898</t>
  </si>
  <si>
    <t>FN899</t>
  </si>
  <si>
    <t>LN899</t>
  </si>
  <si>
    <t>2020-06-23</t>
  </si>
  <si>
    <t>E00899</t>
  </si>
  <si>
    <t>FN900</t>
  </si>
  <si>
    <t>LN900</t>
  </si>
  <si>
    <t>2016-05-16</t>
  </si>
  <si>
    <t>E00900</t>
  </si>
  <si>
    <t>FN901</t>
  </si>
  <si>
    <t>LN901</t>
  </si>
  <si>
    <t>2019-02-07</t>
  </si>
  <si>
    <t>E00901</t>
  </si>
  <si>
    <t>FN902</t>
  </si>
  <si>
    <t>LN902</t>
  </si>
  <si>
    <t>2017-04-25</t>
  </si>
  <si>
    <t>E00902</t>
  </si>
  <si>
    <t>FN903</t>
  </si>
  <si>
    <t>LN903</t>
  </si>
  <si>
    <t>2022-10-12</t>
  </si>
  <si>
    <t>E00903</t>
  </si>
  <si>
    <t>FN904</t>
  </si>
  <si>
    <t>LN904</t>
  </si>
  <si>
    <t>2017-04-11</t>
  </si>
  <si>
    <t>E00904</t>
  </si>
  <si>
    <t>FN905</t>
  </si>
  <si>
    <t>LN905</t>
  </si>
  <si>
    <t>2017-02-17</t>
  </si>
  <si>
    <t>2024-02-07</t>
  </si>
  <si>
    <t>E00905</t>
  </si>
  <si>
    <t>FN906</t>
  </si>
  <si>
    <t>LN906</t>
  </si>
  <si>
    <t>2020-04-07</t>
  </si>
  <si>
    <t>E00906</t>
  </si>
  <si>
    <t>FN907</t>
  </si>
  <si>
    <t>LN907</t>
  </si>
  <si>
    <t>2023-05-30</t>
  </si>
  <si>
    <t>E00907</t>
  </si>
  <si>
    <t>FN908</t>
  </si>
  <si>
    <t>LN908</t>
  </si>
  <si>
    <t>2019-06-21</t>
  </si>
  <si>
    <t>E00908</t>
  </si>
  <si>
    <t>FN909</t>
  </si>
  <si>
    <t>LN909</t>
  </si>
  <si>
    <t>2021-03-12</t>
  </si>
  <si>
    <t>E00909</t>
  </si>
  <si>
    <t>FN910</t>
  </si>
  <si>
    <t>LN910</t>
  </si>
  <si>
    <t>2019-11-12</t>
  </si>
  <si>
    <t>E00910</t>
  </si>
  <si>
    <t>FN911</t>
  </si>
  <si>
    <t>LN911</t>
  </si>
  <si>
    <t>2031-10-02</t>
  </si>
  <si>
    <t>E00911</t>
  </si>
  <si>
    <t>FN912</t>
  </si>
  <si>
    <t>LN912</t>
  </si>
  <si>
    <t>2021-04-20</t>
  </si>
  <si>
    <t>E00912</t>
  </si>
  <si>
    <t>FN913</t>
  </si>
  <si>
    <t>LN913</t>
  </si>
  <si>
    <t>2021-06-12</t>
  </si>
  <si>
    <t>E00913</t>
  </si>
  <si>
    <t>FN914</t>
  </si>
  <si>
    <t>LN914</t>
  </si>
  <si>
    <t>2017-12-26</t>
  </si>
  <si>
    <t>E00914</t>
  </si>
  <si>
    <t>FN915</t>
  </si>
  <si>
    <t>LN915</t>
  </si>
  <si>
    <t>2024-08-11</t>
  </si>
  <si>
    <t>E00915</t>
  </si>
  <si>
    <t>FN916</t>
  </si>
  <si>
    <t>LN916</t>
  </si>
  <si>
    <t>2017-12-05</t>
  </si>
  <si>
    <t>E00916</t>
  </si>
  <si>
    <t>FN917</t>
  </si>
  <si>
    <t>LN917</t>
  </si>
  <si>
    <t>2019-03-19</t>
  </si>
  <si>
    <t>E00917</t>
  </si>
  <si>
    <t>FN918</t>
  </si>
  <si>
    <t>LN918</t>
  </si>
  <si>
    <t>E00918</t>
  </si>
  <si>
    <t>FN919</t>
  </si>
  <si>
    <t>LN919</t>
  </si>
  <si>
    <t>2025-10-19</t>
  </si>
  <si>
    <t>E00919</t>
  </si>
  <si>
    <t>FN920</t>
  </si>
  <si>
    <t>LN920</t>
  </si>
  <si>
    <t>2017-05-25</t>
  </si>
  <si>
    <t>E00920</t>
  </si>
  <si>
    <t>FN921</t>
  </si>
  <si>
    <t>LN921</t>
  </si>
  <si>
    <t>2017-02-03</t>
  </si>
  <si>
    <t>2021-07-30</t>
  </si>
  <si>
    <t>E00921</t>
  </si>
  <si>
    <t>FN922</t>
  </si>
  <si>
    <t>LN922</t>
  </si>
  <si>
    <t>2023-12-09</t>
  </si>
  <si>
    <t>2026-01-17</t>
  </si>
  <si>
    <t>E00922</t>
  </si>
  <si>
    <t>FN923</t>
  </si>
  <si>
    <t>LN923</t>
  </si>
  <si>
    <t>2019-06-09</t>
  </si>
  <si>
    <t>E00923</t>
  </si>
  <si>
    <t>FN924</t>
  </si>
  <si>
    <t>LN924</t>
  </si>
  <si>
    <t>2020-09-20</t>
  </si>
  <si>
    <t>E00924</t>
  </si>
  <si>
    <t>FN925</t>
  </si>
  <si>
    <t>LN925</t>
  </si>
  <si>
    <t>2022-08-08</t>
  </si>
  <si>
    <t>E00925</t>
  </si>
  <si>
    <t>FN926</t>
  </si>
  <si>
    <t>LN926</t>
  </si>
  <si>
    <t>2018-06-11</t>
  </si>
  <si>
    <t>E00926</t>
  </si>
  <si>
    <t>FN927</t>
  </si>
  <si>
    <t>LN927</t>
  </si>
  <si>
    <t>2020-01-20</t>
  </si>
  <si>
    <t>E00927</t>
  </si>
  <si>
    <t>FN928</t>
  </si>
  <si>
    <t>LN928</t>
  </si>
  <si>
    <t>2023-02-26</t>
  </si>
  <si>
    <t>E00928</t>
  </si>
  <si>
    <t>FN929</t>
  </si>
  <si>
    <t>LN929</t>
  </si>
  <si>
    <t>2021-10-26</t>
  </si>
  <si>
    <t>E00929</t>
  </si>
  <si>
    <t>FN930</t>
  </si>
  <si>
    <t>LN930</t>
  </si>
  <si>
    <t>2018-10-03</t>
  </si>
  <si>
    <t>E00930</t>
  </si>
  <si>
    <t>FN931</t>
  </si>
  <si>
    <t>LN931</t>
  </si>
  <si>
    <t>2018-11-12</t>
  </si>
  <si>
    <t>E00931</t>
  </si>
  <si>
    <t>FN932</t>
  </si>
  <si>
    <t>LN932</t>
  </si>
  <si>
    <t>E00932</t>
  </si>
  <si>
    <t>FN933</t>
  </si>
  <si>
    <t>LN933</t>
  </si>
  <si>
    <t>2016-06-16</t>
  </si>
  <si>
    <t>E00933</t>
  </si>
  <si>
    <t>FN934</t>
  </si>
  <si>
    <t>LN934</t>
  </si>
  <si>
    <t>2020-01-10</t>
  </si>
  <si>
    <t>E00934</t>
  </si>
  <si>
    <t>FN935</t>
  </si>
  <si>
    <t>LN935</t>
  </si>
  <si>
    <t>2016-04-17</t>
  </si>
  <si>
    <t>E00935</t>
  </si>
  <si>
    <t>FN936</t>
  </si>
  <si>
    <t>LN936</t>
  </si>
  <si>
    <t>2024-03-12</t>
  </si>
  <si>
    <t>E00936</t>
  </si>
  <si>
    <t>FN937</t>
  </si>
  <si>
    <t>LN937</t>
  </si>
  <si>
    <t>2016-03-02</t>
  </si>
  <si>
    <t>E00937</t>
  </si>
  <si>
    <t>FN938</t>
  </si>
  <si>
    <t>LN938</t>
  </si>
  <si>
    <t>2022-09-22</t>
  </si>
  <si>
    <t>E00938</t>
  </si>
  <si>
    <t>FN939</t>
  </si>
  <si>
    <t>LN939</t>
  </si>
  <si>
    <t>2025-06-26</t>
  </si>
  <si>
    <t>E00939</t>
  </si>
  <si>
    <t>FN940</t>
  </si>
  <si>
    <t>LN940</t>
  </si>
  <si>
    <t>2026-01-04</t>
  </si>
  <si>
    <t>E00940</t>
  </si>
  <si>
    <t>FN941</t>
  </si>
  <si>
    <t>LN941</t>
  </si>
  <si>
    <t>2020-09-09</t>
  </si>
  <si>
    <t>E00941</t>
  </si>
  <si>
    <t>FN942</t>
  </si>
  <si>
    <t>LN942</t>
  </si>
  <si>
    <t>E00942</t>
  </si>
  <si>
    <t>FN943</t>
  </si>
  <si>
    <t>LN943</t>
  </si>
  <si>
    <t>2018-03-14</t>
  </si>
  <si>
    <t>E00943</t>
  </si>
  <si>
    <t>FN944</t>
  </si>
  <si>
    <t>LN944</t>
  </si>
  <si>
    <t>2024-11-19</t>
  </si>
  <si>
    <t>E00944</t>
  </si>
  <si>
    <t>FN945</t>
  </si>
  <si>
    <t>LN945</t>
  </si>
  <si>
    <t>2019-10-14</t>
  </si>
  <si>
    <t>E00945</t>
  </si>
  <si>
    <t>FN946</t>
  </si>
  <si>
    <t>LN946</t>
  </si>
  <si>
    <t>2016-12-31</t>
  </si>
  <si>
    <t>E00946</t>
  </si>
  <si>
    <t>FN947</t>
  </si>
  <si>
    <t>LN947</t>
  </si>
  <si>
    <t>2016-04-18</t>
  </si>
  <si>
    <t>E00947</t>
  </si>
  <si>
    <t>FN948</t>
  </si>
  <si>
    <t>LN948</t>
  </si>
  <si>
    <t>2026-04-11</t>
  </si>
  <si>
    <t>E00948</t>
  </si>
  <si>
    <t>FN949</t>
  </si>
  <si>
    <t>LN949</t>
  </si>
  <si>
    <t>E00949</t>
  </si>
  <si>
    <t>FN950</t>
  </si>
  <si>
    <t>LN950</t>
  </si>
  <si>
    <t>2021-01-30</t>
  </si>
  <si>
    <t>2022-01-02</t>
  </si>
  <si>
    <t>E00950</t>
  </si>
  <si>
    <t>FN951</t>
  </si>
  <si>
    <t>LN951</t>
  </si>
  <si>
    <t>2016-01-26</t>
  </si>
  <si>
    <t>E00951</t>
  </si>
  <si>
    <t>FN952</t>
  </si>
  <si>
    <t>LN952</t>
  </si>
  <si>
    <t>2024-12-25</t>
  </si>
  <si>
    <t>E00952</t>
  </si>
  <si>
    <t>FN953</t>
  </si>
  <si>
    <t>LN953</t>
  </si>
  <si>
    <t>2023-10-03</t>
  </si>
  <si>
    <t>E00953</t>
  </si>
  <si>
    <t>FN954</t>
  </si>
  <si>
    <t>LN954</t>
  </si>
  <si>
    <t>2024-07-06</t>
  </si>
  <si>
    <t>E00954</t>
  </si>
  <si>
    <t>FN955</t>
  </si>
  <si>
    <t>LN955</t>
  </si>
  <si>
    <t>2022-10-05</t>
  </si>
  <si>
    <t>E00955</t>
  </si>
  <si>
    <t>FN956</t>
  </si>
  <si>
    <t>LN956</t>
  </si>
  <si>
    <t>2023-08-07</t>
  </si>
  <si>
    <t>E00956</t>
  </si>
  <si>
    <t>FN957</t>
  </si>
  <si>
    <t>LN957</t>
  </si>
  <si>
    <t>2018-09-20</t>
  </si>
  <si>
    <t>E00957</t>
  </si>
  <si>
    <t>FN958</t>
  </si>
  <si>
    <t>LN958</t>
  </si>
  <si>
    <t>2021-06-28</t>
  </si>
  <si>
    <t>E00958</t>
  </si>
  <si>
    <t>FN959</t>
  </si>
  <si>
    <t>LN959</t>
  </si>
  <si>
    <t>2020-07-27</t>
  </si>
  <si>
    <t>E00959</t>
  </si>
  <si>
    <t>FN960</t>
  </si>
  <si>
    <t>LN960</t>
  </si>
  <si>
    <t>2025-12-13</t>
  </si>
  <si>
    <t>E00960</t>
  </si>
  <si>
    <t>FN961</t>
  </si>
  <si>
    <t>LN961</t>
  </si>
  <si>
    <t>2026-02-25</t>
  </si>
  <si>
    <t>E00961</t>
  </si>
  <si>
    <t>FN962</t>
  </si>
  <si>
    <t>LN962</t>
  </si>
  <si>
    <t>2018-04-24</t>
  </si>
  <si>
    <t>E00962</t>
  </si>
  <si>
    <t>FN963</t>
  </si>
  <si>
    <t>LN963</t>
  </si>
  <si>
    <t>2025-03-19</t>
  </si>
  <si>
    <t>E00963</t>
  </si>
  <si>
    <t>FN964</t>
  </si>
  <si>
    <t>LN964</t>
  </si>
  <si>
    <t>2019-06-27</t>
  </si>
  <si>
    <t>E00964</t>
  </si>
  <si>
    <t>FN965</t>
  </si>
  <si>
    <t>LN965</t>
  </si>
  <si>
    <t>2024-02-08</t>
  </si>
  <si>
    <t>E00965</t>
  </si>
  <si>
    <t>FN966</t>
  </si>
  <si>
    <t>LN966</t>
  </si>
  <si>
    <t>2020-03-16</t>
  </si>
  <si>
    <t>E00966</t>
  </si>
  <si>
    <t>FN967</t>
  </si>
  <si>
    <t>LN967</t>
  </si>
  <si>
    <t>2023-02-16</t>
  </si>
  <si>
    <t>E00967</t>
  </si>
  <si>
    <t>FN968</t>
  </si>
  <si>
    <t>LN968</t>
  </si>
  <si>
    <t>E00968</t>
  </si>
  <si>
    <t>FN969</t>
  </si>
  <si>
    <t>LN969</t>
  </si>
  <si>
    <t>E00969</t>
  </si>
  <si>
    <t>FN970</t>
  </si>
  <si>
    <t>LN970</t>
  </si>
  <si>
    <t>2027-09-19</t>
  </si>
  <si>
    <t>E00970</t>
  </si>
  <si>
    <t>FN971</t>
  </si>
  <si>
    <t>LN971</t>
  </si>
  <si>
    <t>2016-07-16</t>
  </si>
  <si>
    <t>E00971</t>
  </si>
  <si>
    <t>FN972</t>
  </si>
  <si>
    <t>LN972</t>
  </si>
  <si>
    <t>2026-05-03</t>
  </si>
  <si>
    <t>E00972</t>
  </si>
  <si>
    <t>FN973</t>
  </si>
  <si>
    <t>LN973</t>
  </si>
  <si>
    <t>E00973</t>
  </si>
  <si>
    <t>FN974</t>
  </si>
  <si>
    <t>LN974</t>
  </si>
  <si>
    <t>E00974</t>
  </si>
  <si>
    <t>FN975</t>
  </si>
  <si>
    <t>LN975</t>
  </si>
  <si>
    <t>2023-08-26</t>
  </si>
  <si>
    <t>2031-11-07</t>
  </si>
  <si>
    <t>E00975</t>
  </si>
  <si>
    <t>FN976</t>
  </si>
  <si>
    <t>LN976</t>
  </si>
  <si>
    <t>2021-05-15</t>
  </si>
  <si>
    <t>E00976</t>
  </si>
  <si>
    <t>FN977</t>
  </si>
  <si>
    <t>LN977</t>
  </si>
  <si>
    <t>2018-11-11</t>
  </si>
  <si>
    <t>E00977</t>
  </si>
  <si>
    <t>FN978</t>
  </si>
  <si>
    <t>LN978</t>
  </si>
  <si>
    <t>2017-05-22</t>
  </si>
  <si>
    <t>E00978</t>
  </si>
  <si>
    <t>FN979</t>
  </si>
  <si>
    <t>LN979</t>
  </si>
  <si>
    <t>2017-10-04</t>
  </si>
  <si>
    <t>E00979</t>
  </si>
  <si>
    <t>FN980</t>
  </si>
  <si>
    <t>LN980</t>
  </si>
  <si>
    <t>2016-03-17</t>
  </si>
  <si>
    <t>E00980</t>
  </si>
  <si>
    <t>FN981</t>
  </si>
  <si>
    <t>LN981</t>
  </si>
  <si>
    <t>E00981</t>
  </si>
  <si>
    <t>FN982</t>
  </si>
  <si>
    <t>LN982</t>
  </si>
  <si>
    <t>2017-04-14</t>
  </si>
  <si>
    <t>E00982</t>
  </si>
  <si>
    <t>FN983</t>
  </si>
  <si>
    <t>LN983</t>
  </si>
  <si>
    <t>2022-07-27</t>
  </si>
  <si>
    <t>E00983</t>
  </si>
  <si>
    <t>FN984</t>
  </si>
  <si>
    <t>LN984</t>
  </si>
  <si>
    <t>2021-03-29</t>
  </si>
  <si>
    <t>E00984</t>
  </si>
  <si>
    <t>FN985</t>
  </si>
  <si>
    <t>LN985</t>
  </si>
  <si>
    <t>E00985</t>
  </si>
  <si>
    <t>FN986</t>
  </si>
  <si>
    <t>LN986</t>
  </si>
  <si>
    <t>2021-07-23</t>
  </si>
  <si>
    <t>E00986</t>
  </si>
  <si>
    <t>FN987</t>
  </si>
  <si>
    <t>LN987</t>
  </si>
  <si>
    <t>2025-05-15</t>
  </si>
  <si>
    <t>E00987</t>
  </si>
  <si>
    <t>FN988</t>
  </si>
  <si>
    <t>LN988</t>
  </si>
  <si>
    <t>E00988</t>
  </si>
  <si>
    <t>FN989</t>
  </si>
  <si>
    <t>LN989</t>
  </si>
  <si>
    <t>E00989</t>
  </si>
  <si>
    <t>FN990</t>
  </si>
  <si>
    <t>LN990</t>
  </si>
  <si>
    <t>2021-08-22</t>
  </si>
  <si>
    <t>E00990</t>
  </si>
  <si>
    <t>FN991</t>
  </si>
  <si>
    <t>LN991</t>
  </si>
  <si>
    <t>2017-08-15</t>
  </si>
  <si>
    <t>E00991</t>
  </si>
  <si>
    <t>FN992</t>
  </si>
  <si>
    <t>LN992</t>
  </si>
  <si>
    <t>2017-04-04</t>
  </si>
  <si>
    <t>E00992</t>
  </si>
  <si>
    <t>FN993</t>
  </si>
  <si>
    <t>LN993</t>
  </si>
  <si>
    <t>2024-06-17</t>
  </si>
  <si>
    <t>E00993</t>
  </si>
  <si>
    <t>FN994</t>
  </si>
  <si>
    <t>LN994</t>
  </si>
  <si>
    <t>2021-03-09</t>
  </si>
  <si>
    <t>E00994</t>
  </si>
  <si>
    <t>FN995</t>
  </si>
  <si>
    <t>LN995</t>
  </si>
  <si>
    <t>2016-06-14</t>
  </si>
  <si>
    <t>E00995</t>
  </si>
  <si>
    <t>FN996</t>
  </si>
  <si>
    <t>LN996</t>
  </si>
  <si>
    <t>2020-06-05</t>
  </si>
  <si>
    <t>E00996</t>
  </si>
  <si>
    <t>FN997</t>
  </si>
  <si>
    <t>LN997</t>
  </si>
  <si>
    <t>2017-11-03</t>
  </si>
  <si>
    <t>E00997</t>
  </si>
  <si>
    <t>FN998</t>
  </si>
  <si>
    <t>LN998</t>
  </si>
  <si>
    <t>2018-12-15</t>
  </si>
  <si>
    <t>E00998</t>
  </si>
  <si>
    <t>FN999</t>
  </si>
  <si>
    <t>LN999</t>
  </si>
  <si>
    <t>E00999</t>
  </si>
  <si>
    <t>FN1000</t>
  </si>
  <si>
    <t>LN1000</t>
  </si>
  <si>
    <t>2024-06-21</t>
  </si>
  <si>
    <t>E01000</t>
  </si>
  <si>
    <t>FN1001</t>
  </si>
  <si>
    <t>LN1001</t>
  </si>
  <si>
    <t>2021-09-22</t>
  </si>
  <si>
    <t>Count of Employee_ID</t>
  </si>
  <si>
    <t>Row Labels</t>
  </si>
  <si>
    <t>Grand Total</t>
  </si>
  <si>
    <t>Count of Attrition_Risk</t>
  </si>
  <si>
    <t>Active Employees</t>
  </si>
  <si>
    <t>Attrition Rate</t>
  </si>
  <si>
    <t>Terminated Emp.</t>
  </si>
  <si>
    <t>Sum of Salary_USD</t>
  </si>
  <si>
    <t>Average of Salary_USD</t>
  </si>
  <si>
    <t>Average of Performance_Rating</t>
  </si>
  <si>
    <t>Average of Engagement_Score</t>
  </si>
  <si>
    <t>Executive KPI Cards</t>
  </si>
  <si>
    <t>Count of Gender</t>
  </si>
  <si>
    <t>Compensation KPIs</t>
  </si>
  <si>
    <t>for HRBP dashboards</t>
  </si>
  <si>
    <t>Highest Salary</t>
  </si>
  <si>
    <t>Lowest Salary</t>
  </si>
  <si>
    <t>Average of Bonus_%</t>
  </si>
  <si>
    <t>High-level KPIs reflect the overall performance or growth of the business, and low-level KPIs act as performance targets for individual workers.</t>
  </si>
  <si>
    <r>
      <t xml:space="preserve">Tells a </t>
    </r>
    <r>
      <rPr>
        <b/>
        <sz val="11"/>
        <color theme="1"/>
        <rFont val="Tw Cen MT"/>
        <family val="2"/>
        <scheme val="minor"/>
      </rPr>
      <t>story</t>
    </r>
    <r>
      <rPr>
        <sz val="11"/>
        <color theme="1"/>
        <rFont val="Tw Cen MT"/>
        <family val="2"/>
        <scheme val="minor"/>
      </rPr>
      <t xml:space="preserve"> about employee and customer behaviors</t>
    </r>
  </si>
  <si>
    <r>
      <t xml:space="preserve">KPIs (Key Performance Indicator), a management tool, use </t>
    </r>
    <r>
      <rPr>
        <b/>
        <sz val="11"/>
        <color theme="1"/>
        <rFont val="Tw Cen MT"/>
        <family val="2"/>
        <scheme val="minor"/>
      </rPr>
      <t>KPI measurements</t>
    </r>
    <r>
      <rPr>
        <sz val="11"/>
        <color theme="1"/>
        <rFont val="Tw Cen MT"/>
        <family val="2"/>
        <scheme val="minor"/>
      </rPr>
      <t xml:space="preserve"> as </t>
    </r>
    <r>
      <rPr>
        <b/>
        <sz val="11"/>
        <color theme="1"/>
        <rFont val="Tw Cen MT"/>
        <family val="2"/>
        <scheme val="minor"/>
      </rPr>
      <t>inputs</t>
    </r>
    <r>
      <rPr>
        <sz val="11"/>
        <color theme="1"/>
        <rFont val="Tw Cen MT"/>
        <family val="2"/>
        <scheme val="minor"/>
      </rPr>
      <t xml:space="preserve"> for driving strategy execution and decision-making process.</t>
    </r>
  </si>
  <si>
    <t>If the sales team makes fewer calls, the total number of presentations will start to decrease.</t>
  </si>
  <si>
    <r>
      <t xml:space="preserve">2 types of KPIs: Total Sales Presentations is a </t>
    </r>
    <r>
      <rPr>
        <b/>
        <sz val="11"/>
        <color theme="1"/>
        <rFont val="Tw Cen MT"/>
        <family val="2"/>
        <scheme val="minor"/>
      </rPr>
      <t>Lagging indicator</t>
    </r>
    <r>
      <rPr>
        <sz val="11"/>
        <color theme="1"/>
        <rFont val="Tw Cen MT"/>
        <family val="2"/>
        <scheme val="minor"/>
      </rPr>
      <t xml:space="preserve"> of the total number of sales calls (a </t>
    </r>
    <r>
      <rPr>
        <b/>
        <sz val="11"/>
        <color theme="1"/>
        <rFont val="Tw Cen MT"/>
        <family val="2"/>
        <scheme val="minor"/>
      </rPr>
      <t>Leading indicator</t>
    </r>
    <r>
      <rPr>
        <sz val="11"/>
        <color theme="1"/>
        <rFont val="Tw Cen MT"/>
        <family val="2"/>
        <scheme val="minor"/>
      </rPr>
      <t xml:space="preserve">). </t>
    </r>
  </si>
  <si>
    <r>
      <t xml:space="preserve">As an organization, you choose which </t>
    </r>
    <r>
      <rPr>
        <b/>
        <sz val="11"/>
        <color theme="1"/>
        <rFont val="Tw Cen MT"/>
        <family val="2"/>
        <scheme val="minor"/>
      </rPr>
      <t>Metrics</t>
    </r>
    <r>
      <rPr>
        <sz val="11"/>
        <color theme="1"/>
        <rFont val="Tw Cen MT"/>
        <family val="2"/>
        <scheme val="minor"/>
      </rPr>
      <t xml:space="preserve"> (usually not all) will act as your </t>
    </r>
    <r>
      <rPr>
        <b/>
        <sz val="11"/>
        <color theme="1"/>
        <rFont val="Tw Cen MT"/>
        <family val="2"/>
        <scheme val="minor"/>
      </rPr>
      <t>KPI</t>
    </r>
    <r>
      <rPr>
        <sz val="11"/>
        <color theme="1"/>
        <rFont val="Tw Cen MT"/>
        <family val="2"/>
        <scheme val="minor"/>
      </rPr>
      <t>.</t>
    </r>
  </si>
  <si>
    <t>Performance KPIs</t>
  </si>
  <si>
    <t>High Performers (≥4.5)</t>
  </si>
  <si>
    <t>Low Performers (&lt;3.0)</t>
  </si>
  <si>
    <t>Engagement vs Attrition Risk</t>
  </si>
  <si>
    <t>Engagement vs Performance??</t>
  </si>
  <si>
    <t>Sum of Training_Hours</t>
  </si>
  <si>
    <t>Total Training Hours</t>
  </si>
  <si>
    <t>Training vs Promotion Eligibility??</t>
  </si>
  <si>
    <t>Average of Absences</t>
  </si>
  <si>
    <t>Employees with High Absence (&gt;10) ???</t>
  </si>
  <si>
    <t>Promotion Eligible Employees</t>
  </si>
  <si>
    <t>SALARY ANALYTICS</t>
  </si>
  <si>
    <t>Salary by Experience???</t>
  </si>
  <si>
    <r>
      <rPr>
        <b/>
        <sz val="11"/>
        <color theme="1"/>
        <rFont val="Tw Cen MT"/>
        <family val="2"/>
        <scheme val="minor"/>
      </rPr>
      <t>Business Problem:</t>
    </r>
    <r>
      <rPr>
        <sz val="11"/>
        <color theme="1"/>
        <rFont val="Tw Cen MT"/>
        <family val="2"/>
        <scheme val="minor"/>
      </rPr>
      <t xml:space="preserve"> The dataset indicates that the HR team keeps track of the performance of employees by. Analyzing</t>
    </r>
  </si>
  <si>
    <t>Count of Job_Title</t>
  </si>
  <si>
    <t>Column Labels</t>
  </si>
  <si>
    <t>Count of Employment_Type</t>
  </si>
  <si>
    <t>HR Analytics Dashboard - (Building Strategies)</t>
  </si>
  <si>
    <t>KPI's</t>
  </si>
  <si>
    <t>Value</t>
  </si>
  <si>
    <t>Employees HC</t>
  </si>
  <si>
    <t>Overall Employee</t>
  </si>
  <si>
    <t>Avg_Engagement_Score</t>
  </si>
  <si>
    <t>Avg_Performance_Rating</t>
  </si>
  <si>
    <t>Avg_Salary_USD</t>
  </si>
  <si>
    <t>Attrition Risk</t>
  </si>
  <si>
    <t>Count</t>
  </si>
  <si>
    <t>Gender_Ratio</t>
  </si>
  <si>
    <t>F/M</t>
  </si>
  <si>
    <t>Average of Training_Hours</t>
  </si>
  <si>
    <t>Eligible for Promotion</t>
  </si>
  <si>
    <t>High_Attrition_Risk_Employees</t>
  </si>
  <si>
    <t>Average of Overtime_Hours</t>
  </si>
  <si>
    <t>Avg_Performance_Rating_from_10</t>
  </si>
  <si>
    <t>Avg_Engagement_Score_from_100</t>
  </si>
  <si>
    <t>Higest Salary</t>
  </si>
  <si>
    <t>Year_of_Joining</t>
  </si>
  <si>
    <t>Stability</t>
  </si>
  <si>
    <t>(All)</t>
  </si>
  <si>
    <r>
      <t>Turnover Rate:</t>
    </r>
    <r>
      <rPr>
        <sz val="11"/>
        <color theme="1"/>
        <rFont val="Tw Cen MT"/>
        <family val="2"/>
        <scheme val="minor"/>
      </rPr>
      <t xml:space="preserve"> Percentage of employees who leave the company (voluntary vs. involuntary) over a specific timeframe.</t>
    </r>
  </si>
  <si>
    <r>
      <t>Early Turnover Rate:</t>
    </r>
    <r>
      <rPr>
        <sz val="11"/>
        <color theme="1"/>
        <rFont val="Tw Cen MT"/>
        <family val="2"/>
        <scheme val="minor"/>
      </rPr>
      <t xml:space="preserve"> Percentage of new hires who leave within their first 90 days or first year.</t>
    </r>
  </si>
  <si>
    <r>
      <t>Absenteeism Rate:</t>
    </r>
    <r>
      <rPr>
        <sz val="11"/>
        <color theme="1"/>
        <rFont val="Tw Cen MT"/>
        <family val="2"/>
        <scheme val="minor"/>
      </rPr>
      <t xml:space="preserve"> Average number of unscheduled or unexcused workdays missed by employees.</t>
    </r>
  </si>
  <si>
    <r>
      <t>Employee Engagement / eNPS:</t>
    </r>
    <r>
      <rPr>
        <sz val="11"/>
        <color theme="1"/>
        <rFont val="Tw Cen MT"/>
        <family val="2"/>
        <scheme val="minor"/>
      </rPr>
      <t xml:space="preserve"> Employee Net Promoter Score measuring how likely staff are to recommend the company as a workplace</t>
    </r>
  </si>
  <si>
    <t>Productivity &amp; Efficiency Metrics</t>
  </si>
  <si>
    <r>
      <t>Revenue per Employee:</t>
    </r>
    <r>
      <rPr>
        <sz val="10"/>
        <color theme="1"/>
        <rFont val="Arial"/>
        <family val="2"/>
      </rPr>
      <t xml:space="preserve"> Total company revenue divided by the total number of employees, measuring overall workforce productivity.</t>
    </r>
  </si>
  <si>
    <r>
      <t>Time-to-Productivity:</t>
    </r>
    <r>
      <rPr>
        <sz val="10"/>
        <color theme="1"/>
        <rFont val="Arial"/>
        <family val="2"/>
      </rPr>
      <t xml:space="preserve"> Number of days or weeks it takes a new hire to reach full operational capacity.</t>
    </r>
  </si>
  <si>
    <r>
      <t>HR-to-Employee Ratio:</t>
    </r>
    <r>
      <rPr>
        <sz val="10"/>
        <color theme="1"/>
        <rFont val="Arial"/>
        <family val="2"/>
      </rPr>
      <t xml:space="preserve"> Number of HR personnel relative to the total headcount, indicating operational scaling.</t>
    </r>
  </si>
  <si>
    <r>
      <t>Training Completion Rate:</t>
    </r>
    <r>
      <rPr>
        <sz val="10"/>
        <color theme="1"/>
        <rFont val="Arial"/>
        <family val="2"/>
      </rPr>
      <t xml:space="preserve"> Percentage of employees finishing required or developmental training programs.</t>
    </r>
  </si>
  <si>
    <t>High_Attrition %</t>
  </si>
  <si>
    <t>Total Payroll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</si>
</sst>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
    <numFmt numFmtId="165" formatCode="yyyy/mm/dd;@"/>
    <numFmt numFmtId="166" formatCode="_(&quot;$&quot;* #,##0_);_(&quot;$&quot;* \(#,##0\);_(&quot;$&quot;* &quot;-&quot;??_);_(@_)"/>
  </numFmts>
  <fonts count="12" x14ac:knownFonts="1">
    <font>
      <sz val="11"/>
      <color theme="1"/>
      <name val="Tw Cen MT"/>
      <family val="2"/>
      <scheme val="minor"/>
    </font>
    <font>
      <sz val="11"/>
      <color rgb="FFFF0000"/>
      <name val="Tw Cen MT"/>
      <family val="2"/>
      <scheme val="minor"/>
    </font>
    <font>
      <b/>
      <sz val="16"/>
      <color theme="1"/>
      <name val="Tw Cen MT"/>
      <family val="2"/>
      <scheme val="minor"/>
    </font>
    <font>
      <b/>
      <sz val="14"/>
      <color theme="3"/>
      <name val="Tw Cen MT"/>
      <family val="2"/>
      <scheme val="minor"/>
    </font>
    <font>
      <sz val="14"/>
      <color theme="1"/>
      <name val="Tw Cen MT"/>
      <family val="2"/>
      <scheme val="minor"/>
    </font>
    <font>
      <b/>
      <sz val="18"/>
      <color theme="1"/>
      <name val="Tw Cen MT"/>
      <family val="2"/>
      <scheme val="minor"/>
    </font>
    <font>
      <b/>
      <sz val="11"/>
      <color theme="1"/>
      <name val="Tw Cen MT"/>
      <family val="2"/>
      <scheme val="minor"/>
    </font>
    <font>
      <sz val="11"/>
      <color theme="1"/>
      <name val="Tw Cen MT"/>
      <family val="2"/>
      <scheme val="minor"/>
    </font>
    <font>
      <b/>
      <sz val="20"/>
      <color theme="1"/>
      <name val="Tw Cen MT"/>
      <family val="2"/>
      <scheme val="minor"/>
    </font>
    <font>
      <b/>
      <sz val="10"/>
      <color theme="1"/>
      <name val="Arial"/>
      <family val="2"/>
    </font>
    <font>
      <sz val="10"/>
      <color theme="1"/>
      <name val="Arial"/>
      <family val="2"/>
    </font>
    <font>
      <sz val="12"/>
      <color theme="1"/>
      <name val="Arial"/>
      <family val="2"/>
    </font>
  </fonts>
  <fills count="9">
    <fill>
      <patternFill patternType="none"/>
    </fill>
    <fill>
      <patternFill patternType="gray125"/>
    </fill>
    <fill>
      <patternFill patternType="solid">
        <fgColor rgb="FFFFFF00"/>
        <bgColor indexed="64"/>
      </patternFill>
    </fill>
    <fill>
      <patternFill patternType="solid">
        <fgColor theme="8"/>
        <bgColor indexed="64"/>
      </patternFill>
    </fill>
    <fill>
      <patternFill patternType="solid">
        <fgColor rgb="FF00B0F0"/>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6" tint="0.39997558519241921"/>
        <bgColor indexed="64"/>
      </patternFill>
    </fill>
    <fill>
      <patternFill patternType="solid">
        <fgColor theme="5"/>
        <bgColor indexed="64"/>
      </patternFill>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4" fontId="7" fillId="0" borderId="0" applyFont="0" applyFill="0" applyBorder="0" applyAlignment="0" applyProtection="0"/>
    <xf numFmtId="9" fontId="7" fillId="0" borderId="0" applyFont="0" applyFill="0" applyBorder="0" applyAlignment="0" applyProtection="0"/>
  </cellStyleXfs>
  <cellXfs count="35">
    <xf numFmtId="0" fontId="0" fillId="0" borderId="0" xfId="0"/>
    <xf numFmtId="0" fontId="0" fillId="0" borderId="0" xfId="0" pivotButton="1"/>
    <xf numFmtId="0" fontId="0" fillId="0" borderId="0" xfId="0" applyAlignment="1">
      <alignment horizontal="left"/>
    </xf>
    <xf numFmtId="0" fontId="0" fillId="2" borderId="0" xfId="0" applyFill="1"/>
    <xf numFmtId="0" fontId="2" fillId="3" borderId="0" xfId="0" applyFont="1" applyFill="1" applyAlignment="1">
      <alignment horizontal="center"/>
    </xf>
    <xf numFmtId="0" fontId="1" fillId="0" borderId="0" xfId="0" applyFont="1"/>
    <xf numFmtId="0" fontId="3" fillId="0" borderId="0" xfId="0" applyFont="1"/>
    <xf numFmtId="2" fontId="0" fillId="0" borderId="0" xfId="0" applyNumberFormat="1"/>
    <xf numFmtId="10" fontId="0" fillId="0" borderId="0" xfId="0" applyNumberFormat="1"/>
    <xf numFmtId="0" fontId="0" fillId="0" borderId="0" xfId="0" applyAlignment="1">
      <alignment horizontal="center"/>
    </xf>
    <xf numFmtId="0" fontId="4" fillId="6" borderId="0" xfId="0" applyFont="1" applyFill="1" applyAlignment="1">
      <alignment horizontal="center"/>
    </xf>
    <xf numFmtId="0" fontId="6" fillId="0" borderId="0" xfId="0" applyFont="1" applyAlignment="1">
      <alignment horizontal="center"/>
    </xf>
    <xf numFmtId="0" fontId="0" fillId="7" borderId="0" xfId="0" applyFill="1"/>
    <xf numFmtId="0" fontId="0" fillId="8" borderId="0" xfId="0" applyFill="1"/>
    <xf numFmtId="164" fontId="0" fillId="0" borderId="0" xfId="0" applyNumberFormat="1"/>
    <xf numFmtId="1" fontId="0" fillId="0" borderId="0" xfId="0" applyNumberFormat="1"/>
    <xf numFmtId="49" fontId="0" fillId="0" borderId="0" xfId="0" applyNumberFormat="1"/>
    <xf numFmtId="165" fontId="0" fillId="0" borderId="0" xfId="0" applyNumberFormat="1"/>
    <xf numFmtId="166" fontId="0" fillId="0" borderId="0" xfId="1" applyNumberFormat="1" applyFont="1"/>
    <xf numFmtId="12" fontId="0" fillId="0" borderId="0" xfId="0" applyNumberFormat="1"/>
    <xf numFmtId="9" fontId="0" fillId="0" borderId="0" xfId="2" applyFont="1"/>
    <xf numFmtId="0" fontId="9" fillId="0" borderId="0" xfId="0" applyFont="1"/>
    <xf numFmtId="0" fontId="11" fillId="0" borderId="0" xfId="0" applyFont="1" applyAlignment="1">
      <alignment vertical="center"/>
    </xf>
    <xf numFmtId="0" fontId="9" fillId="0" borderId="0" xfId="0" applyFont="1" applyAlignment="1">
      <alignment horizontal="left" vertical="center" indent="1"/>
    </xf>
    <xf numFmtId="0" fontId="0" fillId="0" borderId="0" xfId="0" applyAlignment="1">
      <alignment horizontal="center"/>
    </xf>
    <xf numFmtId="0" fontId="8" fillId="5" borderId="1" xfId="0" applyFont="1" applyFill="1" applyBorder="1" applyAlignment="1">
      <alignment horizontal="center" vertical="center"/>
    </xf>
    <xf numFmtId="0" fontId="8" fillId="5" borderId="2" xfId="0" applyFont="1" applyFill="1" applyBorder="1" applyAlignment="1">
      <alignment horizontal="center" vertical="center"/>
    </xf>
    <xf numFmtId="0" fontId="8" fillId="5" borderId="3" xfId="0" applyFont="1" applyFill="1" applyBorder="1" applyAlignment="1">
      <alignment horizontal="center" vertical="center"/>
    </xf>
    <xf numFmtId="0" fontId="5" fillId="4" borderId="0" xfId="0" applyFont="1" applyFill="1" applyAlignment="1">
      <alignment horizontal="center"/>
    </xf>
    <xf numFmtId="0" fontId="0" fillId="4" borderId="0" xfId="0" applyFill="1" applyAlignment="1">
      <alignment horizontal="center"/>
    </xf>
    <xf numFmtId="0" fontId="0" fillId="0" borderId="0" xfId="0" applyAlignment="1">
      <alignment horizontal="left" vertical="top"/>
    </xf>
    <xf numFmtId="0" fontId="1" fillId="0" borderId="0" xfId="0" applyFont="1" applyAlignment="1">
      <alignment horizontal="center"/>
    </xf>
    <xf numFmtId="0" fontId="5" fillId="3" borderId="0" xfId="0" applyFont="1" applyFill="1" applyAlignment="1">
      <alignment horizontal="center"/>
    </xf>
    <xf numFmtId="0" fontId="3" fillId="0" borderId="0" xfId="0" applyFont="1" applyAlignment="1">
      <alignment horizontal="center"/>
    </xf>
    <xf numFmtId="0" fontId="0" fillId="0" borderId="0" xfId="0" applyNumberFormat="1"/>
  </cellXfs>
  <cellStyles count="3">
    <cellStyle name="Currency" xfId="1" builtinId="4"/>
    <cellStyle name="Normal" xfId="0" builtinId="0"/>
    <cellStyle name="Percent" xfId="2" builtinId="5"/>
  </cellStyles>
  <dxfs count="165">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fill>
        <patternFill patternType="solid">
          <fgColor indexed="64"/>
          <bgColor theme="6" tint="0.39997558519241921"/>
        </patternFill>
      </fill>
    </dxf>
    <dxf>
      <numFmt numFmtId="0" formatCode="General"/>
      <fill>
        <patternFill patternType="solid">
          <fgColor indexed="64"/>
          <bgColor theme="6" tint="0.39997558519241921"/>
        </patternFill>
      </fill>
    </dxf>
    <dxf>
      <numFmt numFmtId="164" formatCode="0.0"/>
    </dxf>
    <dxf>
      <numFmt numFmtId="1" formatCode="0"/>
    </dxf>
    <dxf>
      <numFmt numFmtId="1" formatCode="0"/>
    </dxf>
    <dxf>
      <numFmt numFmtId="1" formatCode="0"/>
    </dxf>
    <dxf>
      <numFmt numFmtId="2" formatCode="0.00"/>
    </dxf>
    <dxf>
      <numFmt numFmtId="164" formatCode="0.0"/>
    </dxf>
    <dxf>
      <numFmt numFmtId="17" formatCode="#\ ?/?"/>
    </dxf>
    <dxf>
      <numFmt numFmtId="166" formatCode="_(&quot;$&quot;* #,##0_);_(&quot;$&quot;* \(#,##0\);_(&quot;$&quot;* &quot;-&quot;??_);_(@_)"/>
    </dxf>
    <dxf>
      <numFmt numFmtId="1" formatCode="0"/>
    </dxf>
    <dxf>
      <numFmt numFmtId="165" formatCode="yyyy/mm/dd;@"/>
    </dxf>
    <dxf>
      <numFmt numFmtId="165" formatCode="yyyy/mm/dd;@"/>
    </dxf>
    <dxf>
      <numFmt numFmtId="30" formatCode="@"/>
    </dxf>
    <dxf>
      <numFmt numFmtId="30" formatCode="@"/>
    </dxf>
    <dxf>
      <numFmt numFmtId="30" formatCode="@"/>
    </dxf>
    <dxf>
      <numFmt numFmtId="30" formatCode="@"/>
    </dxf>
    <dxf>
      <numFmt numFmtId="30" formatCode="@"/>
    </dxf>
    <dxf>
      <numFmt numFmtId="1" formatCode="0"/>
    </dxf>
    <dxf>
      <numFmt numFmtId="30" formatCode="@"/>
    </dxf>
    <dxf>
      <numFmt numFmtId="30" formatCode="@"/>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2.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[ChatGPT_HR_Analytics_Dataset_1000_Records.xlsx]Attrition &amp; Workforce!PivotTable60</c:name>
    <c:fmtId val="5"/>
  </c:pivotSource>
  <c:chart>
    <c:title>
      <c:tx>
        <c:rich>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r>
              <a:rPr lang="en-US" sz="1600" b="1" i="0" u="none" strike="noStrike" kern="1200" spc="0" baseline="0">
                <a:solidFill>
                  <a:schemeClr val="tx2"/>
                </a:solidFill>
              </a:rPr>
              <a:t>DEPARTMENT HEADCOUNT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a:glow rad="1397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glow rad="1397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rad="1397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glow rad="1397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glow rad="1397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842934298282676E-2"/>
          <c:y val="0.11342382043162051"/>
          <c:w val="0.87591750741897945"/>
          <c:h val="0.76023502266508747"/>
        </c:manualLayout>
      </c:layout>
      <c:barChart>
        <c:barDir val="col"/>
        <c:grouping val="stacked"/>
        <c:varyColors val="0"/>
        <c:ser>
          <c:idx val="0"/>
          <c:order val="0"/>
          <c:tx>
            <c:strRef>
              <c:f>'Attrition &amp; Workforce'!$I$3</c:f>
              <c:strCache>
                <c:ptCount val="1"/>
                <c:pt idx="0">
                  <c:v>Total</c:v>
                </c:pt>
              </c:strCache>
            </c:strRef>
          </c:tx>
          <c:spPr>
            <a:solidFill>
              <a:schemeClr val="accent1"/>
            </a:solidFill>
            <a:ln>
              <a:noFill/>
            </a:ln>
            <a:effectLst>
              <a:glow rad="139700">
                <a:schemeClr val="accent2">
                  <a:satMod val="17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&amp; Workforce'!$H$4:$H$10</c:f>
              <c:strCache>
                <c:ptCount val="6"/>
                <c:pt idx="0">
                  <c:v>Finance</c:v>
                </c:pt>
                <c:pt idx="1">
                  <c:v>HR</c:v>
                </c:pt>
                <c:pt idx="2">
                  <c:v>IT</c:v>
                </c:pt>
                <c:pt idx="3">
                  <c:v>Marketing</c:v>
                </c:pt>
                <c:pt idx="4">
                  <c:v>Operations</c:v>
                </c:pt>
                <c:pt idx="5">
                  <c:v>Sales</c:v>
                </c:pt>
              </c:strCache>
            </c:strRef>
          </c:cat>
          <c:val>
            <c:numRef>
              <c:f>'Attrition &amp; Workforce'!$I$4:$I$10</c:f>
              <c:numCache>
                <c:formatCode>General</c:formatCode>
                <c:ptCount val="6"/>
                <c:pt idx="0">
                  <c:v>88</c:v>
                </c:pt>
                <c:pt idx="1">
                  <c:v>90</c:v>
                </c:pt>
                <c:pt idx="2">
                  <c:v>75</c:v>
                </c:pt>
                <c:pt idx="3">
                  <c:v>72</c:v>
                </c:pt>
                <c:pt idx="4">
                  <c:v>96</c:v>
                </c:pt>
                <c:pt idx="5">
                  <c:v>82</c:v>
                </c:pt>
              </c:numCache>
            </c:numRef>
          </c:val>
          <c:extLst>
            <c:ext xmlns:c16="http://schemas.microsoft.com/office/drawing/2014/chart" uri="{C3380CC4-5D6E-409C-BE32-E72D297353CC}">
              <c16:uniqueId val="{00000000-F412-4446-8FC0-520EC514D11A}"/>
            </c:ext>
          </c:extLst>
        </c:ser>
        <c:dLbls>
          <c:dLblPos val="inEnd"/>
          <c:showLegendKey val="0"/>
          <c:showVal val="1"/>
          <c:showCatName val="0"/>
          <c:showSerName val="0"/>
          <c:showPercent val="0"/>
          <c:showBubbleSize val="0"/>
        </c:dLbls>
        <c:gapWidth val="96"/>
        <c:overlap val="100"/>
        <c:axId val="590369968"/>
        <c:axId val="590370328"/>
      </c:barChart>
      <c:catAx>
        <c:axId val="59036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370328"/>
        <c:crosses val="autoZero"/>
        <c:auto val="1"/>
        <c:lblAlgn val="ctr"/>
        <c:lblOffset val="100"/>
        <c:noMultiLvlLbl val="0"/>
      </c:catAx>
      <c:valAx>
        <c:axId val="590370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36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[ChatGPT_HR_Analytics_Dataset_1000_Records.xlsx]Executive &amp; Manager!PivotTable52</c:name>
    <c:fmtId val="1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Avg_Bonus% per Profile</a:t>
            </a:r>
          </a:p>
        </c:rich>
      </c:tx>
      <c:layout>
        <c:manualLayout>
          <c:xMode val="edge"/>
          <c:yMode val="edge"/>
          <c:x val="0.33525887028976947"/>
          <c:y val="3.7444272472961122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93236429922397"/>
          <c:y val="0.11060315004534101"/>
          <c:w val="0.85890734819730963"/>
          <c:h val="0.62496280426114381"/>
        </c:manualLayout>
      </c:layout>
      <c:lineChart>
        <c:grouping val="standard"/>
        <c:varyColors val="0"/>
        <c:ser>
          <c:idx val="0"/>
          <c:order val="0"/>
          <c:tx>
            <c:strRef>
              <c:f>'Executive &amp; Manager'!$G$5</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'Executive &amp; Manager'!$F$6:$F$17</c:f>
              <c:strCache>
                <c:ptCount val="11"/>
                <c:pt idx="0">
                  <c:v>Accountant</c:v>
                </c:pt>
                <c:pt idx="1">
                  <c:v>Analyst</c:v>
                </c:pt>
                <c:pt idx="2">
                  <c:v>Coordinator</c:v>
                </c:pt>
                <c:pt idx="3">
                  <c:v>Engineer</c:v>
                </c:pt>
                <c:pt idx="4">
                  <c:v>HR Manager</c:v>
                </c:pt>
                <c:pt idx="5">
                  <c:v>HRBP</c:v>
                </c:pt>
                <c:pt idx="6">
                  <c:v>Manager</c:v>
                </c:pt>
                <c:pt idx="7">
                  <c:v>Recruiter</c:v>
                </c:pt>
                <c:pt idx="8">
                  <c:v>Sales Manager</c:v>
                </c:pt>
                <c:pt idx="9">
                  <c:v>Sales Rep</c:v>
                </c:pt>
                <c:pt idx="10">
                  <c:v>Specialist</c:v>
                </c:pt>
              </c:strCache>
            </c:strRef>
          </c:cat>
          <c:val>
            <c:numRef>
              <c:f>'Executive &amp; Manager'!$G$6:$G$17</c:f>
              <c:numCache>
                <c:formatCode>0.00</c:formatCode>
                <c:ptCount val="11"/>
                <c:pt idx="0">
                  <c:v>13.638888888888889</c:v>
                </c:pt>
                <c:pt idx="1">
                  <c:v>15.186046511627907</c:v>
                </c:pt>
                <c:pt idx="2">
                  <c:v>16.530612244897959</c:v>
                </c:pt>
                <c:pt idx="3">
                  <c:v>14.333333333333334</c:v>
                </c:pt>
                <c:pt idx="4">
                  <c:v>15.142857142857142</c:v>
                </c:pt>
                <c:pt idx="5">
                  <c:v>15.620689655172415</c:v>
                </c:pt>
                <c:pt idx="6">
                  <c:v>14.45774647887324</c:v>
                </c:pt>
                <c:pt idx="7">
                  <c:v>14.692307692307692</c:v>
                </c:pt>
                <c:pt idx="8">
                  <c:v>16.391304347826086</c:v>
                </c:pt>
                <c:pt idx="9">
                  <c:v>14.916666666666666</c:v>
                </c:pt>
                <c:pt idx="10">
                  <c:v>14.54054054054054</c:v>
                </c:pt>
              </c:numCache>
            </c:numRef>
          </c:val>
          <c:smooth val="0"/>
          <c:extLst>
            <c:ext xmlns:c16="http://schemas.microsoft.com/office/drawing/2014/chart" uri="{C3380CC4-5D6E-409C-BE32-E72D297353CC}">
              <c16:uniqueId val="{00000000-D366-4B10-9E46-4F73E1604549}"/>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96947208"/>
        <c:axId val="496948648"/>
      </c:lineChart>
      <c:catAx>
        <c:axId val="49694720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96948648"/>
        <c:crosses val="autoZero"/>
        <c:auto val="1"/>
        <c:lblAlgn val="ctr"/>
        <c:lblOffset val="100"/>
        <c:noMultiLvlLbl val="0"/>
      </c:catAx>
      <c:valAx>
        <c:axId val="4969486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96947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[ChatGPT_HR_Analytics_Dataset_1000_Records.xlsx]Compensation &amp; Salary!PivotTable15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Salary by Profile</a:t>
            </a:r>
          </a:p>
        </c:rich>
      </c:tx>
      <c:layout>
        <c:manualLayout>
          <c:xMode val="edge"/>
          <c:yMode val="edge"/>
          <c:x val="0.3488338096150998"/>
          <c:y val="1.896301881457569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71852185734714"/>
          <c:y val="8.9465545881881714E-2"/>
          <c:w val="0.73744816272965874"/>
          <c:h val="0.84869531933508291"/>
        </c:manualLayout>
      </c:layout>
      <c:barChart>
        <c:barDir val="bar"/>
        <c:grouping val="clustered"/>
        <c:varyColors val="0"/>
        <c:ser>
          <c:idx val="0"/>
          <c:order val="0"/>
          <c:tx>
            <c:strRef>
              <c:f>'Compensation &amp; Salary'!$C$18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'Compensation &amp; Salary'!$B$19:$B$30</c:f>
              <c:strCache>
                <c:ptCount val="11"/>
                <c:pt idx="0">
                  <c:v>Accountant</c:v>
                </c:pt>
                <c:pt idx="1">
                  <c:v>Analyst</c:v>
                </c:pt>
                <c:pt idx="2">
                  <c:v>Coordinator</c:v>
                </c:pt>
                <c:pt idx="3">
                  <c:v>Engineer</c:v>
                </c:pt>
                <c:pt idx="4">
                  <c:v>HR Manager</c:v>
                </c:pt>
                <c:pt idx="5">
                  <c:v>HRBP</c:v>
                </c:pt>
                <c:pt idx="6">
                  <c:v>Manager</c:v>
                </c:pt>
                <c:pt idx="7">
                  <c:v>Recruiter</c:v>
                </c:pt>
                <c:pt idx="8">
                  <c:v>Sales Manager</c:v>
                </c:pt>
                <c:pt idx="9">
                  <c:v>Sales Rep</c:v>
                </c:pt>
                <c:pt idx="10">
                  <c:v>Specialist</c:v>
                </c:pt>
              </c:strCache>
            </c:strRef>
          </c:cat>
          <c:val>
            <c:numRef>
              <c:f>'Compensation &amp; Salary'!$C$19:$C$30</c:f>
              <c:numCache>
                <c:formatCode>General</c:formatCode>
                <c:ptCount val="11"/>
                <c:pt idx="0">
                  <c:v>108037.55555555556</c:v>
                </c:pt>
                <c:pt idx="1">
                  <c:v>110736.93023255814</c:v>
                </c:pt>
                <c:pt idx="2">
                  <c:v>113124.16326530612</c:v>
                </c:pt>
                <c:pt idx="3">
                  <c:v>98334.583333333328</c:v>
                </c:pt>
                <c:pt idx="4">
                  <c:v>104075.2</c:v>
                </c:pt>
                <c:pt idx="5">
                  <c:v>107134.37931034483</c:v>
                </c:pt>
                <c:pt idx="6">
                  <c:v>114806.88732394367</c:v>
                </c:pt>
                <c:pt idx="7">
                  <c:v>111577.46153846153</c:v>
                </c:pt>
                <c:pt idx="8">
                  <c:v>100699.95652173914</c:v>
                </c:pt>
                <c:pt idx="9">
                  <c:v>113617.27777777778</c:v>
                </c:pt>
                <c:pt idx="10">
                  <c:v>116962.35135135135</c:v>
                </c:pt>
              </c:numCache>
            </c:numRef>
          </c:val>
          <c:extLst>
            <c:ext xmlns:c16="http://schemas.microsoft.com/office/drawing/2014/chart" uri="{C3380CC4-5D6E-409C-BE32-E72D297353CC}">
              <c16:uniqueId val="{00000000-ACE0-476D-880F-80E4575B0B47}"/>
            </c:ext>
          </c:extLst>
        </c:ser>
        <c:dLbls>
          <c:dLblPos val="inEnd"/>
          <c:showLegendKey val="0"/>
          <c:showVal val="1"/>
          <c:showCatName val="0"/>
          <c:showSerName val="0"/>
          <c:showPercent val="0"/>
          <c:showBubbleSize val="0"/>
        </c:dLbls>
        <c:gapWidth val="65"/>
        <c:axId val="591946512"/>
        <c:axId val="591948312"/>
      </c:barChart>
      <c:catAx>
        <c:axId val="5919465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1948312"/>
        <c:crosses val="autoZero"/>
        <c:auto val="1"/>
        <c:lblAlgn val="ctr"/>
        <c:lblOffset val="100"/>
        <c:noMultiLvlLbl val="0"/>
      </c:catAx>
      <c:valAx>
        <c:axId val="59194831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9194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[ChatGPT_HR_Analytics_Dataset_1000_Records.xlsx]Attrition &amp; Workforce!PivotTable17</c:name>
    <c:fmtId val="4"/>
  </c:pivotSource>
  <c:chart>
    <c:title>
      <c:tx>
        <c:rich>
          <a:bodyPr rot="0" spcFirstLastPara="1" vertOverflow="ellipsis" vert="horz" wrap="square" anchor="ctr" anchorCtr="1"/>
          <a:lstStyle/>
          <a:p>
            <a:pPr>
              <a:defRPr sz="1800" b="1" i="0" u="none" strike="noStrike" kern="1200" cap="all" spc="150" baseline="0">
                <a:solidFill>
                  <a:schemeClr val="tx2"/>
                </a:solidFill>
                <a:latin typeface="+mn-lt"/>
                <a:ea typeface="+mn-ea"/>
                <a:cs typeface="+mn-cs"/>
              </a:defRPr>
            </a:pPr>
            <a:r>
              <a:rPr lang="en-US">
                <a:solidFill>
                  <a:schemeClr val="tx2"/>
                </a:solidFill>
              </a:rPr>
              <a:t>Profile Heaadcount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240891502056646E-2"/>
          <c:y val="3.3541848935549734E-2"/>
          <c:w val="0.90298997949296933"/>
          <c:h val="0.70146617089530472"/>
        </c:manualLayout>
      </c:layout>
      <c:barChart>
        <c:barDir val="col"/>
        <c:grouping val="clustered"/>
        <c:varyColors val="0"/>
        <c:ser>
          <c:idx val="0"/>
          <c:order val="0"/>
          <c:tx>
            <c:strRef>
              <c:f>'Attrition &amp; Workforce'!$O$3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&amp; Workforce'!$N$4:$N$15</c:f>
              <c:strCache>
                <c:ptCount val="11"/>
                <c:pt idx="0">
                  <c:v>Accountant</c:v>
                </c:pt>
                <c:pt idx="1">
                  <c:v>Analyst</c:v>
                </c:pt>
                <c:pt idx="2">
                  <c:v>Coordinator</c:v>
                </c:pt>
                <c:pt idx="3">
                  <c:v>Engineer</c:v>
                </c:pt>
                <c:pt idx="4">
                  <c:v>HR Manager</c:v>
                </c:pt>
                <c:pt idx="5">
                  <c:v>HRBP</c:v>
                </c:pt>
                <c:pt idx="6">
                  <c:v>Manager</c:v>
                </c:pt>
                <c:pt idx="7">
                  <c:v>Recruiter</c:v>
                </c:pt>
                <c:pt idx="8">
                  <c:v>Sales Manager</c:v>
                </c:pt>
                <c:pt idx="9">
                  <c:v>Sales Rep</c:v>
                </c:pt>
                <c:pt idx="10">
                  <c:v>Specialist</c:v>
                </c:pt>
              </c:strCache>
            </c:strRef>
          </c:cat>
          <c:val>
            <c:numRef>
              <c:f>'Attrition &amp; Workforce'!$O$4:$O$15</c:f>
              <c:numCache>
                <c:formatCode>General</c:formatCode>
                <c:ptCount val="11"/>
                <c:pt idx="0">
                  <c:v>36</c:v>
                </c:pt>
                <c:pt idx="1">
                  <c:v>43</c:v>
                </c:pt>
                <c:pt idx="2">
                  <c:v>49</c:v>
                </c:pt>
                <c:pt idx="3">
                  <c:v>24</c:v>
                </c:pt>
                <c:pt idx="4">
                  <c:v>35</c:v>
                </c:pt>
                <c:pt idx="5">
                  <c:v>29</c:v>
                </c:pt>
                <c:pt idx="6">
                  <c:v>142</c:v>
                </c:pt>
                <c:pt idx="7">
                  <c:v>26</c:v>
                </c:pt>
                <c:pt idx="8">
                  <c:v>46</c:v>
                </c:pt>
                <c:pt idx="9">
                  <c:v>36</c:v>
                </c:pt>
                <c:pt idx="10">
                  <c:v>37</c:v>
                </c:pt>
              </c:numCache>
            </c:numRef>
          </c:val>
          <c:extLst>
            <c:ext xmlns:c16="http://schemas.microsoft.com/office/drawing/2014/chart" uri="{C3380CC4-5D6E-409C-BE32-E72D297353CC}">
              <c16:uniqueId val="{00000000-62B0-47C9-B03F-73859E4292B2}"/>
            </c:ext>
          </c:extLst>
        </c:ser>
        <c:dLbls>
          <c:dLblPos val="inEnd"/>
          <c:showLegendKey val="0"/>
          <c:showVal val="1"/>
          <c:showCatName val="0"/>
          <c:showSerName val="0"/>
          <c:showPercent val="0"/>
          <c:showBubbleSize val="0"/>
        </c:dLbls>
        <c:gapWidth val="164"/>
        <c:overlap val="-22"/>
        <c:axId val="657990408"/>
        <c:axId val="657992208"/>
      </c:barChart>
      <c:catAx>
        <c:axId val="65799040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57992208"/>
        <c:crosses val="autoZero"/>
        <c:auto val="1"/>
        <c:lblAlgn val="ctr"/>
        <c:lblOffset val="100"/>
        <c:noMultiLvlLbl val="0"/>
      </c:catAx>
      <c:valAx>
        <c:axId val="657992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990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[ChatGPT_HR_Analytics_Dataset_1000_Records.xlsx]Attrition &amp; Workforce!PivotTable59</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Gender HC</a:t>
            </a:r>
          </a:p>
        </c:rich>
      </c:tx>
      <c:layout>
        <c:manualLayout>
          <c:xMode val="edge"/>
          <c:yMode val="edge"/>
          <c:x val="5.4575930863475029E-2"/>
          <c:y val="4.045057803318619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pivotFmt>
      <c:pivotFmt>
        <c:idx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5239245975990902E-2"/>
          <c:y val="0.1225907321196302"/>
          <c:w val="0.88561623275559809"/>
          <c:h val="0.86729662337207325"/>
        </c:manualLayout>
      </c:layout>
      <c:pie3DChart>
        <c:varyColors val="1"/>
        <c:ser>
          <c:idx val="0"/>
          <c:order val="0"/>
          <c:tx>
            <c:strRef>
              <c:f>'Attrition &amp; Workforce'!$L$4</c:f>
              <c:strCache>
                <c:ptCount val="1"/>
                <c:pt idx="0">
                  <c:v>Total</c:v>
                </c:pt>
              </c:strCache>
            </c:strRef>
          </c:tx>
          <c:dPt>
            <c:idx val="0"/>
            <c:bubble3D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extLst>
              <c:ext xmlns:c16="http://schemas.microsoft.com/office/drawing/2014/chart" uri="{C3380CC4-5D6E-409C-BE32-E72D297353CC}">
                <c16:uniqueId val="{00000001-D33F-42CA-AAB0-F1B509368092}"/>
              </c:ext>
            </c:extLst>
          </c:dPt>
          <c:dPt>
            <c:idx val="1"/>
            <c:bubble3D val="0"/>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extLst>
              <c:ext xmlns:c16="http://schemas.microsoft.com/office/drawing/2014/chart" uri="{C3380CC4-5D6E-409C-BE32-E72D297353CC}">
                <c16:uniqueId val="{00000003-D33F-42CA-AAB0-F1B509368092}"/>
              </c:ext>
            </c:extLst>
          </c:dPt>
          <c:cat>
            <c:strRef>
              <c:f>'Attrition &amp; Workforce'!$K$5:$K$6</c:f>
              <c:strCache>
                <c:ptCount val="1"/>
                <c:pt idx="0">
                  <c:v>Female</c:v>
                </c:pt>
              </c:strCache>
            </c:strRef>
          </c:cat>
          <c:val>
            <c:numRef>
              <c:f>'Attrition &amp; Workforce'!$L$5:$L$6</c:f>
              <c:numCache>
                <c:formatCode>General</c:formatCode>
                <c:ptCount val="1"/>
                <c:pt idx="0">
                  <c:v>503</c:v>
                </c:pt>
              </c:numCache>
            </c:numRef>
          </c:val>
          <c:extLst>
            <c:ext xmlns:c16="http://schemas.microsoft.com/office/drawing/2014/chart" uri="{C3380CC4-5D6E-409C-BE32-E72D297353CC}">
              <c16:uniqueId val="{00000004-D33F-42CA-AAB0-F1B509368092}"/>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6067708793163036"/>
          <c:y val="3.1888273592421405E-2"/>
          <c:w val="0.18486225919638374"/>
          <c:h val="0.209351648102266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[ChatGPT_HR_Analytics_Dataset_1000_Records.xlsx]Attrition &amp; Workforce!PivotTable10</c:name>
    <c:fmtId val="5"/>
  </c:pivotSource>
  <c:chart>
    <c:title>
      <c:tx>
        <c:rich>
          <a:bodyPr rot="0" spcFirstLastPara="1" vertOverflow="ellipsis" vert="horz" wrap="square" anchor="ctr" anchorCtr="1"/>
          <a:lstStyle/>
          <a:p>
            <a:pPr>
              <a:defRPr sz="1800" b="1" i="0" u="none" strike="noStrike" kern="1200" cap="none" spc="50" baseline="0">
                <a:solidFill>
                  <a:schemeClr val="tx2"/>
                </a:solidFill>
                <a:latin typeface="+mn-lt"/>
                <a:ea typeface="+mn-ea"/>
                <a:cs typeface="+mn-cs"/>
              </a:defRPr>
            </a:pPr>
            <a:r>
              <a:rPr lang="en-IN" b="1">
                <a:solidFill>
                  <a:schemeClr val="tx2"/>
                </a:solidFill>
              </a:rPr>
              <a:t>Headcount by Location</a:t>
            </a:r>
          </a:p>
        </c:rich>
      </c:tx>
      <c:layout>
        <c:manualLayout>
          <c:xMode val="edge"/>
          <c:yMode val="edge"/>
          <c:x val="0.35167901110453031"/>
          <c:y val="3.7345437530499077E-2"/>
        </c:manualLayout>
      </c:layout>
      <c:overlay val="0"/>
      <c:spPr>
        <a:noFill/>
        <a:ln>
          <a:noFill/>
        </a:ln>
        <a:effectLst/>
      </c:spPr>
      <c:txPr>
        <a:bodyPr rot="0" spcFirstLastPara="1" vertOverflow="ellipsis" vert="horz" wrap="square" anchor="ctr" anchorCtr="1"/>
        <a:lstStyle/>
        <a:p>
          <a:pPr>
            <a:defRPr sz="1800" b="1" i="0" u="none" strike="noStrike" kern="1200" cap="none" spc="5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38088473449442"/>
          <c:y val="5.2060456531424444E-2"/>
          <c:w val="0.87169838145231837"/>
          <c:h val="0.78799604450079996"/>
        </c:manualLayout>
      </c:layout>
      <c:barChart>
        <c:barDir val="col"/>
        <c:grouping val="clustered"/>
        <c:varyColors val="0"/>
        <c:ser>
          <c:idx val="0"/>
          <c:order val="0"/>
          <c:tx>
            <c:strRef>
              <c:f>'Attrition &amp; Workforce'!$U$4</c:f>
              <c:strCache>
                <c:ptCount val="1"/>
                <c:pt idx="0">
                  <c:v>Total</c:v>
                </c:pt>
              </c:strCache>
            </c:strRef>
          </c:tx>
          <c:spPr>
            <a:noFill/>
            <a:ln w="25400" cap="flat" cmpd="sng" algn="ctr">
              <a:solidFill>
                <a:schemeClr val="accent1"/>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&amp; Workforce'!$T$5:$T$10</c:f>
              <c:strCache>
                <c:ptCount val="5"/>
                <c:pt idx="0">
                  <c:v>Bangalore</c:v>
                </c:pt>
                <c:pt idx="1">
                  <c:v>Dubai</c:v>
                </c:pt>
                <c:pt idx="2">
                  <c:v>London</c:v>
                </c:pt>
                <c:pt idx="3">
                  <c:v>New York</c:v>
                </c:pt>
                <c:pt idx="4">
                  <c:v>Singapore</c:v>
                </c:pt>
              </c:strCache>
            </c:strRef>
          </c:cat>
          <c:val>
            <c:numRef>
              <c:f>'Attrition &amp; Workforce'!$U$5:$U$10</c:f>
              <c:numCache>
                <c:formatCode>General</c:formatCode>
                <c:ptCount val="5"/>
                <c:pt idx="0">
                  <c:v>90</c:v>
                </c:pt>
                <c:pt idx="1">
                  <c:v>123</c:v>
                </c:pt>
                <c:pt idx="2">
                  <c:v>103</c:v>
                </c:pt>
                <c:pt idx="3">
                  <c:v>87</c:v>
                </c:pt>
                <c:pt idx="4">
                  <c:v>100</c:v>
                </c:pt>
              </c:numCache>
            </c:numRef>
          </c:val>
          <c:extLst>
            <c:ext xmlns:c16="http://schemas.microsoft.com/office/drawing/2014/chart" uri="{C3380CC4-5D6E-409C-BE32-E72D297353CC}">
              <c16:uniqueId val="{00000000-227C-486E-970E-645EA1901785}"/>
            </c:ext>
          </c:extLst>
        </c:ser>
        <c:dLbls>
          <c:dLblPos val="inEnd"/>
          <c:showLegendKey val="0"/>
          <c:showVal val="1"/>
          <c:showCatName val="0"/>
          <c:showSerName val="0"/>
          <c:showPercent val="0"/>
          <c:showBubbleSize val="0"/>
        </c:dLbls>
        <c:gapWidth val="164"/>
        <c:overlap val="-35"/>
        <c:axId val="480472056"/>
        <c:axId val="389455256"/>
      </c:barChart>
      <c:catAx>
        <c:axId val="480472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50000"/>
                    <a:lumOff val="50000"/>
                  </a:schemeClr>
                </a:solidFill>
                <a:latin typeface="+mn-lt"/>
                <a:ea typeface="+mn-ea"/>
                <a:cs typeface="+mn-cs"/>
              </a:defRPr>
            </a:pPr>
            <a:endParaRPr lang="en-US"/>
          </a:p>
        </c:txPr>
        <c:crossAx val="389455256"/>
        <c:crosses val="autoZero"/>
        <c:auto val="1"/>
        <c:lblAlgn val="ctr"/>
        <c:lblOffset val="100"/>
        <c:noMultiLvlLbl val="0"/>
      </c:catAx>
      <c:valAx>
        <c:axId val="389455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80472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[ChatGPT_HR_Analytics_Dataset_1000_Records.xlsx]Attrition &amp; Workforce!PivotTable2</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2"/>
                </a:solidFill>
                <a:latin typeface="+mn-lt"/>
                <a:ea typeface="+mn-ea"/>
                <a:cs typeface="+mn-cs"/>
              </a:defRPr>
            </a:pPr>
            <a:r>
              <a:rPr lang="en-IN">
                <a:solidFill>
                  <a:schemeClr val="tx2"/>
                </a:solidFill>
              </a:rPr>
              <a:t>HC by Business Unit</a:t>
            </a:r>
          </a:p>
        </c:rich>
      </c:tx>
      <c:layout>
        <c:manualLayout>
          <c:xMode val="edge"/>
          <c:yMode val="edge"/>
          <c:x val="0.26982013512313524"/>
          <c:y val="4.2870034408547301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17629046369204E-2"/>
          <c:y val="4.7430737824438629E-2"/>
          <c:w val="0.88639546460917829"/>
          <c:h val="0.81104647568356247"/>
        </c:manualLayout>
      </c:layout>
      <c:barChart>
        <c:barDir val="col"/>
        <c:grouping val="stacked"/>
        <c:varyColors val="0"/>
        <c:ser>
          <c:idx val="0"/>
          <c:order val="0"/>
          <c:tx>
            <c:strRef>
              <c:f>'Attrition &amp; Workforce'!$R$4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&amp; Workforce'!$Q$5:$Q$8</c:f>
              <c:strCache>
                <c:ptCount val="3"/>
                <c:pt idx="0">
                  <c:v>Consumer</c:v>
                </c:pt>
                <c:pt idx="1">
                  <c:v>Corporate</c:v>
                </c:pt>
                <c:pt idx="2">
                  <c:v>Enterprise</c:v>
                </c:pt>
              </c:strCache>
            </c:strRef>
          </c:cat>
          <c:val>
            <c:numRef>
              <c:f>'Attrition &amp; Workforce'!$R$5:$R$8</c:f>
              <c:numCache>
                <c:formatCode>General</c:formatCode>
                <c:ptCount val="3"/>
                <c:pt idx="0">
                  <c:v>167</c:v>
                </c:pt>
                <c:pt idx="1">
                  <c:v>173</c:v>
                </c:pt>
                <c:pt idx="2">
                  <c:v>163</c:v>
                </c:pt>
              </c:numCache>
            </c:numRef>
          </c:val>
          <c:extLst>
            <c:ext xmlns:c16="http://schemas.microsoft.com/office/drawing/2014/chart" uri="{C3380CC4-5D6E-409C-BE32-E72D297353CC}">
              <c16:uniqueId val="{00000000-97E8-4F7F-A0E1-9772604F2DC3}"/>
            </c:ext>
          </c:extLst>
        </c:ser>
        <c:dLbls>
          <c:dLblPos val="ctr"/>
          <c:showLegendKey val="0"/>
          <c:showVal val="1"/>
          <c:showCatName val="0"/>
          <c:showSerName val="0"/>
          <c:showPercent val="0"/>
          <c:showBubbleSize val="0"/>
        </c:dLbls>
        <c:gapWidth val="79"/>
        <c:overlap val="100"/>
        <c:axId val="389466416"/>
        <c:axId val="389470736"/>
      </c:barChart>
      <c:catAx>
        <c:axId val="38946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endParaRPr lang="en-US"/>
          </a:p>
        </c:txPr>
        <c:crossAx val="389470736"/>
        <c:crosses val="autoZero"/>
        <c:auto val="1"/>
        <c:lblAlgn val="ctr"/>
        <c:lblOffset val="100"/>
        <c:noMultiLvlLbl val="0"/>
      </c:catAx>
      <c:valAx>
        <c:axId val="389470736"/>
        <c:scaling>
          <c:orientation val="minMax"/>
        </c:scaling>
        <c:delete val="1"/>
        <c:axPos val="l"/>
        <c:numFmt formatCode="General" sourceLinked="1"/>
        <c:majorTickMark val="none"/>
        <c:minorTickMark val="none"/>
        <c:tickLblPos val="nextTo"/>
        <c:crossAx val="38946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[ChatGPT_HR_Analytics_Dataset_1000_Records.xlsx]Performance!PivotTable20</c:name>
    <c:fmtId val="12"/>
  </c:pivotSource>
  <c:chart>
    <c:title>
      <c:tx>
        <c:rich>
          <a:bodyPr rot="0" spcFirstLastPara="1" vertOverflow="ellipsis" vert="horz" wrap="square" anchor="ctr" anchorCtr="1"/>
          <a:lstStyle/>
          <a:p>
            <a:pPr>
              <a:defRPr sz="1800" b="1" i="0" u="none" strike="noStrike" kern="1200" spc="0" baseline="0">
                <a:solidFill>
                  <a:schemeClr val="tx2"/>
                </a:solidFill>
                <a:latin typeface="+mn-lt"/>
                <a:ea typeface="+mn-ea"/>
                <a:cs typeface="+mn-cs"/>
              </a:defRPr>
            </a:pPr>
            <a:r>
              <a:rPr lang="en-US" sz="1800" b="1">
                <a:solidFill>
                  <a:schemeClr val="tx2"/>
                </a:solidFill>
              </a:rPr>
              <a:t>HC</a:t>
            </a:r>
            <a:r>
              <a:rPr lang="en-US" sz="1800" b="1" baseline="0">
                <a:solidFill>
                  <a:schemeClr val="tx2"/>
                </a:solidFill>
              </a:rPr>
              <a:t> by Performance_Rating</a:t>
            </a:r>
            <a:endParaRPr lang="en-US" sz="1800" b="1">
              <a:solidFill>
                <a:schemeClr val="tx2"/>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6384514435695541E-2"/>
          <c:y val="4.2801108194809E-2"/>
          <c:w val="0.92189304461942279"/>
          <c:h val="0.84820902595508896"/>
        </c:manualLayout>
      </c:layout>
      <c:line3DChart>
        <c:grouping val="standard"/>
        <c:varyColors val="0"/>
        <c:ser>
          <c:idx val="0"/>
          <c:order val="0"/>
          <c:tx>
            <c:strRef>
              <c:f>Performance!$F$20</c:f>
              <c:strCache>
                <c:ptCount val="1"/>
                <c:pt idx="0">
                  <c:v>Total</c:v>
                </c:pt>
              </c:strCache>
            </c:strRef>
          </c:tx>
          <c:spPr>
            <a:solidFill>
              <a:schemeClr val="accent1"/>
            </a:solidFill>
            <a:ln>
              <a:noFill/>
            </a:ln>
            <a:effectLst/>
            <a:sp3d/>
          </c:spPr>
          <c:cat>
            <c:strRef>
              <c:f>Performance!$E$21:$E$47</c:f>
              <c:strCache>
                <c:ptCount val="26"/>
                <c:pt idx="0">
                  <c:v>2.5</c:v>
                </c:pt>
                <c:pt idx="1">
                  <c:v>2.6</c:v>
                </c:pt>
                <c:pt idx="2">
                  <c:v>2.7</c:v>
                </c:pt>
                <c:pt idx="3">
                  <c:v>2.8</c:v>
                </c:pt>
                <c:pt idx="4">
                  <c:v>2.9</c:v>
                </c:pt>
                <c:pt idx="5">
                  <c:v>3</c:v>
                </c:pt>
                <c:pt idx="6">
                  <c:v>3.1</c:v>
                </c:pt>
                <c:pt idx="7">
                  <c:v>3.2</c:v>
                </c:pt>
                <c:pt idx="8">
                  <c:v>3.3</c:v>
                </c:pt>
                <c:pt idx="9">
                  <c:v>3.4</c:v>
                </c:pt>
                <c:pt idx="10">
                  <c:v>3.5</c:v>
                </c:pt>
                <c:pt idx="11">
                  <c:v>3.6</c:v>
                </c:pt>
                <c:pt idx="12">
                  <c:v>3.7</c:v>
                </c:pt>
                <c:pt idx="13">
                  <c:v>3.8</c:v>
                </c:pt>
                <c:pt idx="14">
                  <c:v>3.9</c:v>
                </c:pt>
                <c:pt idx="15">
                  <c:v>4</c:v>
                </c:pt>
                <c:pt idx="16">
                  <c:v>4.1</c:v>
                </c:pt>
                <c:pt idx="17">
                  <c:v>4.2</c:v>
                </c:pt>
                <c:pt idx="18">
                  <c:v>4.3</c:v>
                </c:pt>
                <c:pt idx="19">
                  <c:v>4.4</c:v>
                </c:pt>
                <c:pt idx="20">
                  <c:v>4.5</c:v>
                </c:pt>
                <c:pt idx="21">
                  <c:v>4.6</c:v>
                </c:pt>
                <c:pt idx="22">
                  <c:v>4.7</c:v>
                </c:pt>
                <c:pt idx="23">
                  <c:v>4.8</c:v>
                </c:pt>
                <c:pt idx="24">
                  <c:v>4.9</c:v>
                </c:pt>
                <c:pt idx="25">
                  <c:v>5</c:v>
                </c:pt>
              </c:strCache>
            </c:strRef>
          </c:cat>
          <c:val>
            <c:numRef>
              <c:f>Performance!$F$21:$F$47</c:f>
              <c:numCache>
                <c:formatCode>General</c:formatCode>
                <c:ptCount val="26"/>
                <c:pt idx="0">
                  <c:v>14</c:v>
                </c:pt>
                <c:pt idx="1">
                  <c:v>25</c:v>
                </c:pt>
                <c:pt idx="2">
                  <c:v>16</c:v>
                </c:pt>
                <c:pt idx="3">
                  <c:v>22</c:v>
                </c:pt>
                <c:pt idx="4">
                  <c:v>20</c:v>
                </c:pt>
                <c:pt idx="5">
                  <c:v>24</c:v>
                </c:pt>
                <c:pt idx="6">
                  <c:v>19</c:v>
                </c:pt>
                <c:pt idx="7">
                  <c:v>24</c:v>
                </c:pt>
                <c:pt idx="8">
                  <c:v>18</c:v>
                </c:pt>
                <c:pt idx="9">
                  <c:v>23</c:v>
                </c:pt>
                <c:pt idx="10">
                  <c:v>23</c:v>
                </c:pt>
                <c:pt idx="11">
                  <c:v>19</c:v>
                </c:pt>
                <c:pt idx="12">
                  <c:v>21</c:v>
                </c:pt>
                <c:pt idx="13">
                  <c:v>19</c:v>
                </c:pt>
                <c:pt idx="14">
                  <c:v>25</c:v>
                </c:pt>
                <c:pt idx="15">
                  <c:v>16</c:v>
                </c:pt>
                <c:pt idx="16">
                  <c:v>11</c:v>
                </c:pt>
                <c:pt idx="17">
                  <c:v>12</c:v>
                </c:pt>
                <c:pt idx="18">
                  <c:v>22</c:v>
                </c:pt>
                <c:pt idx="19">
                  <c:v>24</c:v>
                </c:pt>
                <c:pt idx="20">
                  <c:v>12</c:v>
                </c:pt>
                <c:pt idx="21">
                  <c:v>15</c:v>
                </c:pt>
                <c:pt idx="22">
                  <c:v>19</c:v>
                </c:pt>
                <c:pt idx="23">
                  <c:v>24</c:v>
                </c:pt>
                <c:pt idx="24">
                  <c:v>27</c:v>
                </c:pt>
                <c:pt idx="25">
                  <c:v>9</c:v>
                </c:pt>
              </c:numCache>
            </c:numRef>
          </c:val>
          <c:smooth val="0"/>
          <c:extLst>
            <c:ext xmlns:c16="http://schemas.microsoft.com/office/drawing/2014/chart" uri="{C3380CC4-5D6E-409C-BE32-E72D297353CC}">
              <c16:uniqueId val="{00000000-4A21-446C-AAA3-AC2BC67BF2CF}"/>
            </c:ext>
          </c:extLst>
        </c:ser>
        <c:dLbls>
          <c:showLegendKey val="0"/>
          <c:showVal val="0"/>
          <c:showCatName val="0"/>
          <c:showSerName val="0"/>
          <c:showPercent val="0"/>
          <c:showBubbleSize val="0"/>
        </c:dLbls>
        <c:axId val="670131088"/>
        <c:axId val="670132168"/>
        <c:axId val="882345152"/>
      </c:line3DChart>
      <c:catAx>
        <c:axId val="6701310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132168"/>
        <c:crosses val="autoZero"/>
        <c:auto val="1"/>
        <c:lblAlgn val="ctr"/>
        <c:lblOffset val="100"/>
        <c:noMultiLvlLbl val="0"/>
      </c:catAx>
      <c:valAx>
        <c:axId val="670132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131088"/>
        <c:crosses val="autoZero"/>
        <c:crossBetween val="between"/>
      </c:valAx>
      <c:serAx>
        <c:axId val="882345152"/>
        <c:scaling>
          <c:orientation val="minMax"/>
        </c:scaling>
        <c:delete val="1"/>
        <c:axPos val="b"/>
        <c:majorTickMark val="out"/>
        <c:minorTickMark val="none"/>
        <c:tickLblPos val="nextTo"/>
        <c:crossAx val="67013216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[ChatGPT_HR_Analytics_Dataset_1000_Records.xlsx]Attrition &amp; Workforce!PivotTable2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HC</a:t>
            </a:r>
            <a:r>
              <a:rPr lang="en-IN" baseline="0"/>
              <a:t> by Business Unit</a:t>
            </a:r>
            <a:endParaRPr lang="en-IN"/>
          </a:p>
        </c:rich>
      </c:tx>
      <c:layout>
        <c:manualLayout>
          <c:xMode val="edge"/>
          <c:yMode val="edge"/>
          <c:x val="0.42417641511446369"/>
          <c:y val="4.28700344085473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17629046369204E-2"/>
          <c:y val="4.7430737824438629E-2"/>
          <c:w val="0.88639546460917829"/>
          <c:h val="0.85332494896471256"/>
        </c:manualLayout>
      </c:layout>
      <c:barChart>
        <c:barDir val="col"/>
        <c:grouping val="stacked"/>
        <c:varyColors val="0"/>
        <c:ser>
          <c:idx val="0"/>
          <c:order val="0"/>
          <c:tx>
            <c:strRef>
              <c:f>'Attrition &amp; Workforce'!$R$4</c:f>
              <c:strCache>
                <c:ptCount val="1"/>
                <c:pt idx="0">
                  <c:v>Total</c:v>
                </c:pt>
              </c:strCache>
            </c:strRef>
          </c:tx>
          <c:spPr>
            <a:solidFill>
              <a:schemeClr val="accent1"/>
            </a:solidFill>
            <a:ln>
              <a:noFill/>
            </a:ln>
            <a:effectLst/>
          </c:spPr>
          <c:invertIfNegative val="0"/>
          <c:cat>
            <c:strRef>
              <c:f>'Attrition &amp; Workforce'!$Q$5:$Q$8</c:f>
              <c:strCache>
                <c:ptCount val="3"/>
                <c:pt idx="0">
                  <c:v>Consumer</c:v>
                </c:pt>
                <c:pt idx="1">
                  <c:v>Corporate</c:v>
                </c:pt>
                <c:pt idx="2">
                  <c:v>Enterprise</c:v>
                </c:pt>
              </c:strCache>
            </c:strRef>
          </c:cat>
          <c:val>
            <c:numRef>
              <c:f>'Attrition &amp; Workforce'!$R$5:$R$8</c:f>
              <c:numCache>
                <c:formatCode>General</c:formatCode>
                <c:ptCount val="3"/>
                <c:pt idx="0">
                  <c:v>167</c:v>
                </c:pt>
                <c:pt idx="1">
                  <c:v>173</c:v>
                </c:pt>
                <c:pt idx="2">
                  <c:v>163</c:v>
                </c:pt>
              </c:numCache>
            </c:numRef>
          </c:val>
          <c:extLst>
            <c:ext xmlns:c16="http://schemas.microsoft.com/office/drawing/2014/chart" uri="{C3380CC4-5D6E-409C-BE32-E72D297353CC}">
              <c16:uniqueId val="{00000000-AF30-4FC9-98AA-0D4AAF780110}"/>
            </c:ext>
          </c:extLst>
        </c:ser>
        <c:dLbls>
          <c:showLegendKey val="0"/>
          <c:showVal val="0"/>
          <c:showCatName val="0"/>
          <c:showSerName val="0"/>
          <c:showPercent val="0"/>
          <c:showBubbleSize val="0"/>
        </c:dLbls>
        <c:gapWidth val="150"/>
        <c:overlap val="100"/>
        <c:axId val="389466416"/>
        <c:axId val="389470736"/>
      </c:barChart>
      <c:catAx>
        <c:axId val="38946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470736"/>
        <c:crosses val="autoZero"/>
        <c:auto val="1"/>
        <c:lblAlgn val="ctr"/>
        <c:lblOffset val="100"/>
        <c:noMultiLvlLbl val="0"/>
      </c:catAx>
      <c:valAx>
        <c:axId val="389470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46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[ChatGPT_HR_Analytics_Dataset_1000_Records.xlsx]Attrition &amp; Workforce!PivotTable10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Headcount </a:t>
            </a:r>
            <a:r>
              <a:rPr lang="en-IN" baseline="0"/>
              <a:t>by Location</a:t>
            </a:r>
            <a:endParaRPr lang="en-IN"/>
          </a:p>
        </c:rich>
      </c:tx>
      <c:layout>
        <c:manualLayout>
          <c:xMode val="edge"/>
          <c:yMode val="edge"/>
          <c:x val="0.4904582239720035"/>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17629046369204E-2"/>
          <c:y val="5.2060367454068252E-2"/>
          <c:w val="0.87169838145231837"/>
          <c:h val="0.84869531933508291"/>
        </c:manualLayout>
      </c:layout>
      <c:barChart>
        <c:barDir val="col"/>
        <c:grouping val="clustered"/>
        <c:varyColors val="0"/>
        <c:ser>
          <c:idx val="0"/>
          <c:order val="0"/>
          <c:tx>
            <c:strRef>
              <c:f>'Attrition &amp; Workforce'!$U$4</c:f>
              <c:strCache>
                <c:ptCount val="1"/>
                <c:pt idx="0">
                  <c:v>Total</c:v>
                </c:pt>
              </c:strCache>
            </c:strRef>
          </c:tx>
          <c:spPr>
            <a:solidFill>
              <a:schemeClr val="accent1"/>
            </a:solidFill>
            <a:ln>
              <a:noFill/>
            </a:ln>
            <a:effectLst/>
          </c:spPr>
          <c:invertIfNegative val="0"/>
          <c:cat>
            <c:strRef>
              <c:f>'Attrition &amp; Workforce'!$T$5:$T$10</c:f>
              <c:strCache>
                <c:ptCount val="5"/>
                <c:pt idx="0">
                  <c:v>Bangalore</c:v>
                </c:pt>
                <c:pt idx="1">
                  <c:v>Dubai</c:v>
                </c:pt>
                <c:pt idx="2">
                  <c:v>London</c:v>
                </c:pt>
                <c:pt idx="3">
                  <c:v>New York</c:v>
                </c:pt>
                <c:pt idx="4">
                  <c:v>Singapore</c:v>
                </c:pt>
              </c:strCache>
            </c:strRef>
          </c:cat>
          <c:val>
            <c:numRef>
              <c:f>'Attrition &amp; Workforce'!$U$5:$U$10</c:f>
              <c:numCache>
                <c:formatCode>General</c:formatCode>
                <c:ptCount val="5"/>
                <c:pt idx="0">
                  <c:v>90</c:v>
                </c:pt>
                <c:pt idx="1">
                  <c:v>123</c:v>
                </c:pt>
                <c:pt idx="2">
                  <c:v>103</c:v>
                </c:pt>
                <c:pt idx="3">
                  <c:v>87</c:v>
                </c:pt>
                <c:pt idx="4">
                  <c:v>100</c:v>
                </c:pt>
              </c:numCache>
            </c:numRef>
          </c:val>
          <c:extLst>
            <c:ext xmlns:c16="http://schemas.microsoft.com/office/drawing/2014/chart" uri="{C3380CC4-5D6E-409C-BE32-E72D297353CC}">
              <c16:uniqueId val="{00000000-2C7C-4C9B-9831-EB9A412427F7}"/>
            </c:ext>
          </c:extLst>
        </c:ser>
        <c:dLbls>
          <c:showLegendKey val="0"/>
          <c:showVal val="0"/>
          <c:showCatName val="0"/>
          <c:showSerName val="0"/>
          <c:showPercent val="0"/>
          <c:showBubbleSize val="0"/>
        </c:dLbls>
        <c:gapWidth val="150"/>
        <c:axId val="480472056"/>
        <c:axId val="389455256"/>
      </c:barChart>
      <c:catAx>
        <c:axId val="480472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455256"/>
        <c:crosses val="autoZero"/>
        <c:auto val="1"/>
        <c:lblAlgn val="ctr"/>
        <c:lblOffset val="100"/>
        <c:noMultiLvlLbl val="0"/>
      </c:catAx>
      <c:valAx>
        <c:axId val="389455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472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[ChatGPT_HR_Analytics_Dataset_1000_Records.xlsx]Attrition &amp; Workforce!PivotTable17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Profile Heaadcount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&amp; Workforce'!$O$3</c:f>
              <c:strCache>
                <c:ptCount val="1"/>
                <c:pt idx="0">
                  <c:v>Total</c:v>
                </c:pt>
              </c:strCache>
            </c:strRef>
          </c:tx>
          <c:spPr>
            <a:solidFill>
              <a:schemeClr val="accent1"/>
            </a:solidFill>
            <a:ln>
              <a:noFill/>
            </a:ln>
            <a:effectLst/>
          </c:spPr>
          <c:invertIfNegative val="0"/>
          <c:cat>
            <c:strRef>
              <c:f>'Attrition &amp; Workforce'!$N$4:$N$15</c:f>
              <c:strCache>
                <c:ptCount val="11"/>
                <c:pt idx="0">
                  <c:v>Accountant</c:v>
                </c:pt>
                <c:pt idx="1">
                  <c:v>Analyst</c:v>
                </c:pt>
                <c:pt idx="2">
                  <c:v>Coordinator</c:v>
                </c:pt>
                <c:pt idx="3">
                  <c:v>Engineer</c:v>
                </c:pt>
                <c:pt idx="4">
                  <c:v>HR Manager</c:v>
                </c:pt>
                <c:pt idx="5">
                  <c:v>HRBP</c:v>
                </c:pt>
                <c:pt idx="6">
                  <c:v>Manager</c:v>
                </c:pt>
                <c:pt idx="7">
                  <c:v>Recruiter</c:v>
                </c:pt>
                <c:pt idx="8">
                  <c:v>Sales Manager</c:v>
                </c:pt>
                <c:pt idx="9">
                  <c:v>Sales Rep</c:v>
                </c:pt>
                <c:pt idx="10">
                  <c:v>Specialist</c:v>
                </c:pt>
              </c:strCache>
            </c:strRef>
          </c:cat>
          <c:val>
            <c:numRef>
              <c:f>'Attrition &amp; Workforce'!$O$4:$O$15</c:f>
              <c:numCache>
                <c:formatCode>General</c:formatCode>
                <c:ptCount val="11"/>
                <c:pt idx="0">
                  <c:v>36</c:v>
                </c:pt>
                <c:pt idx="1">
                  <c:v>43</c:v>
                </c:pt>
                <c:pt idx="2">
                  <c:v>49</c:v>
                </c:pt>
                <c:pt idx="3">
                  <c:v>24</c:v>
                </c:pt>
                <c:pt idx="4">
                  <c:v>35</c:v>
                </c:pt>
                <c:pt idx="5">
                  <c:v>29</c:v>
                </c:pt>
                <c:pt idx="6">
                  <c:v>142</c:v>
                </c:pt>
                <c:pt idx="7">
                  <c:v>26</c:v>
                </c:pt>
                <c:pt idx="8">
                  <c:v>46</c:v>
                </c:pt>
                <c:pt idx="9">
                  <c:v>36</c:v>
                </c:pt>
                <c:pt idx="10">
                  <c:v>37</c:v>
                </c:pt>
              </c:numCache>
            </c:numRef>
          </c:val>
          <c:extLst>
            <c:ext xmlns:c16="http://schemas.microsoft.com/office/drawing/2014/chart" uri="{C3380CC4-5D6E-409C-BE32-E72D297353CC}">
              <c16:uniqueId val="{00000000-B46D-4032-92D4-D4F66B9847D5}"/>
            </c:ext>
          </c:extLst>
        </c:ser>
        <c:dLbls>
          <c:showLegendKey val="0"/>
          <c:showVal val="0"/>
          <c:showCatName val="0"/>
          <c:showSerName val="0"/>
          <c:showPercent val="0"/>
          <c:showBubbleSize val="0"/>
        </c:dLbls>
        <c:gapWidth val="106"/>
        <c:overlap val="-39"/>
        <c:axId val="657990408"/>
        <c:axId val="657992208"/>
      </c:barChart>
      <c:catAx>
        <c:axId val="657990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992208"/>
        <c:crosses val="autoZero"/>
        <c:auto val="1"/>
        <c:lblAlgn val="ctr"/>
        <c:lblOffset val="100"/>
        <c:noMultiLvlLbl val="0"/>
      </c:catAx>
      <c:valAx>
        <c:axId val="657992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990408"/>
        <c:crosses val="autoZero"/>
        <c:crossBetween val="between"/>
      </c:valAx>
      <c:spPr>
        <a:noFill/>
        <a:ln>
          <a:noFill/>
        </a:ln>
        <a:effectLst>
          <a:glow rad="63500">
            <a:schemeClr val="accent5">
              <a:satMod val="175000"/>
              <a:alpha val="40000"/>
            </a:schemeClr>
          </a:glow>
          <a:softEdge rad="1270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[ChatGPT_HR_Analytics_Dataset_1000_Records.xlsx]Attrition &amp; Workforce!PivotTable59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HC</a:t>
            </a:r>
          </a:p>
        </c:rich>
      </c:tx>
      <c:layout>
        <c:manualLayout>
          <c:xMode val="edge"/>
          <c:yMode val="edge"/>
          <c:x val="0.13546280784603412"/>
          <c:y val="6.0185185185185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606972786872271E-2"/>
          <c:y val="4.2801108194809E-2"/>
          <c:w val="0.82533241435713434"/>
          <c:h val="0.90627296587926509"/>
        </c:manualLayout>
      </c:layout>
      <c:pie3DChart>
        <c:varyColors val="1"/>
        <c:ser>
          <c:idx val="0"/>
          <c:order val="0"/>
          <c:tx>
            <c:strRef>
              <c:f>'Attrition &amp; Workforce'!$L$4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3B8-4252-A52D-27A4C75B179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3B8-4252-A52D-27A4C75B179D}"/>
              </c:ext>
            </c:extLst>
          </c:dPt>
          <c:cat>
            <c:strRef>
              <c:f>'Attrition &amp; Workforce'!$K$5:$K$6</c:f>
              <c:strCache>
                <c:ptCount val="1"/>
                <c:pt idx="0">
                  <c:v>Female</c:v>
                </c:pt>
              </c:strCache>
            </c:strRef>
          </c:cat>
          <c:val>
            <c:numRef>
              <c:f>'Attrition &amp; Workforce'!$L$5:$L$6</c:f>
              <c:numCache>
                <c:formatCode>General</c:formatCode>
                <c:ptCount val="1"/>
                <c:pt idx="0">
                  <c:v>503</c:v>
                </c:pt>
              </c:numCache>
            </c:numRef>
          </c:val>
          <c:extLst>
            <c:ext xmlns:c16="http://schemas.microsoft.com/office/drawing/2014/chart" uri="{C3380CC4-5D6E-409C-BE32-E72D297353CC}">
              <c16:uniqueId val="{00000000-1598-4F5B-9233-ADE310296BD3}"/>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1225217322481504"/>
          <c:y val="4.8243292505103549E-2"/>
          <c:w val="0.17047942856389084"/>
          <c:h val="0.145388597258676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[ChatGPT_HR_Analytics_Dataset_1000_Records.xlsx]Attrition &amp; Workforce!PivotTable60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DEPARTMENT HEADCOUNT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glow rad="1397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glow rad="1397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rad="1397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'Attrition &amp; Workforce'!$I$3</c:f>
              <c:strCache>
                <c:ptCount val="1"/>
                <c:pt idx="0">
                  <c:v>Total</c:v>
                </c:pt>
              </c:strCache>
            </c:strRef>
          </c:tx>
          <c:spPr>
            <a:solidFill>
              <a:schemeClr val="accent1"/>
            </a:solidFill>
            <a:ln>
              <a:noFill/>
            </a:ln>
            <a:effectLst>
              <a:glow rad="139700">
                <a:schemeClr val="accent2">
                  <a:satMod val="17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&amp; Workforce'!$H$4:$H$10</c:f>
              <c:strCache>
                <c:ptCount val="6"/>
                <c:pt idx="0">
                  <c:v>Finance</c:v>
                </c:pt>
                <c:pt idx="1">
                  <c:v>HR</c:v>
                </c:pt>
                <c:pt idx="2">
                  <c:v>IT</c:v>
                </c:pt>
                <c:pt idx="3">
                  <c:v>Marketing</c:v>
                </c:pt>
                <c:pt idx="4">
                  <c:v>Operations</c:v>
                </c:pt>
                <c:pt idx="5">
                  <c:v>Sales</c:v>
                </c:pt>
              </c:strCache>
            </c:strRef>
          </c:cat>
          <c:val>
            <c:numRef>
              <c:f>'Attrition &amp; Workforce'!$I$4:$I$10</c:f>
              <c:numCache>
                <c:formatCode>General</c:formatCode>
                <c:ptCount val="6"/>
                <c:pt idx="0">
                  <c:v>88</c:v>
                </c:pt>
                <c:pt idx="1">
                  <c:v>90</c:v>
                </c:pt>
                <c:pt idx="2">
                  <c:v>75</c:v>
                </c:pt>
                <c:pt idx="3">
                  <c:v>72</c:v>
                </c:pt>
                <c:pt idx="4">
                  <c:v>96</c:v>
                </c:pt>
                <c:pt idx="5">
                  <c:v>82</c:v>
                </c:pt>
              </c:numCache>
            </c:numRef>
          </c:val>
          <c:extLst>
            <c:ext xmlns:c16="http://schemas.microsoft.com/office/drawing/2014/chart" uri="{C3380CC4-5D6E-409C-BE32-E72D297353CC}">
              <c16:uniqueId val="{00000000-F892-402D-8550-21E9730638AE}"/>
            </c:ext>
          </c:extLst>
        </c:ser>
        <c:dLbls>
          <c:dLblPos val="inEnd"/>
          <c:showLegendKey val="0"/>
          <c:showVal val="1"/>
          <c:showCatName val="0"/>
          <c:showSerName val="0"/>
          <c:showPercent val="0"/>
          <c:showBubbleSize val="0"/>
        </c:dLbls>
        <c:gapWidth val="96"/>
        <c:overlap val="100"/>
        <c:axId val="590369968"/>
        <c:axId val="590370328"/>
      </c:barChart>
      <c:catAx>
        <c:axId val="59036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370328"/>
        <c:crosses val="autoZero"/>
        <c:auto val="1"/>
        <c:lblAlgn val="ctr"/>
        <c:lblOffset val="100"/>
        <c:noMultiLvlLbl val="0"/>
      </c:catAx>
      <c:valAx>
        <c:axId val="590370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36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[ChatGPT_HR_Analytics_Dataset_1000_Records.xlsx]Attrition &amp; Workforce!PivotTable1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Attrition_Risk by Department</a:t>
            </a:r>
          </a:p>
        </c:rich>
      </c:tx>
      <c:layout>
        <c:manualLayout>
          <c:xMode val="edge"/>
          <c:yMode val="edge"/>
          <c:x val="0.34781405092362316"/>
          <c:y val="6.06530347708609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384514435695541E-2"/>
          <c:y val="5.0925925925925923E-2"/>
          <c:w val="0.88271237970253713"/>
          <c:h val="0.84982976086322548"/>
        </c:manualLayout>
      </c:layout>
      <c:lineChart>
        <c:grouping val="standard"/>
        <c:varyColors val="0"/>
        <c:ser>
          <c:idx val="0"/>
          <c:order val="0"/>
          <c:tx>
            <c:strRef>
              <c:f>'Attrition &amp; Workforce'!$C$3:$C$4</c:f>
              <c:strCache>
                <c:ptCount val="1"/>
                <c:pt idx="0">
                  <c:v>High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'Attrition &amp; Workforce'!$B$5:$B$11</c:f>
              <c:strCache>
                <c:ptCount val="6"/>
                <c:pt idx="0">
                  <c:v>Finance</c:v>
                </c:pt>
                <c:pt idx="1">
                  <c:v>HR</c:v>
                </c:pt>
                <c:pt idx="2">
                  <c:v>IT</c:v>
                </c:pt>
                <c:pt idx="3">
                  <c:v>Marketing</c:v>
                </c:pt>
                <c:pt idx="4">
                  <c:v>Operations</c:v>
                </c:pt>
                <c:pt idx="5">
                  <c:v>Sales</c:v>
                </c:pt>
              </c:strCache>
            </c:strRef>
          </c:cat>
          <c:val>
            <c:numRef>
              <c:f>'Attrition &amp; Workforce'!$C$5:$C$11</c:f>
              <c:numCache>
                <c:formatCode>General</c:formatCode>
                <c:ptCount val="6"/>
                <c:pt idx="0">
                  <c:v>35</c:v>
                </c:pt>
                <c:pt idx="1">
                  <c:v>31</c:v>
                </c:pt>
                <c:pt idx="2">
                  <c:v>26</c:v>
                </c:pt>
                <c:pt idx="3">
                  <c:v>26</c:v>
                </c:pt>
                <c:pt idx="4">
                  <c:v>30</c:v>
                </c:pt>
                <c:pt idx="5">
                  <c:v>31</c:v>
                </c:pt>
              </c:numCache>
            </c:numRef>
          </c:val>
          <c:smooth val="0"/>
          <c:extLst>
            <c:ext xmlns:c16="http://schemas.microsoft.com/office/drawing/2014/chart" uri="{C3380CC4-5D6E-409C-BE32-E72D297353CC}">
              <c16:uniqueId val="{00000000-7272-4708-93C8-DA1F7A3CBF97}"/>
            </c:ext>
          </c:extLst>
        </c:ser>
        <c:ser>
          <c:idx val="1"/>
          <c:order val="1"/>
          <c:tx>
            <c:strRef>
              <c:f>'Attrition &amp; Workforce'!$D$3:$D$4</c:f>
              <c:strCache>
                <c:ptCount val="1"/>
                <c:pt idx="0">
                  <c:v>Low</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'Attrition &amp; Workforce'!$B$5:$B$11</c:f>
              <c:strCache>
                <c:ptCount val="6"/>
                <c:pt idx="0">
                  <c:v>Finance</c:v>
                </c:pt>
                <c:pt idx="1">
                  <c:v>HR</c:v>
                </c:pt>
                <c:pt idx="2">
                  <c:v>IT</c:v>
                </c:pt>
                <c:pt idx="3">
                  <c:v>Marketing</c:v>
                </c:pt>
                <c:pt idx="4">
                  <c:v>Operations</c:v>
                </c:pt>
                <c:pt idx="5">
                  <c:v>Sales</c:v>
                </c:pt>
              </c:strCache>
            </c:strRef>
          </c:cat>
          <c:val>
            <c:numRef>
              <c:f>'Attrition &amp; Workforce'!$D$5:$D$11</c:f>
              <c:numCache>
                <c:formatCode>General</c:formatCode>
                <c:ptCount val="6"/>
                <c:pt idx="0">
                  <c:v>20</c:v>
                </c:pt>
                <c:pt idx="1">
                  <c:v>31</c:v>
                </c:pt>
                <c:pt idx="2">
                  <c:v>25</c:v>
                </c:pt>
                <c:pt idx="3">
                  <c:v>20</c:v>
                </c:pt>
                <c:pt idx="4">
                  <c:v>28</c:v>
                </c:pt>
                <c:pt idx="5">
                  <c:v>26</c:v>
                </c:pt>
              </c:numCache>
            </c:numRef>
          </c:val>
          <c:smooth val="0"/>
          <c:extLst>
            <c:ext xmlns:c16="http://schemas.microsoft.com/office/drawing/2014/chart" uri="{C3380CC4-5D6E-409C-BE32-E72D297353CC}">
              <c16:uniqueId val="{00000000-63BF-4C60-9280-1F6E2673C8E9}"/>
            </c:ext>
          </c:extLst>
        </c:ser>
        <c:ser>
          <c:idx val="2"/>
          <c:order val="2"/>
          <c:tx>
            <c:strRef>
              <c:f>'Attrition &amp; Workforce'!$E$3:$E$4</c:f>
              <c:strCache>
                <c:ptCount val="1"/>
                <c:pt idx="0">
                  <c:v>Medium</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'Attrition &amp; Workforce'!$B$5:$B$11</c:f>
              <c:strCache>
                <c:ptCount val="6"/>
                <c:pt idx="0">
                  <c:v>Finance</c:v>
                </c:pt>
                <c:pt idx="1">
                  <c:v>HR</c:v>
                </c:pt>
                <c:pt idx="2">
                  <c:v>IT</c:v>
                </c:pt>
                <c:pt idx="3">
                  <c:v>Marketing</c:v>
                </c:pt>
                <c:pt idx="4">
                  <c:v>Operations</c:v>
                </c:pt>
                <c:pt idx="5">
                  <c:v>Sales</c:v>
                </c:pt>
              </c:strCache>
            </c:strRef>
          </c:cat>
          <c:val>
            <c:numRef>
              <c:f>'Attrition &amp; Workforce'!$E$5:$E$11</c:f>
              <c:numCache>
                <c:formatCode>General</c:formatCode>
                <c:ptCount val="6"/>
                <c:pt idx="0">
                  <c:v>33</c:v>
                </c:pt>
                <c:pt idx="1">
                  <c:v>28</c:v>
                </c:pt>
                <c:pt idx="2">
                  <c:v>24</c:v>
                </c:pt>
                <c:pt idx="3">
                  <c:v>26</c:v>
                </c:pt>
                <c:pt idx="4">
                  <c:v>38</c:v>
                </c:pt>
                <c:pt idx="5">
                  <c:v>25</c:v>
                </c:pt>
              </c:numCache>
            </c:numRef>
          </c:val>
          <c:smooth val="0"/>
          <c:extLst>
            <c:ext xmlns:c16="http://schemas.microsoft.com/office/drawing/2014/chart" uri="{C3380CC4-5D6E-409C-BE32-E72D297353CC}">
              <c16:uniqueId val="{00000001-63BF-4C60-9280-1F6E2673C8E9}"/>
            </c:ext>
          </c:extLst>
        </c:ser>
        <c:dLbls>
          <c:showLegendKey val="0"/>
          <c:showVal val="0"/>
          <c:showCatName val="0"/>
          <c:showSerName val="0"/>
          <c:showPercent val="0"/>
          <c:showBubbleSize val="0"/>
        </c:dLbls>
        <c:marker val="1"/>
        <c:smooth val="0"/>
        <c:axId val="591969192"/>
        <c:axId val="591973512"/>
      </c:lineChart>
      <c:catAx>
        <c:axId val="591969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973512"/>
        <c:crosses val="autoZero"/>
        <c:auto val="1"/>
        <c:lblAlgn val="ctr"/>
        <c:lblOffset val="100"/>
        <c:noMultiLvlLbl val="0"/>
      </c:catAx>
      <c:valAx>
        <c:axId val="591973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969192"/>
        <c:crosses val="autoZero"/>
        <c:crossBetween val="between"/>
      </c:valAx>
      <c:spPr>
        <a:noFill/>
        <a:ln>
          <a:noFill/>
        </a:ln>
        <a:effectLst/>
      </c:spPr>
    </c:plotArea>
    <c:legend>
      <c:legendPos val="r"/>
      <c:layout>
        <c:manualLayout>
          <c:xMode val="edge"/>
          <c:yMode val="edge"/>
          <c:x val="0.6824302274715659"/>
          <c:y val="0.60855096237970263"/>
          <c:w val="0.17205049590040183"/>
          <c:h val="0.218082895888013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[ChatGPT_HR_Analytics_Dataset_1000_Records.xlsx]Executive &amp; Manager!PivotTable52</c:name>
    <c:fmtId val="1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Avg_Bonus% per</a:t>
            </a:r>
            <a:r>
              <a:rPr lang="en-US" b="1" baseline="0"/>
              <a:t> Profile</a:t>
            </a:r>
            <a:endParaRPr lang="en-US" b="1"/>
          </a:p>
        </c:rich>
      </c:tx>
      <c:layout>
        <c:manualLayout>
          <c:xMode val="edge"/>
          <c:yMode val="edge"/>
          <c:x val="0.37827158208062439"/>
          <c:y val="6.113229080241273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93235965030964"/>
          <c:y val="5.6936611459438284E-2"/>
          <c:w val="0.85890734819730963"/>
          <c:h val="0.62496280426114381"/>
        </c:manualLayout>
      </c:layout>
      <c:lineChart>
        <c:grouping val="standard"/>
        <c:varyColors val="0"/>
        <c:ser>
          <c:idx val="0"/>
          <c:order val="0"/>
          <c:tx>
            <c:strRef>
              <c:f>'Executive &amp; Manager'!$G$5</c:f>
              <c:strCache>
                <c:ptCount val="1"/>
                <c:pt idx="0">
                  <c:v>Total</c:v>
                </c:pt>
              </c:strCache>
            </c:strRef>
          </c:tx>
          <c:spPr>
            <a:ln w="28575" cap="rnd">
              <a:solidFill>
                <a:schemeClr val="accent1"/>
              </a:solidFill>
              <a:round/>
            </a:ln>
            <a:effectLst/>
          </c:spPr>
          <c:marker>
            <c:symbol val="none"/>
          </c:marker>
          <c:cat>
            <c:strRef>
              <c:f>'Executive &amp; Manager'!$F$6:$F$17</c:f>
              <c:strCache>
                <c:ptCount val="11"/>
                <c:pt idx="0">
                  <c:v>Accountant</c:v>
                </c:pt>
                <c:pt idx="1">
                  <c:v>Analyst</c:v>
                </c:pt>
                <c:pt idx="2">
                  <c:v>Coordinator</c:v>
                </c:pt>
                <c:pt idx="3">
                  <c:v>Engineer</c:v>
                </c:pt>
                <c:pt idx="4">
                  <c:v>HR Manager</c:v>
                </c:pt>
                <c:pt idx="5">
                  <c:v>HRBP</c:v>
                </c:pt>
                <c:pt idx="6">
                  <c:v>Manager</c:v>
                </c:pt>
                <c:pt idx="7">
                  <c:v>Recruiter</c:v>
                </c:pt>
                <c:pt idx="8">
                  <c:v>Sales Manager</c:v>
                </c:pt>
                <c:pt idx="9">
                  <c:v>Sales Rep</c:v>
                </c:pt>
                <c:pt idx="10">
                  <c:v>Specialist</c:v>
                </c:pt>
              </c:strCache>
            </c:strRef>
          </c:cat>
          <c:val>
            <c:numRef>
              <c:f>'Executive &amp; Manager'!$G$6:$G$17</c:f>
              <c:numCache>
                <c:formatCode>0.00</c:formatCode>
                <c:ptCount val="11"/>
                <c:pt idx="0">
                  <c:v>13.638888888888889</c:v>
                </c:pt>
                <c:pt idx="1">
                  <c:v>15.186046511627907</c:v>
                </c:pt>
                <c:pt idx="2">
                  <c:v>16.530612244897959</c:v>
                </c:pt>
                <c:pt idx="3">
                  <c:v>14.333333333333334</c:v>
                </c:pt>
                <c:pt idx="4">
                  <c:v>15.142857142857142</c:v>
                </c:pt>
                <c:pt idx="5">
                  <c:v>15.620689655172415</c:v>
                </c:pt>
                <c:pt idx="6">
                  <c:v>14.45774647887324</c:v>
                </c:pt>
                <c:pt idx="7">
                  <c:v>14.692307692307692</c:v>
                </c:pt>
                <c:pt idx="8">
                  <c:v>16.391304347826086</c:v>
                </c:pt>
                <c:pt idx="9">
                  <c:v>14.916666666666666</c:v>
                </c:pt>
                <c:pt idx="10">
                  <c:v>14.54054054054054</c:v>
                </c:pt>
              </c:numCache>
            </c:numRef>
          </c:val>
          <c:smooth val="0"/>
          <c:extLst>
            <c:ext xmlns:c16="http://schemas.microsoft.com/office/drawing/2014/chart" uri="{C3380CC4-5D6E-409C-BE32-E72D297353CC}">
              <c16:uniqueId val="{00000000-4522-4289-831C-34D8006161FE}"/>
            </c:ext>
          </c:extLst>
        </c:ser>
        <c:dLbls>
          <c:showLegendKey val="0"/>
          <c:showVal val="0"/>
          <c:showCatName val="0"/>
          <c:showSerName val="0"/>
          <c:showPercent val="0"/>
          <c:showBubbleSize val="0"/>
        </c:dLbls>
        <c:smooth val="0"/>
        <c:axId val="496947208"/>
        <c:axId val="496948648"/>
      </c:lineChart>
      <c:catAx>
        <c:axId val="496947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948648"/>
        <c:crosses val="autoZero"/>
        <c:auto val="1"/>
        <c:lblAlgn val="ctr"/>
        <c:lblOffset val="100"/>
        <c:noMultiLvlLbl val="0"/>
      </c:catAx>
      <c:valAx>
        <c:axId val="4969486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96947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[ChatGPT_HR_Analytics_Dataset_1000_Records.xlsx]Performance!PivotTable20</c:name>
    <c:fmtId val="6"/>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HC</a:t>
            </a:r>
            <a:r>
              <a:rPr lang="en-US" sz="1600" baseline="0"/>
              <a:t> by Performance_Rating</a:t>
            </a:r>
            <a:endParaRPr lang="en-US"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6384514435695541E-2"/>
          <c:y val="4.2801108194809E-2"/>
          <c:w val="0.92189304461942279"/>
          <c:h val="0.84820902595508896"/>
        </c:manualLayout>
      </c:layout>
      <c:line3DChart>
        <c:grouping val="standard"/>
        <c:varyColors val="0"/>
        <c:ser>
          <c:idx val="0"/>
          <c:order val="0"/>
          <c:tx>
            <c:strRef>
              <c:f>Performance!$F$20</c:f>
              <c:strCache>
                <c:ptCount val="1"/>
                <c:pt idx="0">
                  <c:v>Total</c:v>
                </c:pt>
              </c:strCache>
            </c:strRef>
          </c:tx>
          <c:spPr>
            <a:solidFill>
              <a:schemeClr val="accent1"/>
            </a:solidFill>
            <a:ln>
              <a:noFill/>
            </a:ln>
            <a:effectLst/>
            <a:sp3d/>
          </c:spPr>
          <c:cat>
            <c:strRef>
              <c:f>Performance!$E$21:$E$47</c:f>
              <c:strCache>
                <c:ptCount val="26"/>
                <c:pt idx="0">
                  <c:v>2.5</c:v>
                </c:pt>
                <c:pt idx="1">
                  <c:v>2.6</c:v>
                </c:pt>
                <c:pt idx="2">
                  <c:v>2.7</c:v>
                </c:pt>
                <c:pt idx="3">
                  <c:v>2.8</c:v>
                </c:pt>
                <c:pt idx="4">
                  <c:v>2.9</c:v>
                </c:pt>
                <c:pt idx="5">
                  <c:v>3</c:v>
                </c:pt>
                <c:pt idx="6">
                  <c:v>3.1</c:v>
                </c:pt>
                <c:pt idx="7">
                  <c:v>3.2</c:v>
                </c:pt>
                <c:pt idx="8">
                  <c:v>3.3</c:v>
                </c:pt>
                <c:pt idx="9">
                  <c:v>3.4</c:v>
                </c:pt>
                <c:pt idx="10">
                  <c:v>3.5</c:v>
                </c:pt>
                <c:pt idx="11">
                  <c:v>3.6</c:v>
                </c:pt>
                <c:pt idx="12">
                  <c:v>3.7</c:v>
                </c:pt>
                <c:pt idx="13">
                  <c:v>3.8</c:v>
                </c:pt>
                <c:pt idx="14">
                  <c:v>3.9</c:v>
                </c:pt>
                <c:pt idx="15">
                  <c:v>4</c:v>
                </c:pt>
                <c:pt idx="16">
                  <c:v>4.1</c:v>
                </c:pt>
                <c:pt idx="17">
                  <c:v>4.2</c:v>
                </c:pt>
                <c:pt idx="18">
                  <c:v>4.3</c:v>
                </c:pt>
                <c:pt idx="19">
                  <c:v>4.4</c:v>
                </c:pt>
                <c:pt idx="20">
                  <c:v>4.5</c:v>
                </c:pt>
                <c:pt idx="21">
                  <c:v>4.6</c:v>
                </c:pt>
                <c:pt idx="22">
                  <c:v>4.7</c:v>
                </c:pt>
                <c:pt idx="23">
                  <c:v>4.8</c:v>
                </c:pt>
                <c:pt idx="24">
                  <c:v>4.9</c:v>
                </c:pt>
                <c:pt idx="25">
                  <c:v>5</c:v>
                </c:pt>
              </c:strCache>
            </c:strRef>
          </c:cat>
          <c:val>
            <c:numRef>
              <c:f>Performance!$F$21:$F$47</c:f>
              <c:numCache>
                <c:formatCode>General</c:formatCode>
                <c:ptCount val="26"/>
                <c:pt idx="0">
                  <c:v>14</c:v>
                </c:pt>
                <c:pt idx="1">
                  <c:v>25</c:v>
                </c:pt>
                <c:pt idx="2">
                  <c:v>16</c:v>
                </c:pt>
                <c:pt idx="3">
                  <c:v>22</c:v>
                </c:pt>
                <c:pt idx="4">
                  <c:v>20</c:v>
                </c:pt>
                <c:pt idx="5">
                  <c:v>24</c:v>
                </c:pt>
                <c:pt idx="6">
                  <c:v>19</c:v>
                </c:pt>
                <c:pt idx="7">
                  <c:v>24</c:v>
                </c:pt>
                <c:pt idx="8">
                  <c:v>18</c:v>
                </c:pt>
                <c:pt idx="9">
                  <c:v>23</c:v>
                </c:pt>
                <c:pt idx="10">
                  <c:v>23</c:v>
                </c:pt>
                <c:pt idx="11">
                  <c:v>19</c:v>
                </c:pt>
                <c:pt idx="12">
                  <c:v>21</c:v>
                </c:pt>
                <c:pt idx="13">
                  <c:v>19</c:v>
                </c:pt>
                <c:pt idx="14">
                  <c:v>25</c:v>
                </c:pt>
                <c:pt idx="15">
                  <c:v>16</c:v>
                </c:pt>
                <c:pt idx="16">
                  <c:v>11</c:v>
                </c:pt>
                <c:pt idx="17">
                  <c:v>12</c:v>
                </c:pt>
                <c:pt idx="18">
                  <c:v>22</c:v>
                </c:pt>
                <c:pt idx="19">
                  <c:v>24</c:v>
                </c:pt>
                <c:pt idx="20">
                  <c:v>12</c:v>
                </c:pt>
                <c:pt idx="21">
                  <c:v>15</c:v>
                </c:pt>
                <c:pt idx="22">
                  <c:v>19</c:v>
                </c:pt>
                <c:pt idx="23">
                  <c:v>24</c:v>
                </c:pt>
                <c:pt idx="24">
                  <c:v>27</c:v>
                </c:pt>
                <c:pt idx="25">
                  <c:v>9</c:v>
                </c:pt>
              </c:numCache>
            </c:numRef>
          </c:val>
          <c:smooth val="0"/>
          <c:extLst>
            <c:ext xmlns:c16="http://schemas.microsoft.com/office/drawing/2014/chart" uri="{C3380CC4-5D6E-409C-BE32-E72D297353CC}">
              <c16:uniqueId val="{00000000-D2E8-4402-95DB-84F9FF5B80D0}"/>
            </c:ext>
          </c:extLst>
        </c:ser>
        <c:dLbls>
          <c:showLegendKey val="0"/>
          <c:showVal val="0"/>
          <c:showCatName val="0"/>
          <c:showSerName val="0"/>
          <c:showPercent val="0"/>
          <c:showBubbleSize val="0"/>
        </c:dLbls>
        <c:axId val="670131088"/>
        <c:axId val="670132168"/>
        <c:axId val="882345152"/>
      </c:line3DChart>
      <c:catAx>
        <c:axId val="6701310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132168"/>
        <c:crosses val="autoZero"/>
        <c:auto val="1"/>
        <c:lblAlgn val="ctr"/>
        <c:lblOffset val="100"/>
        <c:noMultiLvlLbl val="0"/>
      </c:catAx>
      <c:valAx>
        <c:axId val="670132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131088"/>
        <c:crosses val="autoZero"/>
        <c:crossBetween val="between"/>
      </c:valAx>
      <c:serAx>
        <c:axId val="882345152"/>
        <c:scaling>
          <c:orientation val="minMax"/>
        </c:scaling>
        <c:delete val="1"/>
        <c:axPos val="b"/>
        <c:majorTickMark val="out"/>
        <c:minorTickMark val="none"/>
        <c:tickLblPos val="nextTo"/>
        <c:crossAx val="67013216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[ChatGPT_HR_Analytics_Dataset_1000_Records.xlsx]Compensation &amp; Salary!PivotTable14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28762029746282"/>
          <c:y val="9.8356663750364531E-2"/>
          <c:w val="0.77487904636920379"/>
          <c:h val="0.79313976377952755"/>
        </c:manualLayout>
      </c:layout>
      <c:barChart>
        <c:barDir val="bar"/>
        <c:grouping val="clustered"/>
        <c:varyColors val="0"/>
        <c:ser>
          <c:idx val="0"/>
          <c:order val="0"/>
          <c:tx>
            <c:strRef>
              <c:f>'Compensation &amp; Salary'!$C$2</c:f>
              <c:strCache>
                <c:ptCount val="1"/>
                <c:pt idx="0">
                  <c:v>Total</c:v>
                </c:pt>
              </c:strCache>
            </c:strRef>
          </c:tx>
          <c:spPr>
            <a:solidFill>
              <a:schemeClr val="accent1"/>
            </a:solidFill>
            <a:ln>
              <a:noFill/>
            </a:ln>
            <a:effectLst/>
          </c:spPr>
          <c:invertIfNegative val="0"/>
          <c:cat>
            <c:strRef>
              <c:f>'Compensation &amp; Salary'!$B$3:$B$9</c:f>
              <c:strCache>
                <c:ptCount val="6"/>
                <c:pt idx="0">
                  <c:v>Finance</c:v>
                </c:pt>
                <c:pt idx="1">
                  <c:v>HR</c:v>
                </c:pt>
                <c:pt idx="2">
                  <c:v>IT</c:v>
                </c:pt>
                <c:pt idx="3">
                  <c:v>Marketing</c:v>
                </c:pt>
                <c:pt idx="4">
                  <c:v>Operations</c:v>
                </c:pt>
                <c:pt idx="5">
                  <c:v>Sales</c:v>
                </c:pt>
              </c:strCache>
            </c:strRef>
          </c:cat>
          <c:val>
            <c:numRef>
              <c:f>'Compensation &amp; Salary'!$C$3:$C$9</c:f>
              <c:numCache>
                <c:formatCode>General</c:formatCode>
                <c:ptCount val="6"/>
                <c:pt idx="0">
                  <c:v>9777907</c:v>
                </c:pt>
                <c:pt idx="1">
                  <c:v>9650543</c:v>
                </c:pt>
                <c:pt idx="2">
                  <c:v>8290405</c:v>
                </c:pt>
                <c:pt idx="3">
                  <c:v>8093305</c:v>
                </c:pt>
                <c:pt idx="4">
                  <c:v>11022722</c:v>
                </c:pt>
                <c:pt idx="5">
                  <c:v>8722420</c:v>
                </c:pt>
              </c:numCache>
            </c:numRef>
          </c:val>
          <c:extLst>
            <c:ext xmlns:c16="http://schemas.microsoft.com/office/drawing/2014/chart" uri="{C3380CC4-5D6E-409C-BE32-E72D297353CC}">
              <c16:uniqueId val="{00000000-0512-450A-BF6F-EA338AB2AD0D}"/>
            </c:ext>
          </c:extLst>
        </c:ser>
        <c:dLbls>
          <c:showLegendKey val="0"/>
          <c:showVal val="0"/>
          <c:showCatName val="0"/>
          <c:showSerName val="0"/>
          <c:showPercent val="0"/>
          <c:showBubbleSize val="0"/>
        </c:dLbls>
        <c:gapWidth val="182"/>
        <c:axId val="401992600"/>
        <c:axId val="401998720"/>
      </c:barChart>
      <c:catAx>
        <c:axId val="401992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998720"/>
        <c:crosses val="autoZero"/>
        <c:auto val="1"/>
        <c:lblAlgn val="ctr"/>
        <c:lblOffset val="100"/>
        <c:noMultiLvlLbl val="0"/>
      </c:catAx>
      <c:valAx>
        <c:axId val="401998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992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[ChatGPT_HR_Analytics_Dataset_1000_Records.xlsx]Compensation &amp; Salary!PivotTable15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by Profile</a:t>
            </a:r>
          </a:p>
        </c:rich>
      </c:tx>
      <c:layout>
        <c:manualLayout>
          <c:xMode val="edge"/>
          <c:yMode val="edge"/>
          <c:x val="0.6908333333333333"/>
          <c:y val="0.1203703703703703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71850393700787"/>
          <c:y val="5.2060367454068252E-2"/>
          <c:w val="0.73744816272965874"/>
          <c:h val="0.84869531933508291"/>
        </c:manualLayout>
      </c:layout>
      <c:barChart>
        <c:barDir val="bar"/>
        <c:grouping val="clustered"/>
        <c:varyColors val="0"/>
        <c:ser>
          <c:idx val="0"/>
          <c:order val="0"/>
          <c:tx>
            <c:strRef>
              <c:f>'Compensation &amp; Salary'!$C$18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'Compensation &amp; Salary'!$B$19:$B$30</c:f>
              <c:strCache>
                <c:ptCount val="11"/>
                <c:pt idx="0">
                  <c:v>Accountant</c:v>
                </c:pt>
                <c:pt idx="1">
                  <c:v>Analyst</c:v>
                </c:pt>
                <c:pt idx="2">
                  <c:v>Coordinator</c:v>
                </c:pt>
                <c:pt idx="3">
                  <c:v>Engineer</c:v>
                </c:pt>
                <c:pt idx="4">
                  <c:v>HR Manager</c:v>
                </c:pt>
                <c:pt idx="5">
                  <c:v>HRBP</c:v>
                </c:pt>
                <c:pt idx="6">
                  <c:v>Manager</c:v>
                </c:pt>
                <c:pt idx="7">
                  <c:v>Recruiter</c:v>
                </c:pt>
                <c:pt idx="8">
                  <c:v>Sales Manager</c:v>
                </c:pt>
                <c:pt idx="9">
                  <c:v>Sales Rep</c:v>
                </c:pt>
                <c:pt idx="10">
                  <c:v>Specialist</c:v>
                </c:pt>
              </c:strCache>
            </c:strRef>
          </c:cat>
          <c:val>
            <c:numRef>
              <c:f>'Compensation &amp; Salary'!$C$19:$C$30</c:f>
              <c:numCache>
                <c:formatCode>General</c:formatCode>
                <c:ptCount val="11"/>
                <c:pt idx="0">
                  <c:v>108037.55555555556</c:v>
                </c:pt>
                <c:pt idx="1">
                  <c:v>110736.93023255814</c:v>
                </c:pt>
                <c:pt idx="2">
                  <c:v>113124.16326530612</c:v>
                </c:pt>
                <c:pt idx="3">
                  <c:v>98334.583333333328</c:v>
                </c:pt>
                <c:pt idx="4">
                  <c:v>104075.2</c:v>
                </c:pt>
                <c:pt idx="5">
                  <c:v>107134.37931034483</c:v>
                </c:pt>
                <c:pt idx="6">
                  <c:v>114806.88732394367</c:v>
                </c:pt>
                <c:pt idx="7">
                  <c:v>111577.46153846153</c:v>
                </c:pt>
                <c:pt idx="8">
                  <c:v>100699.95652173914</c:v>
                </c:pt>
                <c:pt idx="9">
                  <c:v>113617.27777777778</c:v>
                </c:pt>
                <c:pt idx="10">
                  <c:v>116962.35135135135</c:v>
                </c:pt>
              </c:numCache>
            </c:numRef>
          </c:val>
          <c:extLst>
            <c:ext xmlns:c16="http://schemas.microsoft.com/office/drawing/2014/chart" uri="{C3380CC4-5D6E-409C-BE32-E72D297353CC}">
              <c16:uniqueId val="{00000000-4FCE-447F-B66C-4CD364DE4E93}"/>
            </c:ext>
          </c:extLst>
        </c:ser>
        <c:dLbls>
          <c:dLblPos val="inEnd"/>
          <c:showLegendKey val="0"/>
          <c:showVal val="1"/>
          <c:showCatName val="0"/>
          <c:showSerName val="0"/>
          <c:showPercent val="0"/>
          <c:showBubbleSize val="0"/>
        </c:dLbls>
        <c:gapWidth val="182"/>
        <c:axId val="591946512"/>
        <c:axId val="591948312"/>
      </c:barChart>
      <c:catAx>
        <c:axId val="591946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948312"/>
        <c:crosses val="autoZero"/>
        <c:auto val="1"/>
        <c:lblAlgn val="ctr"/>
        <c:lblOffset val="100"/>
        <c:noMultiLvlLbl val="0"/>
      </c:catAx>
      <c:valAx>
        <c:axId val="591948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94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[ChatGPT_HR_Analytics_Dataset_1000_Records.xlsx]Executive &amp; Manager!PivotTable52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Avg_Bonus% per</a:t>
            </a:r>
            <a:r>
              <a:rPr lang="en-US" baseline="0"/>
              <a:t> Profile</a:t>
            </a:r>
            <a:endParaRPr lang="en-US"/>
          </a:p>
        </c:rich>
      </c:tx>
      <c:layout>
        <c:manualLayout>
          <c:xMode val="edge"/>
          <c:yMode val="edge"/>
          <c:x val="0.50763403263403262"/>
          <c:y val="3.73134328358208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74846413429092"/>
          <c:y val="7.1960734385813699E-2"/>
          <c:w val="0.84084412434227707"/>
          <c:h val="0.82879467491936643"/>
        </c:manualLayout>
      </c:layout>
      <c:barChart>
        <c:barDir val="bar"/>
        <c:grouping val="stacked"/>
        <c:varyColors val="0"/>
        <c:ser>
          <c:idx val="0"/>
          <c:order val="0"/>
          <c:tx>
            <c:strRef>
              <c:f>'Executive &amp; Manager'!$G$5</c:f>
              <c:strCache>
                <c:ptCount val="1"/>
                <c:pt idx="0">
                  <c:v>Total</c:v>
                </c:pt>
              </c:strCache>
            </c:strRef>
          </c:tx>
          <c:spPr>
            <a:solidFill>
              <a:schemeClr val="accent1"/>
            </a:solidFill>
            <a:ln>
              <a:noFill/>
            </a:ln>
            <a:effectLst/>
          </c:spPr>
          <c:invertIfNegative val="0"/>
          <c:cat>
            <c:strRef>
              <c:f>'Executive &amp; Manager'!$F$6:$F$17</c:f>
              <c:strCache>
                <c:ptCount val="11"/>
                <c:pt idx="0">
                  <c:v>Accountant</c:v>
                </c:pt>
                <c:pt idx="1">
                  <c:v>Analyst</c:v>
                </c:pt>
                <c:pt idx="2">
                  <c:v>Coordinator</c:v>
                </c:pt>
                <c:pt idx="3">
                  <c:v>Engineer</c:v>
                </c:pt>
                <c:pt idx="4">
                  <c:v>HR Manager</c:v>
                </c:pt>
                <c:pt idx="5">
                  <c:v>HRBP</c:v>
                </c:pt>
                <c:pt idx="6">
                  <c:v>Manager</c:v>
                </c:pt>
                <c:pt idx="7">
                  <c:v>Recruiter</c:v>
                </c:pt>
                <c:pt idx="8">
                  <c:v>Sales Manager</c:v>
                </c:pt>
                <c:pt idx="9">
                  <c:v>Sales Rep</c:v>
                </c:pt>
                <c:pt idx="10">
                  <c:v>Specialist</c:v>
                </c:pt>
              </c:strCache>
            </c:strRef>
          </c:cat>
          <c:val>
            <c:numRef>
              <c:f>'Executive &amp; Manager'!$G$6:$G$17</c:f>
              <c:numCache>
                <c:formatCode>0.00</c:formatCode>
                <c:ptCount val="11"/>
                <c:pt idx="0">
                  <c:v>13.638888888888889</c:v>
                </c:pt>
                <c:pt idx="1">
                  <c:v>15.186046511627907</c:v>
                </c:pt>
                <c:pt idx="2">
                  <c:v>16.530612244897959</c:v>
                </c:pt>
                <c:pt idx="3">
                  <c:v>14.333333333333334</c:v>
                </c:pt>
                <c:pt idx="4">
                  <c:v>15.142857142857142</c:v>
                </c:pt>
                <c:pt idx="5">
                  <c:v>15.620689655172415</c:v>
                </c:pt>
                <c:pt idx="6">
                  <c:v>14.45774647887324</c:v>
                </c:pt>
                <c:pt idx="7">
                  <c:v>14.692307692307692</c:v>
                </c:pt>
                <c:pt idx="8">
                  <c:v>16.391304347826086</c:v>
                </c:pt>
                <c:pt idx="9">
                  <c:v>14.916666666666666</c:v>
                </c:pt>
                <c:pt idx="10">
                  <c:v>14.54054054054054</c:v>
                </c:pt>
              </c:numCache>
            </c:numRef>
          </c:val>
          <c:extLst>
            <c:ext xmlns:c16="http://schemas.microsoft.com/office/drawing/2014/chart" uri="{C3380CC4-5D6E-409C-BE32-E72D297353CC}">
              <c16:uniqueId val="{00000000-E938-4970-A767-7E1AF3FA3922}"/>
            </c:ext>
          </c:extLst>
        </c:ser>
        <c:dLbls>
          <c:showLegendKey val="0"/>
          <c:showVal val="0"/>
          <c:showCatName val="0"/>
          <c:showSerName val="0"/>
          <c:showPercent val="0"/>
          <c:showBubbleSize val="0"/>
        </c:dLbls>
        <c:gapWidth val="150"/>
        <c:overlap val="100"/>
        <c:axId val="496947208"/>
        <c:axId val="496948648"/>
      </c:barChart>
      <c:catAx>
        <c:axId val="496947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948648"/>
        <c:crosses val="autoZero"/>
        <c:auto val="1"/>
        <c:lblAlgn val="ctr"/>
        <c:lblOffset val="100"/>
        <c:noMultiLvlLbl val="0"/>
      </c:catAx>
      <c:valAx>
        <c:axId val="49694864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947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5</xdr:col>
      <xdr:colOff>186546</xdr:colOff>
      <xdr:row>1</xdr:row>
      <xdr:rowOff>85845</xdr:rowOff>
    </xdr:from>
    <xdr:to>
      <xdr:col>7</xdr:col>
      <xdr:colOff>572175</xdr:colOff>
      <xdr:row>6</xdr:row>
      <xdr:rowOff>3665</xdr:rowOff>
    </xdr:to>
    <xdr:sp macro="" textlink="">
      <xdr:nvSpPr>
        <xdr:cNvPr id="7" name="Rectangle: Rounded Corners 6">
          <a:extLst>
            <a:ext uri="{FF2B5EF4-FFF2-40B4-BE49-F238E27FC236}">
              <a16:creationId xmlns:a16="http://schemas.microsoft.com/office/drawing/2014/main" id="{FE24A951-008F-A0E0-FBCB-D4515CE8FCF8}"/>
            </a:ext>
          </a:extLst>
        </xdr:cNvPr>
        <xdr:cNvSpPr/>
      </xdr:nvSpPr>
      <xdr:spPr>
        <a:xfrm>
          <a:off x="3562495" y="510250"/>
          <a:ext cx="1736009" cy="882377"/>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a:t>
          </a:r>
          <a:r>
            <a:rPr lang="en-IN" sz="1600">
              <a:effectLst/>
            </a:rPr>
            <a:t> </a:t>
          </a:r>
          <a:endParaRPr lang="en-IN" sz="1600"/>
        </a:p>
      </xdr:txBody>
    </xdr:sp>
    <xdr:clientData/>
  </xdr:twoCellAnchor>
  <xdr:twoCellAnchor>
    <xdr:from>
      <xdr:col>5</xdr:col>
      <xdr:colOff>443600</xdr:colOff>
      <xdr:row>3</xdr:row>
      <xdr:rowOff>99059</xdr:rowOff>
    </xdr:from>
    <xdr:to>
      <xdr:col>7</xdr:col>
      <xdr:colOff>245479</xdr:colOff>
      <xdr:row>5</xdr:row>
      <xdr:rowOff>99059</xdr:rowOff>
    </xdr:to>
    <xdr:sp macro="" textlink="Pivot!H3">
      <xdr:nvSpPr>
        <xdr:cNvPr id="21" name="TextBox 20">
          <a:extLst>
            <a:ext uri="{FF2B5EF4-FFF2-40B4-BE49-F238E27FC236}">
              <a16:creationId xmlns:a16="http://schemas.microsoft.com/office/drawing/2014/main" id="{3C36AC2A-E429-FFC7-C3EA-3F4229E0C441}"/>
            </a:ext>
          </a:extLst>
        </xdr:cNvPr>
        <xdr:cNvSpPr txBox="1"/>
      </xdr:nvSpPr>
      <xdr:spPr>
        <a:xfrm>
          <a:off x="3819549" y="967160"/>
          <a:ext cx="1152259" cy="347241"/>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9081CB-88F0-410A-B2BF-377775B3E504}" type="TxLink">
            <a:rPr lang="en-US" sz="1800" b="0" i="0" u="none" strike="noStrike">
              <a:solidFill>
                <a:srgbClr val="000000"/>
              </a:solidFill>
              <a:latin typeface="Tw Cen MT"/>
            </a:rPr>
            <a:pPr algn="ctr"/>
            <a:t>1000</a:t>
          </a:fld>
          <a:endParaRPr lang="en-IN" sz="1800"/>
        </a:p>
      </xdr:txBody>
    </xdr:sp>
    <xdr:clientData/>
  </xdr:twoCellAnchor>
  <xdr:twoCellAnchor>
    <xdr:from>
      <xdr:col>5</xdr:col>
      <xdr:colOff>287632</xdr:colOff>
      <xdr:row>1</xdr:row>
      <xdr:rowOff>154907</xdr:rowOff>
    </xdr:from>
    <xdr:to>
      <xdr:col>7</xdr:col>
      <xdr:colOff>500991</xdr:colOff>
      <xdr:row>3</xdr:row>
      <xdr:rowOff>154907</xdr:rowOff>
    </xdr:to>
    <xdr:sp macro="" textlink="Pivot!H3">
      <xdr:nvSpPr>
        <xdr:cNvPr id="22" name="TextBox 21">
          <a:extLst>
            <a:ext uri="{FF2B5EF4-FFF2-40B4-BE49-F238E27FC236}">
              <a16:creationId xmlns:a16="http://schemas.microsoft.com/office/drawing/2014/main" id="{8DF070F4-A70F-4C5D-9DFD-1B3398A74B46}"/>
            </a:ext>
          </a:extLst>
        </xdr:cNvPr>
        <xdr:cNvSpPr txBox="1"/>
      </xdr:nvSpPr>
      <xdr:spPr>
        <a:xfrm>
          <a:off x="3663581" y="579312"/>
          <a:ext cx="1563739" cy="443696"/>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t>Employees</a:t>
          </a:r>
          <a:r>
            <a:rPr lang="en-IN" sz="1800" baseline="0"/>
            <a:t> HC</a:t>
          </a:r>
          <a:endParaRPr lang="en-IN" sz="1800"/>
        </a:p>
      </xdr:txBody>
    </xdr:sp>
    <xdr:clientData/>
  </xdr:twoCellAnchor>
  <xdr:twoCellAnchor>
    <xdr:from>
      <xdr:col>7</xdr:col>
      <xdr:colOff>638729</xdr:colOff>
      <xdr:row>1</xdr:row>
      <xdr:rowOff>103111</xdr:rowOff>
    </xdr:from>
    <xdr:to>
      <xdr:col>10</xdr:col>
      <xdr:colOff>344539</xdr:colOff>
      <xdr:row>6</xdr:row>
      <xdr:rowOff>19291</xdr:rowOff>
    </xdr:to>
    <xdr:sp macro="" textlink="">
      <xdr:nvSpPr>
        <xdr:cNvPr id="23" name="Rectangle: Rounded Corners 22">
          <a:extLst>
            <a:ext uri="{FF2B5EF4-FFF2-40B4-BE49-F238E27FC236}">
              <a16:creationId xmlns:a16="http://schemas.microsoft.com/office/drawing/2014/main" id="{AB2E5CD2-D7A2-44C8-981D-D40D5FB1864F}"/>
            </a:ext>
          </a:extLst>
        </xdr:cNvPr>
        <xdr:cNvSpPr/>
      </xdr:nvSpPr>
      <xdr:spPr>
        <a:xfrm>
          <a:off x="5365058" y="527516"/>
          <a:ext cx="1731380" cy="880737"/>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a:t>
          </a:r>
          <a:r>
            <a:rPr lang="en-IN" sz="1600">
              <a:effectLst/>
            </a:rPr>
            <a:t> </a:t>
          </a:r>
          <a:endParaRPr lang="en-IN" sz="1600"/>
        </a:p>
      </xdr:txBody>
    </xdr:sp>
    <xdr:clientData/>
  </xdr:twoCellAnchor>
  <xdr:twoCellAnchor>
    <xdr:from>
      <xdr:col>10</xdr:col>
      <xdr:colOff>490284</xdr:colOff>
      <xdr:row>1</xdr:row>
      <xdr:rowOff>114783</xdr:rowOff>
    </xdr:from>
    <xdr:to>
      <xdr:col>13</xdr:col>
      <xdr:colOff>200725</xdr:colOff>
      <xdr:row>6</xdr:row>
      <xdr:rowOff>32603</xdr:rowOff>
    </xdr:to>
    <xdr:sp macro="" textlink="">
      <xdr:nvSpPr>
        <xdr:cNvPr id="24" name="Rectangle: Rounded Corners 23">
          <a:extLst>
            <a:ext uri="{FF2B5EF4-FFF2-40B4-BE49-F238E27FC236}">
              <a16:creationId xmlns:a16="http://schemas.microsoft.com/office/drawing/2014/main" id="{7C599296-9180-4536-9F06-86087448F1CF}"/>
            </a:ext>
          </a:extLst>
        </xdr:cNvPr>
        <xdr:cNvSpPr/>
      </xdr:nvSpPr>
      <xdr:spPr>
        <a:xfrm>
          <a:off x="7242183" y="539188"/>
          <a:ext cx="1736010" cy="882377"/>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a:t>
          </a:r>
          <a:r>
            <a:rPr lang="en-IN" sz="1600">
              <a:effectLst/>
            </a:rPr>
            <a:t> </a:t>
          </a:r>
          <a:endParaRPr lang="en-IN" sz="1600"/>
        </a:p>
      </xdr:txBody>
    </xdr:sp>
    <xdr:clientData/>
  </xdr:twoCellAnchor>
  <xdr:twoCellAnchor>
    <xdr:from>
      <xdr:col>13</xdr:col>
      <xdr:colOff>296216</xdr:colOff>
      <xdr:row>1</xdr:row>
      <xdr:rowOff>128479</xdr:rowOff>
    </xdr:from>
    <xdr:to>
      <xdr:col>16</xdr:col>
      <xdr:colOff>6655</xdr:colOff>
      <xdr:row>6</xdr:row>
      <xdr:rowOff>46299</xdr:rowOff>
    </xdr:to>
    <xdr:sp macro="" textlink="">
      <xdr:nvSpPr>
        <xdr:cNvPr id="25" name="Rectangle: Rounded Corners 24">
          <a:extLst>
            <a:ext uri="{FF2B5EF4-FFF2-40B4-BE49-F238E27FC236}">
              <a16:creationId xmlns:a16="http://schemas.microsoft.com/office/drawing/2014/main" id="{8771341B-E2B2-42A3-8E45-6FC5F57406A5}"/>
            </a:ext>
          </a:extLst>
        </xdr:cNvPr>
        <xdr:cNvSpPr/>
      </xdr:nvSpPr>
      <xdr:spPr>
        <a:xfrm>
          <a:off x="9073684" y="552884"/>
          <a:ext cx="1736009" cy="882377"/>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a:t>
          </a:r>
          <a:r>
            <a:rPr lang="en-IN" sz="1600">
              <a:effectLst/>
            </a:rPr>
            <a:t> </a:t>
          </a:r>
          <a:endParaRPr lang="en-IN" sz="1600"/>
        </a:p>
      </xdr:txBody>
    </xdr:sp>
    <xdr:clientData/>
  </xdr:twoCellAnchor>
  <xdr:twoCellAnchor>
    <xdr:from>
      <xdr:col>16</xdr:col>
      <xdr:colOff>77261</xdr:colOff>
      <xdr:row>1</xdr:row>
      <xdr:rowOff>109188</xdr:rowOff>
    </xdr:from>
    <xdr:to>
      <xdr:col>18</xdr:col>
      <xdr:colOff>458261</xdr:colOff>
      <xdr:row>6</xdr:row>
      <xdr:rowOff>27008</xdr:rowOff>
    </xdr:to>
    <xdr:sp macro="" textlink="">
      <xdr:nvSpPr>
        <xdr:cNvPr id="26" name="Rectangle: Rounded Corners 25">
          <a:extLst>
            <a:ext uri="{FF2B5EF4-FFF2-40B4-BE49-F238E27FC236}">
              <a16:creationId xmlns:a16="http://schemas.microsoft.com/office/drawing/2014/main" id="{3B146779-C3D6-4F0B-933F-AF62EF4085EC}"/>
            </a:ext>
          </a:extLst>
        </xdr:cNvPr>
        <xdr:cNvSpPr/>
      </xdr:nvSpPr>
      <xdr:spPr>
        <a:xfrm>
          <a:off x="10880299" y="533593"/>
          <a:ext cx="1731380" cy="882377"/>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a:t>
          </a:r>
          <a:r>
            <a:rPr lang="en-IN" sz="1600">
              <a:effectLst/>
            </a:rPr>
            <a:t> </a:t>
          </a:r>
          <a:endParaRPr lang="en-IN" sz="1600"/>
        </a:p>
      </xdr:txBody>
    </xdr:sp>
    <xdr:clientData/>
  </xdr:twoCellAnchor>
  <xdr:twoCellAnchor>
    <xdr:from>
      <xdr:col>18</xdr:col>
      <xdr:colOff>573042</xdr:colOff>
      <xdr:row>1</xdr:row>
      <xdr:rowOff>89896</xdr:rowOff>
    </xdr:from>
    <xdr:to>
      <xdr:col>21</xdr:col>
      <xdr:colOff>283483</xdr:colOff>
      <xdr:row>6</xdr:row>
      <xdr:rowOff>7716</xdr:rowOff>
    </xdr:to>
    <xdr:sp macro="" textlink="">
      <xdr:nvSpPr>
        <xdr:cNvPr id="27" name="Rectangle: Rounded Corners 26">
          <a:extLst>
            <a:ext uri="{FF2B5EF4-FFF2-40B4-BE49-F238E27FC236}">
              <a16:creationId xmlns:a16="http://schemas.microsoft.com/office/drawing/2014/main" id="{00DF6D7A-9C43-4688-B92B-DF996C506DD8}"/>
            </a:ext>
          </a:extLst>
        </xdr:cNvPr>
        <xdr:cNvSpPr/>
      </xdr:nvSpPr>
      <xdr:spPr>
        <a:xfrm>
          <a:off x="12726460" y="514301"/>
          <a:ext cx="1736010" cy="882377"/>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a:t>
          </a:r>
          <a:r>
            <a:rPr lang="en-IN" sz="1600">
              <a:effectLst/>
            </a:rPr>
            <a:t> </a:t>
          </a:r>
          <a:endParaRPr lang="en-IN" sz="1600"/>
        </a:p>
      </xdr:txBody>
    </xdr:sp>
    <xdr:clientData/>
  </xdr:twoCellAnchor>
  <xdr:twoCellAnchor>
    <xdr:from>
      <xdr:col>8</xdr:col>
      <xdr:colOff>18904</xdr:colOff>
      <xdr:row>1</xdr:row>
      <xdr:rowOff>181818</xdr:rowOff>
    </xdr:from>
    <xdr:to>
      <xdr:col>10</xdr:col>
      <xdr:colOff>270364</xdr:colOff>
      <xdr:row>4</xdr:row>
      <xdr:rowOff>8197</xdr:rowOff>
    </xdr:to>
    <xdr:sp macro="" textlink="Pivot!H3">
      <xdr:nvSpPr>
        <xdr:cNvPr id="28" name="TextBox 27">
          <a:extLst>
            <a:ext uri="{FF2B5EF4-FFF2-40B4-BE49-F238E27FC236}">
              <a16:creationId xmlns:a16="http://schemas.microsoft.com/office/drawing/2014/main" id="{6CFE669F-098B-4103-AD7D-B856120CB87F}"/>
            </a:ext>
          </a:extLst>
        </xdr:cNvPr>
        <xdr:cNvSpPr txBox="1"/>
      </xdr:nvSpPr>
      <xdr:spPr>
        <a:xfrm>
          <a:off x="5420423" y="606223"/>
          <a:ext cx="1601840" cy="443696"/>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Active Employees</a:t>
          </a:r>
        </a:p>
      </xdr:txBody>
    </xdr:sp>
    <xdr:clientData/>
  </xdr:twoCellAnchor>
  <xdr:twoCellAnchor>
    <xdr:from>
      <xdr:col>10</xdr:col>
      <xdr:colOff>518835</xdr:colOff>
      <xdr:row>1</xdr:row>
      <xdr:rowOff>168122</xdr:rowOff>
    </xdr:from>
    <xdr:to>
      <xdr:col>13</xdr:col>
      <xdr:colOff>57006</xdr:colOff>
      <xdr:row>3</xdr:row>
      <xdr:rowOff>168122</xdr:rowOff>
    </xdr:to>
    <xdr:sp macro="" textlink="Pivot!H3">
      <xdr:nvSpPr>
        <xdr:cNvPr id="30" name="TextBox 29">
          <a:extLst>
            <a:ext uri="{FF2B5EF4-FFF2-40B4-BE49-F238E27FC236}">
              <a16:creationId xmlns:a16="http://schemas.microsoft.com/office/drawing/2014/main" id="{224CABAA-A093-478B-8D15-8E90BE4CBEE8}"/>
            </a:ext>
          </a:extLst>
        </xdr:cNvPr>
        <xdr:cNvSpPr txBox="1"/>
      </xdr:nvSpPr>
      <xdr:spPr>
        <a:xfrm>
          <a:off x="7270734" y="592527"/>
          <a:ext cx="1563740" cy="443696"/>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aseline="0"/>
            <a:t>Attrition Rate</a:t>
          </a:r>
          <a:endParaRPr lang="en-IN" sz="1800"/>
        </a:p>
      </xdr:txBody>
    </xdr:sp>
    <xdr:clientData/>
  </xdr:twoCellAnchor>
  <xdr:twoCellAnchor>
    <xdr:from>
      <xdr:col>13</xdr:col>
      <xdr:colOff>324189</xdr:colOff>
      <xdr:row>1</xdr:row>
      <xdr:rowOff>174199</xdr:rowOff>
    </xdr:from>
    <xdr:to>
      <xdr:col>15</xdr:col>
      <xdr:colOff>595518</xdr:colOff>
      <xdr:row>4</xdr:row>
      <xdr:rowOff>578</xdr:rowOff>
    </xdr:to>
    <xdr:sp macro="" textlink="Pivot!H3">
      <xdr:nvSpPr>
        <xdr:cNvPr id="31" name="TextBox 30">
          <a:extLst>
            <a:ext uri="{FF2B5EF4-FFF2-40B4-BE49-F238E27FC236}">
              <a16:creationId xmlns:a16="http://schemas.microsoft.com/office/drawing/2014/main" id="{3D0A08CF-9AB7-4FEF-A115-5347E426942A}"/>
            </a:ext>
          </a:extLst>
        </xdr:cNvPr>
        <xdr:cNvSpPr txBox="1"/>
      </xdr:nvSpPr>
      <xdr:spPr>
        <a:xfrm>
          <a:off x="9101657" y="598604"/>
          <a:ext cx="1621709" cy="443696"/>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Avg_Engagement</a:t>
          </a:r>
        </a:p>
      </xdr:txBody>
    </xdr:sp>
    <xdr:clientData/>
  </xdr:twoCellAnchor>
  <xdr:twoCellAnchor>
    <xdr:from>
      <xdr:col>16</xdr:col>
      <xdr:colOff>86809</xdr:colOff>
      <xdr:row>1</xdr:row>
      <xdr:rowOff>150857</xdr:rowOff>
    </xdr:from>
    <xdr:to>
      <xdr:col>18</xdr:col>
      <xdr:colOff>431832</xdr:colOff>
      <xdr:row>3</xdr:row>
      <xdr:rowOff>150857</xdr:rowOff>
    </xdr:to>
    <xdr:sp macro="" textlink="Pivot!H3">
      <xdr:nvSpPr>
        <xdr:cNvPr id="32" name="TextBox 31">
          <a:extLst>
            <a:ext uri="{FF2B5EF4-FFF2-40B4-BE49-F238E27FC236}">
              <a16:creationId xmlns:a16="http://schemas.microsoft.com/office/drawing/2014/main" id="{B4412A1C-7E85-46D4-B398-CBF11C3B2EC5}"/>
            </a:ext>
          </a:extLst>
        </xdr:cNvPr>
        <xdr:cNvSpPr txBox="1"/>
      </xdr:nvSpPr>
      <xdr:spPr>
        <a:xfrm>
          <a:off x="10889847" y="575262"/>
          <a:ext cx="1695403" cy="443696"/>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Avg_Performance</a:t>
          </a:r>
        </a:p>
      </xdr:txBody>
    </xdr:sp>
    <xdr:clientData/>
  </xdr:twoCellAnchor>
  <xdr:twoCellAnchor>
    <xdr:from>
      <xdr:col>18</xdr:col>
      <xdr:colOff>672585</xdr:colOff>
      <xdr:row>1</xdr:row>
      <xdr:rowOff>148830</xdr:rowOff>
    </xdr:from>
    <xdr:to>
      <xdr:col>21</xdr:col>
      <xdr:colOff>215386</xdr:colOff>
      <xdr:row>3</xdr:row>
      <xdr:rowOff>148830</xdr:rowOff>
    </xdr:to>
    <xdr:sp macro="" textlink="Pivot!H3">
      <xdr:nvSpPr>
        <xdr:cNvPr id="33" name="TextBox 32">
          <a:extLst>
            <a:ext uri="{FF2B5EF4-FFF2-40B4-BE49-F238E27FC236}">
              <a16:creationId xmlns:a16="http://schemas.microsoft.com/office/drawing/2014/main" id="{A39B042D-72FD-404A-9E90-4E2AC21B0028}"/>
            </a:ext>
          </a:extLst>
        </xdr:cNvPr>
        <xdr:cNvSpPr txBox="1"/>
      </xdr:nvSpPr>
      <xdr:spPr>
        <a:xfrm>
          <a:off x="12826003" y="573235"/>
          <a:ext cx="1568370" cy="443696"/>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t>Avg_Salary</a:t>
          </a:r>
        </a:p>
      </xdr:txBody>
    </xdr:sp>
    <xdr:clientData/>
  </xdr:twoCellAnchor>
  <xdr:twoCellAnchor>
    <xdr:from>
      <xdr:col>8</xdr:col>
      <xdr:colOff>218086</xdr:colOff>
      <xdr:row>3</xdr:row>
      <xdr:rowOff>104655</xdr:rowOff>
    </xdr:from>
    <xdr:to>
      <xdr:col>10</xdr:col>
      <xdr:colOff>19966</xdr:colOff>
      <xdr:row>5</xdr:row>
      <xdr:rowOff>104655</xdr:rowOff>
    </xdr:to>
    <xdr:sp macro="" textlink="Pivot!H6">
      <xdr:nvSpPr>
        <xdr:cNvPr id="34" name="TextBox 33">
          <a:extLst>
            <a:ext uri="{FF2B5EF4-FFF2-40B4-BE49-F238E27FC236}">
              <a16:creationId xmlns:a16="http://schemas.microsoft.com/office/drawing/2014/main" id="{407A6F8C-86C0-4C3A-BA85-FD29C6408C4D}"/>
            </a:ext>
          </a:extLst>
        </xdr:cNvPr>
        <xdr:cNvSpPr txBox="1"/>
      </xdr:nvSpPr>
      <xdr:spPr>
        <a:xfrm>
          <a:off x="5619605" y="972756"/>
          <a:ext cx="1152260" cy="347241"/>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650CB8-E9AE-4258-B324-F5EFD4F1B313}" type="TxLink">
            <a:rPr lang="en-US" sz="1800" b="0" i="0" u="none" strike="noStrike">
              <a:solidFill>
                <a:srgbClr val="000000"/>
              </a:solidFill>
              <a:latin typeface="Tw Cen MT"/>
            </a:rPr>
            <a:pPr algn="ctr"/>
            <a:t>870</a:t>
          </a:fld>
          <a:endParaRPr lang="en-IN" sz="1800"/>
        </a:p>
      </xdr:txBody>
    </xdr:sp>
    <xdr:clientData/>
  </xdr:twoCellAnchor>
  <xdr:twoCellAnchor>
    <xdr:from>
      <xdr:col>11</xdr:col>
      <xdr:colOff>72728</xdr:colOff>
      <xdr:row>3</xdr:row>
      <xdr:rowOff>133592</xdr:rowOff>
    </xdr:from>
    <xdr:to>
      <xdr:col>12</xdr:col>
      <xdr:colOff>549799</xdr:colOff>
      <xdr:row>5</xdr:row>
      <xdr:rowOff>133592</xdr:rowOff>
    </xdr:to>
    <xdr:sp macro="" textlink="Pivot!H12">
      <xdr:nvSpPr>
        <xdr:cNvPr id="35" name="TextBox 34">
          <a:extLst>
            <a:ext uri="{FF2B5EF4-FFF2-40B4-BE49-F238E27FC236}">
              <a16:creationId xmlns:a16="http://schemas.microsoft.com/office/drawing/2014/main" id="{EF7F87D2-E54C-49C4-8C6E-A196B9F61809}"/>
            </a:ext>
          </a:extLst>
        </xdr:cNvPr>
        <xdr:cNvSpPr txBox="1"/>
      </xdr:nvSpPr>
      <xdr:spPr>
        <a:xfrm>
          <a:off x="7499817" y="1001693"/>
          <a:ext cx="1152260" cy="347241"/>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C60DC7-B34D-4F44-B76D-7B57A54D43C9}" type="TxLink">
            <a:rPr lang="en-US" sz="1800" b="0" i="0" u="none" strike="noStrike">
              <a:solidFill>
                <a:srgbClr val="000000"/>
              </a:solidFill>
              <a:latin typeface="Tw Cen MT"/>
            </a:rPr>
            <a:pPr algn="ctr"/>
            <a:t>13</a:t>
          </a:fld>
          <a:endParaRPr lang="en-IN" sz="1800" b="0"/>
        </a:p>
      </xdr:txBody>
    </xdr:sp>
    <xdr:clientData/>
  </xdr:twoCellAnchor>
  <xdr:twoCellAnchor>
    <xdr:from>
      <xdr:col>13</xdr:col>
      <xdr:colOff>665544</xdr:colOff>
      <xdr:row>3</xdr:row>
      <xdr:rowOff>143719</xdr:rowOff>
    </xdr:from>
    <xdr:to>
      <xdr:col>15</xdr:col>
      <xdr:colOff>462793</xdr:colOff>
      <xdr:row>5</xdr:row>
      <xdr:rowOff>143719</xdr:rowOff>
    </xdr:to>
    <xdr:sp macro="" textlink="Pivot!C11">
      <xdr:nvSpPr>
        <xdr:cNvPr id="36" name="TextBox 35">
          <a:extLst>
            <a:ext uri="{FF2B5EF4-FFF2-40B4-BE49-F238E27FC236}">
              <a16:creationId xmlns:a16="http://schemas.microsoft.com/office/drawing/2014/main" id="{FB90B5B1-09CA-4AC9-B59B-91764DB4A1C7}"/>
            </a:ext>
          </a:extLst>
        </xdr:cNvPr>
        <xdr:cNvSpPr txBox="1"/>
      </xdr:nvSpPr>
      <xdr:spPr>
        <a:xfrm>
          <a:off x="9443012" y="1011820"/>
          <a:ext cx="1147629" cy="347241"/>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004B0A-8856-4A7F-9F44-AF709F5C69E5}" type="TxLink">
            <a:rPr lang="en-US" sz="1800" b="0" i="0" u="none" strike="noStrike">
              <a:solidFill>
                <a:srgbClr val="000000"/>
              </a:solidFill>
              <a:latin typeface="Tw Cen MT"/>
            </a:rPr>
            <a:pPr algn="ctr"/>
            <a:t>74.484</a:t>
          </a:fld>
          <a:endParaRPr lang="en-US" sz="1800" b="0" i="0" u="none" strike="noStrike">
            <a:solidFill>
              <a:srgbClr val="000000"/>
            </a:solidFill>
            <a:latin typeface="Tw Cen MT"/>
          </a:endParaRPr>
        </a:p>
      </xdr:txBody>
    </xdr:sp>
    <xdr:clientData/>
  </xdr:twoCellAnchor>
  <xdr:twoCellAnchor>
    <xdr:from>
      <xdr:col>16</xdr:col>
      <xdr:colOff>423150</xdr:colOff>
      <xdr:row>3</xdr:row>
      <xdr:rowOff>127998</xdr:rowOff>
    </xdr:from>
    <xdr:to>
      <xdr:col>18</xdr:col>
      <xdr:colOff>225030</xdr:colOff>
      <xdr:row>5</xdr:row>
      <xdr:rowOff>127998</xdr:rowOff>
    </xdr:to>
    <xdr:sp macro="" textlink="Pivot!C12">
      <xdr:nvSpPr>
        <xdr:cNvPr id="37" name="TextBox 36">
          <a:extLst>
            <a:ext uri="{FF2B5EF4-FFF2-40B4-BE49-F238E27FC236}">
              <a16:creationId xmlns:a16="http://schemas.microsoft.com/office/drawing/2014/main" id="{0B7F2122-0135-4B52-B7B5-296BB9722001}"/>
            </a:ext>
          </a:extLst>
        </xdr:cNvPr>
        <xdr:cNvSpPr txBox="1"/>
      </xdr:nvSpPr>
      <xdr:spPr>
        <a:xfrm>
          <a:off x="11226188" y="996099"/>
          <a:ext cx="1152260" cy="347241"/>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2B90C9-9CBF-470F-95AE-F71C58FB93FE}" type="TxLink">
            <a:rPr lang="en-US" sz="1800" b="0" i="0" u="none" strike="noStrike">
              <a:solidFill>
                <a:srgbClr val="000000"/>
              </a:solidFill>
              <a:latin typeface="Tw Cen MT"/>
            </a:rPr>
            <a:pPr algn="ctr"/>
            <a:t>3.7166</a:t>
          </a:fld>
          <a:endParaRPr lang="en-IN" sz="3200"/>
        </a:p>
      </xdr:txBody>
    </xdr:sp>
    <xdr:clientData/>
  </xdr:twoCellAnchor>
  <xdr:twoCellAnchor>
    <xdr:from>
      <xdr:col>18</xdr:col>
      <xdr:colOff>655899</xdr:colOff>
      <xdr:row>3</xdr:row>
      <xdr:rowOff>137641</xdr:rowOff>
    </xdr:from>
    <xdr:to>
      <xdr:col>21</xdr:col>
      <xdr:colOff>183266</xdr:colOff>
      <xdr:row>5</xdr:row>
      <xdr:rowOff>137641</xdr:rowOff>
    </xdr:to>
    <xdr:sp macro="" textlink="Pivot!C13">
      <xdr:nvSpPr>
        <xdr:cNvPr id="38" name="TextBox 37">
          <a:extLst>
            <a:ext uri="{FF2B5EF4-FFF2-40B4-BE49-F238E27FC236}">
              <a16:creationId xmlns:a16="http://schemas.microsoft.com/office/drawing/2014/main" id="{635783EB-B7A5-470A-AFCA-D2C848F1C1BB}"/>
            </a:ext>
          </a:extLst>
        </xdr:cNvPr>
        <xdr:cNvSpPr txBox="1"/>
      </xdr:nvSpPr>
      <xdr:spPr>
        <a:xfrm>
          <a:off x="12809317" y="1005742"/>
          <a:ext cx="1552936" cy="347241"/>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984054-4255-4C9B-A61B-04E64EBE3544}" type="TxLink">
            <a:rPr lang="en-US" sz="1800" b="0" i="0" u="none" strike="noStrike">
              <a:solidFill>
                <a:srgbClr val="000000"/>
              </a:solidFill>
              <a:latin typeface="Tw Cen MT"/>
            </a:rPr>
            <a:pPr algn="ctr"/>
            <a:t>110497.108</a:t>
          </a:fld>
          <a:endParaRPr lang="en-IN" sz="3200"/>
        </a:p>
      </xdr:txBody>
    </xdr:sp>
    <xdr:clientData/>
  </xdr:twoCellAnchor>
  <xdr:twoCellAnchor>
    <xdr:from>
      <xdr:col>8</xdr:col>
      <xdr:colOff>77165</xdr:colOff>
      <xdr:row>6</xdr:row>
      <xdr:rowOff>144683</xdr:rowOff>
    </xdr:from>
    <xdr:to>
      <xdr:col>14</xdr:col>
      <xdr:colOff>327950</xdr:colOff>
      <xdr:row>18</xdr:row>
      <xdr:rowOff>144684</xdr:rowOff>
    </xdr:to>
    <xdr:graphicFrame macro="">
      <xdr:nvGraphicFramePr>
        <xdr:cNvPr id="10" name="Chart 9">
          <a:extLst>
            <a:ext uri="{FF2B5EF4-FFF2-40B4-BE49-F238E27FC236}">
              <a16:creationId xmlns:a16="http://schemas.microsoft.com/office/drawing/2014/main" id="{2E4720B1-48C5-41A0-ABE3-5A4D1EDDE2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665546</xdr:colOff>
      <xdr:row>19</xdr:row>
      <xdr:rowOff>125393</xdr:rowOff>
    </xdr:from>
    <xdr:to>
      <xdr:col>23</xdr:col>
      <xdr:colOff>578735</xdr:colOff>
      <xdr:row>37</xdr:row>
      <xdr:rowOff>9645</xdr:rowOff>
    </xdr:to>
    <xdr:graphicFrame macro="">
      <xdr:nvGraphicFramePr>
        <xdr:cNvPr id="29" name="Chart 28">
          <a:extLst>
            <a:ext uri="{FF2B5EF4-FFF2-40B4-BE49-F238E27FC236}">
              <a16:creationId xmlns:a16="http://schemas.microsoft.com/office/drawing/2014/main" id="{446D4D2F-C40D-4545-B0AA-5A75E1CAE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347243</xdr:colOff>
      <xdr:row>0</xdr:row>
      <xdr:rowOff>106103</xdr:rowOff>
    </xdr:from>
    <xdr:to>
      <xdr:col>27</xdr:col>
      <xdr:colOff>347241</xdr:colOff>
      <xdr:row>22</xdr:row>
      <xdr:rowOff>115747</xdr:rowOff>
    </xdr:to>
    <xdr:graphicFrame macro="">
      <xdr:nvGraphicFramePr>
        <xdr:cNvPr id="44" name="Chart 43">
          <a:extLst>
            <a:ext uri="{FF2B5EF4-FFF2-40B4-BE49-F238E27FC236}">
              <a16:creationId xmlns:a16="http://schemas.microsoft.com/office/drawing/2014/main" id="{A967FE3F-3AF0-47B2-9AAA-BEC185349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67518</xdr:colOff>
      <xdr:row>19</xdr:row>
      <xdr:rowOff>106102</xdr:rowOff>
    </xdr:from>
    <xdr:to>
      <xdr:col>15</xdr:col>
      <xdr:colOff>559887</xdr:colOff>
      <xdr:row>34</xdr:row>
      <xdr:rowOff>77165</xdr:rowOff>
    </xdr:to>
    <xdr:graphicFrame macro="">
      <xdr:nvGraphicFramePr>
        <xdr:cNvPr id="48" name="Chart 47">
          <a:extLst>
            <a:ext uri="{FF2B5EF4-FFF2-40B4-BE49-F238E27FC236}">
              <a16:creationId xmlns:a16="http://schemas.microsoft.com/office/drawing/2014/main" id="{15E039BA-F337-437C-A51A-0B3BC03065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67518</xdr:colOff>
      <xdr:row>10</xdr:row>
      <xdr:rowOff>19290</xdr:rowOff>
    </xdr:from>
    <xdr:to>
      <xdr:col>7</xdr:col>
      <xdr:colOff>655899</xdr:colOff>
      <xdr:row>24</xdr:row>
      <xdr:rowOff>100313</xdr:rowOff>
    </xdr:to>
    <xdr:graphicFrame macro="">
      <xdr:nvGraphicFramePr>
        <xdr:cNvPr id="49" name="Chart 48">
          <a:extLst>
            <a:ext uri="{FF2B5EF4-FFF2-40B4-BE49-F238E27FC236}">
              <a16:creationId xmlns:a16="http://schemas.microsoft.com/office/drawing/2014/main" id="{0C1D3B7A-F015-4582-86C5-B0975FE59B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414760</xdr:colOff>
      <xdr:row>6</xdr:row>
      <xdr:rowOff>125391</xdr:rowOff>
    </xdr:from>
    <xdr:to>
      <xdr:col>21</xdr:col>
      <xdr:colOff>264041</xdr:colOff>
      <xdr:row>18</xdr:row>
      <xdr:rowOff>134225</xdr:rowOff>
    </xdr:to>
    <xdr:graphicFrame macro="">
      <xdr:nvGraphicFramePr>
        <xdr:cNvPr id="50" name="Chart 49">
          <a:extLst>
            <a:ext uri="{FF2B5EF4-FFF2-40B4-BE49-F238E27FC236}">
              <a16:creationId xmlns:a16="http://schemas.microsoft.com/office/drawing/2014/main" id="{FC8AC451-56BB-4438-959B-B7FF8C2F5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111117</xdr:colOff>
      <xdr:row>4</xdr:row>
      <xdr:rowOff>26430</xdr:rowOff>
    </xdr:from>
    <xdr:to>
      <xdr:col>1</xdr:col>
      <xdr:colOff>646252</xdr:colOff>
      <xdr:row>15</xdr:row>
      <xdr:rowOff>28938</xdr:rowOff>
    </xdr:to>
    <mc:AlternateContent xmlns:mc="http://schemas.openxmlformats.org/markup-compatibility/2006" xmlns:a14="http://schemas.microsoft.com/office/drawing/2010/main">
      <mc:Choice Requires="a14">
        <xdr:graphicFrame macro="">
          <xdr:nvGraphicFramePr>
            <xdr:cNvPr id="8" name="Department 1">
              <a:extLst>
                <a:ext uri="{FF2B5EF4-FFF2-40B4-BE49-F238E27FC236}">
                  <a16:creationId xmlns:a16="http://schemas.microsoft.com/office/drawing/2014/main" id="{1CF9454C-7ED1-47FC-985F-6D72F58690A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1117" y="1068152"/>
              <a:ext cx="1210325" cy="19123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106102</xdr:colOff>
      <xdr:row>0</xdr:row>
      <xdr:rowOff>96456</xdr:rowOff>
    </xdr:from>
    <xdr:to>
      <xdr:col>1</xdr:col>
      <xdr:colOff>626962</xdr:colOff>
      <xdr:row>3</xdr:row>
      <xdr:rowOff>129520</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E85FFCDA-727C-4AB5-BC3C-6D67370BC4B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6102" y="96456"/>
              <a:ext cx="1196050" cy="9011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96456</xdr:colOff>
      <xdr:row>15</xdr:row>
      <xdr:rowOff>115747</xdr:rowOff>
    </xdr:from>
    <xdr:to>
      <xdr:col>1</xdr:col>
      <xdr:colOff>636607</xdr:colOff>
      <xdr:row>24</xdr:row>
      <xdr:rowOff>155369</xdr:rowOff>
    </xdr:to>
    <mc:AlternateContent xmlns:mc="http://schemas.openxmlformats.org/markup-compatibility/2006" xmlns:a14="http://schemas.microsoft.com/office/drawing/2010/main">
      <mc:Choice Requires="a14">
        <xdr:graphicFrame macro="">
          <xdr:nvGraphicFramePr>
            <xdr:cNvPr id="11" name="Location">
              <a:extLst>
                <a:ext uri="{FF2B5EF4-FFF2-40B4-BE49-F238E27FC236}">
                  <a16:creationId xmlns:a16="http://schemas.microsoft.com/office/drawing/2014/main" id="{D39F4969-1086-427F-90FA-FB8E8B191877}"/>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96456" y="3067291"/>
              <a:ext cx="1215341" cy="1602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28938</xdr:colOff>
      <xdr:row>0</xdr:row>
      <xdr:rowOff>86810</xdr:rowOff>
    </xdr:from>
    <xdr:to>
      <xdr:col>5</xdr:col>
      <xdr:colOff>154329</xdr:colOff>
      <xdr:row>2</xdr:row>
      <xdr:rowOff>0</xdr:rowOff>
    </xdr:to>
    <mc:AlternateContent xmlns:mc="http://schemas.openxmlformats.org/markup-compatibility/2006" xmlns:a14="http://schemas.microsoft.com/office/drawing/2010/main">
      <mc:Choice Requires="a14">
        <xdr:graphicFrame macro="">
          <xdr:nvGraphicFramePr>
            <xdr:cNvPr id="13" name="Attrition_Risk 1">
              <a:extLst>
                <a:ext uri="{FF2B5EF4-FFF2-40B4-BE49-F238E27FC236}">
                  <a16:creationId xmlns:a16="http://schemas.microsoft.com/office/drawing/2014/main" id="{3BC9AA13-ADEF-4973-B8EF-6D5E9170D01A}"/>
                </a:ext>
              </a:extLst>
            </xdr:cNvPr>
            <xdr:cNvGraphicFramePr/>
          </xdr:nvGraphicFramePr>
          <xdr:xfrm>
            <a:off x="0" y="0"/>
            <a:ext cx="0" cy="0"/>
          </xdr:xfrm>
          <a:graphic>
            <a:graphicData uri="http://schemas.microsoft.com/office/drawing/2010/slicer">
              <sle:slicer xmlns:sle="http://schemas.microsoft.com/office/drawing/2010/slicer" name="Attrition_Risk 1"/>
            </a:graphicData>
          </a:graphic>
        </xdr:graphicFrame>
      </mc:Choice>
      <mc:Fallback xmlns="">
        <xdr:sp macro="" textlink="">
          <xdr:nvSpPr>
            <xdr:cNvPr id="0" name=""/>
            <xdr:cNvSpPr>
              <a:spLocks noTextEdit="1"/>
            </xdr:cNvSpPr>
          </xdr:nvSpPr>
          <xdr:spPr>
            <a:xfrm>
              <a:off x="1379318" y="86810"/>
              <a:ext cx="2150960" cy="6076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106100</xdr:colOff>
      <xdr:row>25</xdr:row>
      <xdr:rowOff>48227</xdr:rowOff>
    </xdr:from>
    <xdr:to>
      <xdr:col>1</xdr:col>
      <xdr:colOff>646253</xdr:colOff>
      <xdr:row>30</xdr:row>
      <xdr:rowOff>28937</xdr:rowOff>
    </xdr:to>
    <mc:AlternateContent xmlns:mc="http://schemas.openxmlformats.org/markup-compatibility/2006" xmlns:a14="http://schemas.microsoft.com/office/drawing/2010/main">
      <mc:Choice Requires="a14">
        <xdr:graphicFrame macro="">
          <xdr:nvGraphicFramePr>
            <xdr:cNvPr id="14" name="Employment_Type">
              <a:extLst>
                <a:ext uri="{FF2B5EF4-FFF2-40B4-BE49-F238E27FC236}">
                  <a16:creationId xmlns:a16="http://schemas.microsoft.com/office/drawing/2014/main" id="{381EBB06-2857-4B86-B80E-F9BED9F013A3}"/>
                </a:ext>
              </a:extLst>
            </xdr:cNvPr>
            <xdr:cNvGraphicFramePr/>
          </xdr:nvGraphicFramePr>
          <xdr:xfrm>
            <a:off x="0" y="0"/>
            <a:ext cx="0" cy="0"/>
          </xdr:xfrm>
          <a:graphic>
            <a:graphicData uri="http://schemas.microsoft.com/office/drawing/2010/slicer">
              <sle:slicer xmlns:sle="http://schemas.microsoft.com/office/drawing/2010/slicer" name="Employment_Type"/>
            </a:graphicData>
          </a:graphic>
        </xdr:graphicFrame>
      </mc:Choice>
      <mc:Fallback xmlns="">
        <xdr:sp macro="" textlink="">
          <xdr:nvSpPr>
            <xdr:cNvPr id="0" name=""/>
            <xdr:cNvSpPr>
              <a:spLocks noTextEdit="1"/>
            </xdr:cNvSpPr>
          </xdr:nvSpPr>
          <xdr:spPr>
            <a:xfrm>
              <a:off x="106100" y="4735974"/>
              <a:ext cx="1215343" cy="8488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48228</xdr:colOff>
      <xdr:row>6</xdr:row>
      <xdr:rowOff>9645</xdr:rowOff>
    </xdr:from>
    <xdr:to>
      <xdr:col>5</xdr:col>
      <xdr:colOff>19292</xdr:colOff>
      <xdr:row>9</xdr:row>
      <xdr:rowOff>96455</xdr:rowOff>
    </xdr:to>
    <mc:AlternateContent xmlns:mc="http://schemas.openxmlformats.org/markup-compatibility/2006" xmlns:a14="http://schemas.microsoft.com/office/drawing/2010/main">
      <mc:Choice Requires="a14">
        <xdr:graphicFrame macro="">
          <xdr:nvGraphicFramePr>
            <xdr:cNvPr id="15" name="Employment_Status 1">
              <a:extLst>
                <a:ext uri="{FF2B5EF4-FFF2-40B4-BE49-F238E27FC236}">
                  <a16:creationId xmlns:a16="http://schemas.microsoft.com/office/drawing/2014/main" id="{F7140856-CB37-4C15-B836-1AEC8F37C379}"/>
                </a:ext>
              </a:extLst>
            </xdr:cNvPr>
            <xdr:cNvGraphicFramePr/>
          </xdr:nvGraphicFramePr>
          <xdr:xfrm>
            <a:off x="0" y="0"/>
            <a:ext cx="0" cy="0"/>
          </xdr:xfrm>
          <a:graphic>
            <a:graphicData uri="http://schemas.microsoft.com/office/drawing/2010/slicer">
              <sle:slicer xmlns:sle="http://schemas.microsoft.com/office/drawing/2010/slicer" name="Employment_Status 1"/>
            </a:graphicData>
          </a:graphic>
        </xdr:graphicFrame>
      </mc:Choice>
      <mc:Fallback xmlns="">
        <xdr:sp macro="" textlink="">
          <xdr:nvSpPr>
            <xdr:cNvPr id="0" name=""/>
            <xdr:cNvSpPr>
              <a:spLocks noTextEdit="1"/>
            </xdr:cNvSpPr>
          </xdr:nvSpPr>
          <xdr:spPr>
            <a:xfrm>
              <a:off x="1398608" y="1398607"/>
              <a:ext cx="1996633" cy="6076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28937</xdr:colOff>
      <xdr:row>2</xdr:row>
      <xdr:rowOff>28939</xdr:rowOff>
    </xdr:from>
    <xdr:to>
      <xdr:col>5</xdr:col>
      <xdr:colOff>57874</xdr:colOff>
      <xdr:row>5</xdr:row>
      <xdr:rowOff>96456</xdr:rowOff>
    </xdr:to>
    <mc:AlternateContent xmlns:mc="http://schemas.openxmlformats.org/markup-compatibility/2006" xmlns:a14="http://schemas.microsoft.com/office/drawing/2010/main">
      <mc:Choice Requires="a14">
        <xdr:graphicFrame macro="">
          <xdr:nvGraphicFramePr>
            <xdr:cNvPr id="16" name="Promotion_Eligible">
              <a:extLst>
                <a:ext uri="{FF2B5EF4-FFF2-40B4-BE49-F238E27FC236}">
                  <a16:creationId xmlns:a16="http://schemas.microsoft.com/office/drawing/2014/main" id="{D136C3C8-A9F2-4043-BBBE-1B26D378E93C}"/>
                </a:ext>
              </a:extLst>
            </xdr:cNvPr>
            <xdr:cNvGraphicFramePr/>
          </xdr:nvGraphicFramePr>
          <xdr:xfrm>
            <a:off x="0" y="0"/>
            <a:ext cx="0" cy="0"/>
          </xdr:xfrm>
          <a:graphic>
            <a:graphicData uri="http://schemas.microsoft.com/office/drawing/2010/slicer">
              <sle:slicer xmlns:sle="http://schemas.microsoft.com/office/drawing/2010/slicer" name="Promotion_Eligible"/>
            </a:graphicData>
          </a:graphic>
        </xdr:graphicFrame>
      </mc:Choice>
      <mc:Fallback xmlns="">
        <xdr:sp macro="" textlink="">
          <xdr:nvSpPr>
            <xdr:cNvPr id="0" name=""/>
            <xdr:cNvSpPr>
              <a:spLocks noTextEdit="1"/>
            </xdr:cNvSpPr>
          </xdr:nvSpPr>
          <xdr:spPr>
            <a:xfrm>
              <a:off x="1379317" y="723420"/>
              <a:ext cx="2054506" cy="5883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96456</xdr:colOff>
      <xdr:row>30</xdr:row>
      <xdr:rowOff>96456</xdr:rowOff>
    </xdr:from>
    <xdr:to>
      <xdr:col>1</xdr:col>
      <xdr:colOff>646253</xdr:colOff>
      <xdr:row>37</xdr:row>
      <xdr:rowOff>50684</xdr:rowOff>
    </xdr:to>
    <mc:AlternateContent xmlns:mc="http://schemas.openxmlformats.org/markup-compatibility/2006" xmlns:a14="http://schemas.microsoft.com/office/drawing/2010/main">
      <mc:Choice Requires="a14">
        <xdr:graphicFrame macro="">
          <xdr:nvGraphicFramePr>
            <xdr:cNvPr id="17" name="Business_Unit 1">
              <a:extLst>
                <a:ext uri="{FF2B5EF4-FFF2-40B4-BE49-F238E27FC236}">
                  <a16:creationId xmlns:a16="http://schemas.microsoft.com/office/drawing/2014/main" id="{CA9A984A-A2E9-44F8-AC73-1CCCDA3CE1F5}"/>
                </a:ext>
              </a:extLst>
            </xdr:cNvPr>
            <xdr:cNvGraphicFramePr/>
          </xdr:nvGraphicFramePr>
          <xdr:xfrm>
            <a:off x="0" y="0"/>
            <a:ext cx="0" cy="0"/>
          </xdr:xfrm>
          <a:graphic>
            <a:graphicData uri="http://schemas.microsoft.com/office/drawing/2010/slicer">
              <sle:slicer xmlns:sle="http://schemas.microsoft.com/office/drawing/2010/slicer" name="Business_Unit 1"/>
            </a:graphicData>
          </a:graphic>
        </xdr:graphicFrame>
      </mc:Choice>
      <mc:Fallback xmlns="">
        <xdr:sp macro="" textlink="">
          <xdr:nvSpPr>
            <xdr:cNvPr id="0" name=""/>
            <xdr:cNvSpPr>
              <a:spLocks noTextEdit="1"/>
            </xdr:cNvSpPr>
          </xdr:nvSpPr>
          <xdr:spPr>
            <a:xfrm>
              <a:off x="96456" y="5652304"/>
              <a:ext cx="1224987" cy="11695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28936</xdr:colOff>
      <xdr:row>25</xdr:row>
      <xdr:rowOff>19291</xdr:rowOff>
    </xdr:from>
    <xdr:to>
      <xdr:col>8</xdr:col>
      <xdr:colOff>9379</xdr:colOff>
      <xdr:row>37</xdr:row>
      <xdr:rowOff>38582</xdr:rowOff>
    </xdr:to>
    <xdr:graphicFrame macro="">
      <xdr:nvGraphicFramePr>
        <xdr:cNvPr id="18" name="Chart 17">
          <a:extLst>
            <a:ext uri="{FF2B5EF4-FFF2-40B4-BE49-F238E27FC236}">
              <a16:creationId xmlns:a16="http://schemas.microsoft.com/office/drawing/2014/main" id="{A798DB4F-BDDE-4240-9A64-2D9AEAA11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491924</xdr:colOff>
      <xdr:row>34</xdr:row>
      <xdr:rowOff>135039</xdr:rowOff>
    </xdr:from>
    <xdr:to>
      <xdr:col>16</xdr:col>
      <xdr:colOff>78959</xdr:colOff>
      <xdr:row>50</xdr:row>
      <xdr:rowOff>100315</xdr:rowOff>
    </xdr:to>
    <xdr:graphicFrame macro="">
      <xdr:nvGraphicFramePr>
        <xdr:cNvPr id="20" name="Chart 19">
          <a:extLst>
            <a:ext uri="{FF2B5EF4-FFF2-40B4-BE49-F238E27FC236}">
              <a16:creationId xmlns:a16="http://schemas.microsoft.com/office/drawing/2014/main" id="{458C5F69-E017-48A9-8593-F6EBC5ED5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19</xdr:col>
      <xdr:colOff>16645</xdr:colOff>
      <xdr:row>16</xdr:row>
      <xdr:rowOff>83820</xdr:rowOff>
    </xdr:from>
    <xdr:to>
      <xdr:col>23</xdr:col>
      <xdr:colOff>451184</xdr:colOff>
      <xdr:row>32</xdr:row>
      <xdr:rowOff>22860</xdr:rowOff>
    </xdr:to>
    <xdr:graphicFrame macro="">
      <xdr:nvGraphicFramePr>
        <xdr:cNvPr id="10" name="Chart 9">
          <a:extLst>
            <a:ext uri="{FF2B5EF4-FFF2-40B4-BE49-F238E27FC236}">
              <a16:creationId xmlns:a16="http://schemas.microsoft.com/office/drawing/2014/main" id="{A4767D47-9629-BB38-5C9C-ABDAA2EF85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141771</xdr:colOff>
      <xdr:row>0</xdr:row>
      <xdr:rowOff>117910</xdr:rowOff>
    </xdr:from>
    <xdr:to>
      <xdr:col>28</xdr:col>
      <xdr:colOff>152199</xdr:colOff>
      <xdr:row>16</xdr:row>
      <xdr:rowOff>61762</xdr:rowOff>
    </xdr:to>
    <xdr:graphicFrame macro="">
      <xdr:nvGraphicFramePr>
        <xdr:cNvPr id="14" name="Chart 13">
          <a:extLst>
            <a:ext uri="{FF2B5EF4-FFF2-40B4-BE49-F238E27FC236}">
              <a16:creationId xmlns:a16="http://schemas.microsoft.com/office/drawing/2014/main" id="{29E69909-8990-CFA4-D9C2-A12495A347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601579</xdr:colOff>
      <xdr:row>15</xdr:row>
      <xdr:rowOff>130341</xdr:rowOff>
    </xdr:from>
    <xdr:to>
      <xdr:col>18</xdr:col>
      <xdr:colOff>335882</xdr:colOff>
      <xdr:row>31</xdr:row>
      <xdr:rowOff>146384</xdr:rowOff>
    </xdr:to>
    <xdr:graphicFrame macro="">
      <xdr:nvGraphicFramePr>
        <xdr:cNvPr id="3" name="Chart 2">
          <a:extLst>
            <a:ext uri="{FF2B5EF4-FFF2-40B4-BE49-F238E27FC236}">
              <a16:creationId xmlns:a16="http://schemas.microsoft.com/office/drawing/2014/main" id="{0895DA39-0D9A-49A6-B02F-90205A214C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602</xdr:colOff>
      <xdr:row>24</xdr:row>
      <xdr:rowOff>47123</xdr:rowOff>
    </xdr:from>
    <xdr:to>
      <xdr:col>13</xdr:col>
      <xdr:colOff>175462</xdr:colOff>
      <xdr:row>38</xdr:row>
      <xdr:rowOff>10026</xdr:rowOff>
    </xdr:to>
    <xdr:graphicFrame macro="">
      <xdr:nvGraphicFramePr>
        <xdr:cNvPr id="6" name="Chart 5">
          <a:extLst>
            <a:ext uri="{FF2B5EF4-FFF2-40B4-BE49-F238E27FC236}">
              <a16:creationId xmlns:a16="http://schemas.microsoft.com/office/drawing/2014/main" id="{A4AE7039-C534-1B55-FFDA-09EF809C48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1082842</xdr:colOff>
      <xdr:row>10</xdr:row>
      <xdr:rowOff>170446</xdr:rowOff>
    </xdr:from>
    <xdr:to>
      <xdr:col>12</xdr:col>
      <xdr:colOff>219777</xdr:colOff>
      <xdr:row>23</xdr:row>
      <xdr:rowOff>109487</xdr:rowOff>
    </xdr:to>
    <xdr:graphicFrame macro="">
      <xdr:nvGraphicFramePr>
        <xdr:cNvPr id="20" name="Chart 19">
          <a:extLst>
            <a:ext uri="{FF2B5EF4-FFF2-40B4-BE49-F238E27FC236}">
              <a16:creationId xmlns:a16="http://schemas.microsoft.com/office/drawing/2014/main" id="{B75AC07C-A0FF-41C4-80FC-F2827DFA0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330868</xdr:colOff>
      <xdr:row>12</xdr:row>
      <xdr:rowOff>0</xdr:rowOff>
    </xdr:from>
    <xdr:to>
      <xdr:col>8</xdr:col>
      <xdr:colOff>887930</xdr:colOff>
      <xdr:row>27</xdr:row>
      <xdr:rowOff>109487</xdr:rowOff>
    </xdr:to>
    <xdr:graphicFrame macro="">
      <xdr:nvGraphicFramePr>
        <xdr:cNvPr id="21" name="Chart 20">
          <a:extLst>
            <a:ext uri="{FF2B5EF4-FFF2-40B4-BE49-F238E27FC236}">
              <a16:creationId xmlns:a16="http://schemas.microsoft.com/office/drawing/2014/main" id="{39079D54-00BC-4270-B021-75527215B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4</xdr:row>
      <xdr:rowOff>0</xdr:rowOff>
    </xdr:from>
    <xdr:to>
      <xdr:col>12</xdr:col>
      <xdr:colOff>1405747</xdr:colOff>
      <xdr:row>16</xdr:row>
      <xdr:rowOff>147649</xdr:rowOff>
    </xdr:to>
    <xdr:graphicFrame macro="">
      <xdr:nvGraphicFramePr>
        <xdr:cNvPr id="7" name="Chart 6">
          <a:extLst>
            <a:ext uri="{FF2B5EF4-FFF2-40B4-BE49-F238E27FC236}">
              <a16:creationId xmlns:a16="http://schemas.microsoft.com/office/drawing/2014/main" id="{08C5C69A-10AA-477D-80CE-20E3C569F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23</xdr:row>
      <xdr:rowOff>0</xdr:rowOff>
    </xdr:from>
    <xdr:to>
      <xdr:col>11</xdr:col>
      <xdr:colOff>912628</xdr:colOff>
      <xdr:row>38</xdr:row>
      <xdr:rowOff>85061</xdr:rowOff>
    </xdr:to>
    <xdr:graphicFrame macro="">
      <xdr:nvGraphicFramePr>
        <xdr:cNvPr id="4" name="Chart 3">
          <a:extLst>
            <a:ext uri="{FF2B5EF4-FFF2-40B4-BE49-F238E27FC236}">
              <a16:creationId xmlns:a16="http://schemas.microsoft.com/office/drawing/2014/main" id="{741447A4-2E68-4081-A53F-C6FE1A96C6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278130</xdr:colOff>
      <xdr:row>0</xdr:row>
      <xdr:rowOff>99060</xdr:rowOff>
    </xdr:from>
    <xdr:to>
      <xdr:col>10</xdr:col>
      <xdr:colOff>156210</xdr:colOff>
      <xdr:row>16</xdr:row>
      <xdr:rowOff>38100</xdr:rowOff>
    </xdr:to>
    <xdr:graphicFrame macro="">
      <xdr:nvGraphicFramePr>
        <xdr:cNvPr id="9" name="Chart 8">
          <a:extLst>
            <a:ext uri="{FF2B5EF4-FFF2-40B4-BE49-F238E27FC236}">
              <a16:creationId xmlns:a16="http://schemas.microsoft.com/office/drawing/2014/main" id="{BE1B0492-AD8F-4971-7B77-27FA6AD8E7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125730</xdr:colOff>
      <xdr:row>17</xdr:row>
      <xdr:rowOff>121920</xdr:rowOff>
    </xdr:from>
    <xdr:to>
      <xdr:col>10</xdr:col>
      <xdr:colOff>3810</xdr:colOff>
      <xdr:row>33</xdr:row>
      <xdr:rowOff>60960</xdr:rowOff>
    </xdr:to>
    <xdr:graphicFrame macro="">
      <xdr:nvGraphicFramePr>
        <xdr:cNvPr id="10" name="Chart 9">
          <a:extLst>
            <a:ext uri="{FF2B5EF4-FFF2-40B4-BE49-F238E27FC236}">
              <a16:creationId xmlns:a16="http://schemas.microsoft.com/office/drawing/2014/main" id="{52E8A79B-52EB-1555-A714-C48EB95454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555037</xdr:colOff>
      <xdr:row>13</xdr:row>
      <xdr:rowOff>131703</xdr:rowOff>
    </xdr:from>
    <xdr:to>
      <xdr:col>17</xdr:col>
      <xdr:colOff>222391</xdr:colOff>
      <xdr:row>31</xdr:row>
      <xdr:rowOff>36783</xdr:rowOff>
    </xdr:to>
    <xdr:graphicFrame macro="">
      <xdr:nvGraphicFramePr>
        <xdr:cNvPr id="11" name="Chart 10">
          <a:extLst>
            <a:ext uri="{FF2B5EF4-FFF2-40B4-BE49-F238E27FC236}">
              <a16:creationId xmlns:a16="http://schemas.microsoft.com/office/drawing/2014/main" id="{FE62BB56-808B-49DE-B13B-9D05F7D1D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396240</xdr:colOff>
      <xdr:row>12</xdr:row>
      <xdr:rowOff>30480</xdr:rowOff>
    </xdr:from>
    <xdr:to>
      <xdr:col>6</xdr:col>
      <xdr:colOff>1317859</xdr:colOff>
      <xdr:row>21</xdr:row>
      <xdr:rowOff>20453</xdr:rowOff>
    </xdr:to>
    <xdr:sp macro="" textlink="">
      <xdr:nvSpPr>
        <xdr:cNvPr id="2" name="TextBox 1">
          <a:extLst>
            <a:ext uri="{FF2B5EF4-FFF2-40B4-BE49-F238E27FC236}">
              <a16:creationId xmlns:a16="http://schemas.microsoft.com/office/drawing/2014/main" id="{45A39D03-9BE8-437D-B329-98AC2E75F709}"/>
            </a:ext>
          </a:extLst>
        </xdr:cNvPr>
        <xdr:cNvSpPr txBox="1"/>
      </xdr:nvSpPr>
      <xdr:spPr>
        <a:xfrm>
          <a:off x="396240" y="2217420"/>
          <a:ext cx="5981299" cy="16968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u="none" strike="noStrike">
              <a:solidFill>
                <a:schemeClr val="dk1"/>
              </a:solidFill>
              <a:effectLst/>
              <a:latin typeface="+mn-lt"/>
              <a:ea typeface="+mn-ea"/>
              <a:cs typeface="+mn-cs"/>
            </a:rPr>
            <a:t>Attrition by department is </a:t>
          </a:r>
          <a:r>
            <a:rPr lang="en-IN"/>
            <a:t>the measurement of employee departures (where roles are left unfilled or permanently reduced) broken down and analyzed separately for each team or division within a company.</a:t>
          </a:r>
        </a:p>
        <a:p>
          <a:endParaRPr lang="en-IN" sz="1100"/>
        </a:p>
        <a:p>
          <a:r>
            <a:rPr lang="en-IN"/>
            <a:t>calculated the rate independently for each department (such as Sales, Engineering, or Finance) to spot specific problem areas.</a:t>
          </a:r>
        </a:p>
        <a:p>
          <a:endParaRPr lang="en-IN" sz="1100"/>
        </a:p>
        <a:p>
          <a:r>
            <a:rPr lang="en-IN"/>
            <a:t>In this example, while the company-wide attrition rate is a manageable 13%, the Sales department has a high rate of 24%, signaling a need for targeted intervention.</a:t>
          </a:r>
          <a:endParaRPr lang="en-IN" sz="1100"/>
        </a:p>
      </xdr:txBody>
    </xdr:sp>
    <xdr:clientData/>
  </xdr:twoCellAnchor>
  <xdr:oneCellAnchor>
    <xdr:from>
      <xdr:col>1</xdr:col>
      <xdr:colOff>0</xdr:colOff>
      <xdr:row>22</xdr:row>
      <xdr:rowOff>0</xdr:rowOff>
    </xdr:from>
    <xdr:ext cx="4078360" cy="3515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EE8BDE-0075-4906-B40C-CCE30BBDED4B}"/>
                </a:ext>
              </a:extLst>
            </xdr:cNvPr>
            <xdr:cNvSpPr txBox="1"/>
          </xdr:nvSpPr>
          <xdr:spPr>
            <a:xfrm>
              <a:off x="906780" y="4069080"/>
              <a:ext cx="4078360" cy="351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𝐷𝑒𝑝𝑎𝑟𝑡𝑚𝑒𝑛𝑡</m:t>
                    </m:r>
                    <m:r>
                      <a:rPr lang="en-US" sz="1100" b="0" i="1">
                        <a:latin typeface="Cambria Math" panose="02040503050406030204" pitchFamily="18" charset="0"/>
                      </a:rPr>
                      <m:t> </m:t>
                    </m:r>
                    <m:r>
                      <a:rPr lang="en-US" sz="1100" b="0" i="1">
                        <a:latin typeface="Cambria Math" panose="02040503050406030204" pitchFamily="18" charset="0"/>
                      </a:rPr>
                      <m:t>𝐴𝑡𝑡𝑟𝑡𝑖𝑜𝑛</m:t>
                    </m:r>
                    <m:r>
                      <a:rPr lang="en-US" sz="1100" b="0" i="1">
                        <a:latin typeface="Cambria Math" panose="02040503050406030204" pitchFamily="18" charset="0"/>
                      </a:rPr>
                      <m:t> </m:t>
                    </m:r>
                    <m:r>
                      <a:rPr lang="en-US" sz="1100" b="0" i="1">
                        <a:latin typeface="Cambria Math" panose="02040503050406030204" pitchFamily="18" charset="0"/>
                      </a:rPr>
                      <m:t>𝑅𝑎𝑡𝑒</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𝑁𝑜</m:t>
                        </m:r>
                        <m:r>
                          <a:rPr lang="en-US" sz="1100" b="0" i="1">
                            <a:latin typeface="Cambria Math" panose="02040503050406030204" pitchFamily="18" charset="0"/>
                          </a:rPr>
                          <m:t>. </m:t>
                        </m:r>
                        <m:r>
                          <a:rPr lang="en-US" sz="1100" b="0" i="1">
                            <a:latin typeface="Cambria Math" panose="02040503050406030204" pitchFamily="18" charset="0"/>
                          </a:rPr>
                          <m:t>𝑜𝑓</m:t>
                        </m:r>
                        <m:r>
                          <a:rPr lang="en-US" sz="1100" b="0" i="1">
                            <a:latin typeface="Cambria Math" panose="02040503050406030204" pitchFamily="18" charset="0"/>
                          </a:rPr>
                          <m:t> </m:t>
                        </m:r>
                        <m:r>
                          <a:rPr lang="en-US" sz="1100" b="0" i="1">
                            <a:latin typeface="Cambria Math" panose="02040503050406030204" pitchFamily="18" charset="0"/>
                          </a:rPr>
                          <m:t>𝑑𝑒𝑝𝑎𝑟𝑡𝑢𝑟𝑒𝑠</m:t>
                        </m:r>
                        <m:r>
                          <a:rPr lang="en-US" sz="1100" b="0" i="1">
                            <a:latin typeface="Cambria Math" panose="02040503050406030204" pitchFamily="18" charset="0"/>
                          </a:rPr>
                          <m:t> </m:t>
                        </m:r>
                        <m:r>
                          <a:rPr lang="en-US" sz="1100" b="0" i="1">
                            <a:latin typeface="Cambria Math" panose="02040503050406030204" pitchFamily="18" charset="0"/>
                          </a:rPr>
                          <m:t>𝑖𝑛</m:t>
                        </m:r>
                        <m:r>
                          <a:rPr lang="en-US" sz="1100" b="0" i="1">
                            <a:latin typeface="Cambria Math" panose="02040503050406030204" pitchFamily="18" charset="0"/>
                          </a:rPr>
                          <m:t> </m:t>
                        </m:r>
                        <m:r>
                          <a:rPr lang="en-US" sz="1100" b="0" i="1">
                            <a:latin typeface="Cambria Math" panose="02040503050406030204" pitchFamily="18" charset="0"/>
                          </a:rPr>
                          <m:t>𝑑𝑒𝑝𝑡</m:t>
                        </m:r>
                        <m:r>
                          <a:rPr lang="en-US" sz="1100" b="0" i="1">
                            <a:latin typeface="Cambria Math" panose="02040503050406030204" pitchFamily="18" charset="0"/>
                          </a:rPr>
                          <m:t>.</m:t>
                        </m:r>
                      </m:num>
                      <m:den>
                        <m:r>
                          <a:rPr lang="en-US" sz="1100" b="0" i="1">
                            <a:latin typeface="Cambria Math" panose="02040503050406030204" pitchFamily="18" charset="0"/>
                          </a:rPr>
                          <m:t>𝐴𝑣𝑔</m:t>
                        </m:r>
                        <m:r>
                          <a:rPr lang="en-US" sz="1100" b="0" i="1">
                            <a:latin typeface="Cambria Math" panose="02040503050406030204" pitchFamily="18" charset="0"/>
                          </a:rPr>
                          <m:t>. </m:t>
                        </m:r>
                        <m:r>
                          <a:rPr lang="en-US" sz="1100" b="0" i="1">
                            <a:latin typeface="Cambria Math" panose="02040503050406030204" pitchFamily="18" charset="0"/>
                          </a:rPr>
                          <m:t>𝐷𝑒𝑝𝑡</m:t>
                        </m:r>
                        <m:r>
                          <a:rPr lang="en-US" sz="1100" b="0" i="1">
                            <a:latin typeface="Cambria Math" panose="02040503050406030204" pitchFamily="18" charset="0"/>
                          </a:rPr>
                          <m:t>. </m:t>
                        </m:r>
                        <m:r>
                          <a:rPr lang="en-US" sz="1100" b="0" i="1">
                            <a:latin typeface="Cambria Math" panose="02040503050406030204" pitchFamily="18" charset="0"/>
                          </a:rPr>
                          <m:t>𝐻𝑒𝑎𝑑𝑐𝑜𝑢𝑛𝑡</m:t>
                        </m:r>
                      </m:den>
                    </m:f>
                    <m:r>
                      <a:rPr lang="en-US" sz="1100" b="0" i="1">
                        <a:latin typeface="Cambria Math" panose="02040503050406030204" pitchFamily="18" charset="0"/>
                      </a:rPr>
                      <m:t>)</m:t>
                    </m:r>
                    <m:r>
                      <a:rPr lang="en-US" sz="1100" b="0" i="1">
                        <a:latin typeface="Cambria Math" panose="02040503050406030204" pitchFamily="18" charset="0"/>
                        <a:ea typeface="Cambria Math" panose="02040503050406030204" pitchFamily="18" charset="0"/>
                      </a:rPr>
                      <m:t>×100</m:t>
                    </m:r>
                    <m:r>
                      <a:rPr lang="en-US" sz="1100" b="0" i="1">
                        <a:latin typeface="Cambria Math" panose="02040503050406030204" pitchFamily="18" charset="0"/>
                      </a:rPr>
                      <m:t> </m:t>
                    </m:r>
                  </m:oMath>
                </m:oMathPara>
              </a14:m>
              <a:endParaRPr lang="en-IN" sz="1100"/>
            </a:p>
          </xdr:txBody>
        </xdr:sp>
      </mc:Choice>
      <mc:Fallback xmlns="">
        <xdr:sp macro="" textlink="">
          <xdr:nvSpPr>
            <xdr:cNvPr id="3" name="TextBox 2">
              <a:extLst>
                <a:ext uri="{FF2B5EF4-FFF2-40B4-BE49-F238E27FC236}">
                  <a16:creationId xmlns:a16="http://schemas.microsoft.com/office/drawing/2014/main" id="{CEEE8BDE-0075-4906-B40C-CCE30BBDED4B}"/>
                </a:ext>
              </a:extLst>
            </xdr:cNvPr>
            <xdr:cNvSpPr txBox="1"/>
          </xdr:nvSpPr>
          <xdr:spPr>
            <a:xfrm>
              <a:off x="906780" y="4069080"/>
              <a:ext cx="4078360" cy="351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𝐷𝑒𝑝𝑎𝑟𝑡𝑚𝑒𝑛𝑡 𝐴𝑡𝑡𝑟𝑡𝑖𝑜𝑛 𝑅𝑎𝑡𝑒=((𝑁𝑜. 𝑜𝑓 𝑑𝑒𝑝𝑎𝑟𝑡𝑢𝑟𝑒𝑠 𝑖𝑛 𝑑𝑒𝑝𝑡.)/(𝐴𝑣𝑔. 𝐷𝑒𝑝𝑡. 𝐻𝑒𝑎𝑑𝑐𝑜𝑢𝑛𝑡))</a:t>
              </a:r>
              <a:r>
                <a:rPr lang="en-US" sz="1100" b="0" i="0">
                  <a:latin typeface="Cambria Math" panose="02040503050406030204" pitchFamily="18" charset="0"/>
                  <a:ea typeface="Cambria Math" panose="02040503050406030204" pitchFamily="18" charset="0"/>
                </a:rPr>
                <a:t>×100</a:t>
              </a:r>
              <a:r>
                <a:rPr lang="en-US" sz="1100" b="0" i="0">
                  <a:latin typeface="Cambria Math" panose="02040503050406030204" pitchFamily="18" charset="0"/>
                </a:rPr>
                <a:t> </a:t>
              </a:r>
              <a:endParaRPr lang="en-IN" sz="1100"/>
            </a:p>
          </xdr:txBody>
        </xdr:sp>
      </mc:Fallback>
    </mc:AlternateContent>
    <xdr:clientData/>
  </xdr:oneCellAnchor>
  <xdr:twoCellAnchor>
    <xdr:from>
      <xdr:col>1</xdr:col>
      <xdr:colOff>0</xdr:colOff>
      <xdr:row>25</xdr:row>
      <xdr:rowOff>0</xdr:rowOff>
    </xdr:from>
    <xdr:to>
      <xdr:col>9</xdr:col>
      <xdr:colOff>697831</xdr:colOff>
      <xdr:row>33</xdr:row>
      <xdr:rowOff>14839</xdr:rowOff>
    </xdr:to>
    <xdr:sp macro="" textlink="">
      <xdr:nvSpPr>
        <xdr:cNvPr id="4" name="Rectangle: Rounded Corners 3">
          <a:extLst>
            <a:ext uri="{FF2B5EF4-FFF2-40B4-BE49-F238E27FC236}">
              <a16:creationId xmlns:a16="http://schemas.microsoft.com/office/drawing/2014/main" id="{AEAE985E-B6A4-4B35-8EE0-9C96E623897D}"/>
            </a:ext>
          </a:extLst>
        </xdr:cNvPr>
        <xdr:cNvSpPr/>
      </xdr:nvSpPr>
      <xdr:spPr>
        <a:xfrm>
          <a:off x="906780" y="4594860"/>
          <a:ext cx="8927431" cy="14169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100" b="1" u="none" strike="noStrike">
              <a:solidFill>
                <a:schemeClr val="lt1"/>
              </a:solidFill>
              <a:effectLst/>
              <a:latin typeface="+mn-lt"/>
              <a:ea typeface="+mn-ea"/>
              <a:cs typeface="+mn-cs"/>
            </a:rPr>
            <a:t>Why It Matters</a:t>
          </a:r>
        </a:p>
        <a:p>
          <a:r>
            <a:rPr lang="en-IN" sz="1100" b="1" u="none" strike="noStrike">
              <a:solidFill>
                <a:schemeClr val="lt1"/>
              </a:solidFill>
              <a:effectLst/>
              <a:latin typeface="+mn-lt"/>
              <a:ea typeface="+mn-ea"/>
              <a:cs typeface="+mn-cs"/>
            </a:rPr>
            <a:t>Pinpoints Risk Hotspots:</a:t>
          </a:r>
          <a:r>
            <a:rPr lang="en-IN" sz="1100" b="0" u="none" strike="noStrike">
              <a:solidFill>
                <a:schemeClr val="lt1"/>
              </a:solidFill>
              <a:effectLst/>
              <a:latin typeface="+mn-lt"/>
              <a:ea typeface="+mn-ea"/>
              <a:cs typeface="+mn-cs"/>
            </a:rPr>
            <a:t> A low overall company rate can mask severe turnover issues hidden inside a single team or manager's group.</a:t>
          </a:r>
        </a:p>
        <a:p>
          <a:r>
            <a:rPr lang="en-IN" sz="1100" b="1" u="none" strike="noStrike">
              <a:solidFill>
                <a:schemeClr val="lt1"/>
              </a:solidFill>
              <a:effectLst/>
              <a:latin typeface="+mn-lt"/>
              <a:ea typeface="+mn-ea"/>
              <a:cs typeface="+mn-cs"/>
            </a:rPr>
            <a:t>Identifies Root Causes:</a:t>
          </a:r>
          <a:r>
            <a:rPr lang="en-IN" sz="1100" b="0" u="none" strike="noStrike">
              <a:solidFill>
                <a:schemeClr val="lt1"/>
              </a:solidFill>
              <a:effectLst/>
              <a:latin typeface="+mn-lt"/>
              <a:ea typeface="+mn-ea"/>
              <a:cs typeface="+mn-cs"/>
            </a:rPr>
            <a:t> High attrition in a specific department often points to department-specific issues like poor management, burnout, unfair workloads, or uncompetitive pay.</a:t>
          </a:r>
        </a:p>
        <a:p>
          <a:r>
            <a:rPr lang="en-IN" sz="1100" b="1" u="none" strike="noStrike">
              <a:solidFill>
                <a:schemeClr val="lt1"/>
              </a:solidFill>
              <a:effectLst/>
              <a:latin typeface="+mn-lt"/>
              <a:ea typeface="+mn-ea"/>
              <a:cs typeface="+mn-cs"/>
            </a:rPr>
            <a:t>Improves Workforce Planning:</a:t>
          </a:r>
          <a:r>
            <a:rPr lang="en-IN" sz="1100" b="0" u="none" strike="noStrike">
              <a:solidFill>
                <a:schemeClr val="lt1"/>
              </a:solidFill>
              <a:effectLst/>
              <a:latin typeface="+mn-lt"/>
              <a:ea typeface="+mn-ea"/>
              <a:cs typeface="+mn-cs"/>
            </a:rPr>
            <a:t> It helps leadership adjust recruitment budgets, training programs, and retention strategies where they are needed most.</a:t>
          </a:r>
        </a:p>
        <a:p>
          <a:pPr algn="l"/>
          <a:endParaRPr lang="en-IN" sz="1100"/>
        </a:p>
      </xdr:txBody>
    </xdr:sp>
    <xdr:clientData/>
  </xdr:twoCellAnchor>
  <xdr:twoCellAnchor>
    <xdr:from>
      <xdr:col>10</xdr:col>
      <xdr:colOff>0</xdr:colOff>
      <xdr:row>24</xdr:row>
      <xdr:rowOff>0</xdr:rowOff>
    </xdr:from>
    <xdr:to>
      <xdr:col>15</xdr:col>
      <xdr:colOff>1294553</xdr:colOff>
      <xdr:row>31</xdr:row>
      <xdr:rowOff>62465</xdr:rowOff>
    </xdr:to>
    <xdr:sp macro="" textlink="">
      <xdr:nvSpPr>
        <xdr:cNvPr id="5" name="Rectangle: Rounded Corners 4">
          <a:extLst>
            <a:ext uri="{FF2B5EF4-FFF2-40B4-BE49-F238E27FC236}">
              <a16:creationId xmlns:a16="http://schemas.microsoft.com/office/drawing/2014/main" id="{36B734A8-219D-4C16-AB6B-33DAB71964B2}"/>
            </a:ext>
          </a:extLst>
        </xdr:cNvPr>
        <xdr:cNvSpPr/>
      </xdr:nvSpPr>
      <xdr:spPr>
        <a:xfrm>
          <a:off x="10088880" y="4419600"/>
          <a:ext cx="6178973" cy="1289285"/>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ysClr val="windowText" lastClr="000000"/>
              </a:solidFill>
            </a:rPr>
            <a:t>Being an</a:t>
          </a:r>
          <a:r>
            <a:rPr lang="en-IN" sz="1100" baseline="0">
              <a:solidFill>
                <a:sysClr val="windowText" lastClr="000000"/>
              </a:solidFill>
            </a:rPr>
            <a:t> HR Analyst, (</a:t>
          </a:r>
          <a:endParaRPr lang="en-IN" sz="1100">
            <a:solidFill>
              <a:sysClr val="windowText" lastClr="0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32.815799652781" createdVersion="8" refreshedVersion="8" minRefreshableVersion="3" recordCount="1001" xr:uid="{47FC1725-31CC-46CD-BA14-39C6083AF4C7}">
  <cacheSource type="worksheet">
    <worksheetSource ref="A1:Z1048576" sheet="HR_Data"/>
  </cacheSource>
  <cacheFields count="26">
    <cacheField name="Employee_ID" numFmtId="0">
      <sharedItems containsBlank="1" count="1001">
        <s v="E00001"/>
        <s v="E00002"/>
        <s v="E00003"/>
        <s v="E00004"/>
        <s v="E00005"/>
        <s v="E00006"/>
        <s v="E00007"/>
        <s v="E00008"/>
        <s v="E00009"/>
        <s v="E00010"/>
        <s v="E00011"/>
        <s v="E00012"/>
        <s v="E00013"/>
        <s v="E00014"/>
        <s v="E00015"/>
        <s v="E00016"/>
        <s v="E00017"/>
        <s v="E00018"/>
        <s v="E00019"/>
        <s v="E00020"/>
        <s v="E00021"/>
        <s v="E00022"/>
        <s v="E00023"/>
        <s v="E00024"/>
        <s v="E00025"/>
        <s v="E00026"/>
        <s v="E00027"/>
        <s v="E00028"/>
        <s v="E00029"/>
        <s v="E00030"/>
        <s v="E00031"/>
        <s v="E00032"/>
        <s v="E00033"/>
        <s v="E00034"/>
        <s v="E00035"/>
        <s v="E00036"/>
        <s v="E00037"/>
        <s v="E00038"/>
        <s v="E00039"/>
        <s v="E00040"/>
        <s v="E00041"/>
        <s v="E00042"/>
        <s v="E00043"/>
        <s v="E00044"/>
        <s v="E00045"/>
        <s v="E00046"/>
        <s v="E00047"/>
        <s v="E00048"/>
        <s v="E00049"/>
        <s v="E00050"/>
        <s v="E00051"/>
        <s v="E00052"/>
        <s v="E00053"/>
        <s v="E00054"/>
        <s v="E00055"/>
        <s v="E00056"/>
        <s v="E00057"/>
        <s v="E00058"/>
        <s v="E00059"/>
        <s v="E00060"/>
        <s v="E00061"/>
        <s v="E00062"/>
        <s v="E00063"/>
        <s v="E00064"/>
        <s v="E00065"/>
        <s v="E00066"/>
        <s v="E00067"/>
        <s v="E00068"/>
        <s v="E00069"/>
        <s v="E00070"/>
        <s v="E00071"/>
        <s v="E00072"/>
        <s v="E00073"/>
        <s v="E00074"/>
        <s v="E00075"/>
        <s v="E00076"/>
        <s v="E00077"/>
        <s v="E00078"/>
        <s v="E00079"/>
        <s v="E00080"/>
        <s v="E00081"/>
        <s v="E00082"/>
        <s v="E00083"/>
        <s v="E00084"/>
        <s v="E00085"/>
        <s v="E00086"/>
        <s v="E00087"/>
        <s v="E00088"/>
        <s v="E00089"/>
        <s v="E00090"/>
        <s v="E00091"/>
        <s v="E00092"/>
        <s v="E00093"/>
        <s v="E00094"/>
        <s v="E00095"/>
        <s v="E00096"/>
        <s v="E00097"/>
        <s v="E00098"/>
        <s v="E00099"/>
        <s v="E00100"/>
        <s v="E00101"/>
        <s v="E00102"/>
        <s v="E00103"/>
        <s v="E00104"/>
        <s v="E00105"/>
        <s v="E00106"/>
        <s v="E00107"/>
        <s v="E00108"/>
        <s v="E00109"/>
        <s v="E00110"/>
        <s v="E00111"/>
        <s v="E00112"/>
        <s v="E00113"/>
        <s v="E00114"/>
        <s v="E00115"/>
        <s v="E00116"/>
        <s v="E00117"/>
        <s v="E00118"/>
        <s v="E00119"/>
        <s v="E00120"/>
        <s v="E00121"/>
        <s v="E00122"/>
        <s v="E00123"/>
        <s v="E00124"/>
        <s v="E00125"/>
        <s v="E00126"/>
        <s v="E00127"/>
        <s v="E00128"/>
        <s v="E00129"/>
        <s v="E00130"/>
        <s v="E00131"/>
        <s v="E00132"/>
        <s v="E00133"/>
        <s v="E00134"/>
        <s v="E00135"/>
        <s v="E00136"/>
        <s v="E00137"/>
        <s v="E00138"/>
        <s v="E00139"/>
        <s v="E00140"/>
        <s v="E00141"/>
        <s v="E00142"/>
        <s v="E00143"/>
        <s v="E00144"/>
        <s v="E00145"/>
        <s v="E00146"/>
        <s v="E00147"/>
        <s v="E00148"/>
        <s v="E00149"/>
        <s v="E00150"/>
        <s v="E00151"/>
        <s v="E00152"/>
        <s v="E00153"/>
        <s v="E00154"/>
        <s v="E00155"/>
        <s v="E00156"/>
        <s v="E00157"/>
        <s v="E00158"/>
        <s v="E00159"/>
        <s v="E00160"/>
        <s v="E00161"/>
        <s v="E00162"/>
        <s v="E00163"/>
        <s v="E00164"/>
        <s v="E00165"/>
        <s v="E00166"/>
        <s v="E00167"/>
        <s v="E00168"/>
        <s v="E00169"/>
        <s v="E00170"/>
        <s v="E00171"/>
        <s v="E00172"/>
        <s v="E00173"/>
        <s v="E00174"/>
        <s v="E00175"/>
        <s v="E00176"/>
        <s v="E00177"/>
        <s v="E00178"/>
        <s v="E00179"/>
        <s v="E00180"/>
        <s v="E00181"/>
        <s v="E00182"/>
        <s v="E00183"/>
        <s v="E00184"/>
        <s v="E00185"/>
        <s v="E00186"/>
        <s v="E00187"/>
        <s v="E00188"/>
        <s v="E00189"/>
        <s v="E00190"/>
        <s v="E00191"/>
        <s v="E00192"/>
        <s v="E00193"/>
        <s v="E00194"/>
        <s v="E00195"/>
        <s v="E00196"/>
        <s v="E00197"/>
        <s v="E00198"/>
        <s v="E00199"/>
        <s v="E00200"/>
        <s v="E00201"/>
        <s v="E00202"/>
        <s v="E00203"/>
        <s v="E00204"/>
        <s v="E00205"/>
        <s v="E00206"/>
        <s v="E00207"/>
        <s v="E00208"/>
        <s v="E00209"/>
        <s v="E00210"/>
        <s v="E00211"/>
        <s v="E00212"/>
        <s v="E00213"/>
        <s v="E00214"/>
        <s v="E00215"/>
        <s v="E00216"/>
        <s v="E00217"/>
        <s v="E00218"/>
        <s v="E00219"/>
        <s v="E00220"/>
        <s v="E00221"/>
        <s v="E00222"/>
        <s v="E00223"/>
        <s v="E00224"/>
        <s v="E00225"/>
        <s v="E00226"/>
        <s v="E00227"/>
        <s v="E00228"/>
        <s v="E00229"/>
        <s v="E00230"/>
        <s v="E00231"/>
        <s v="E00232"/>
        <s v="E00233"/>
        <s v="E00234"/>
        <s v="E00235"/>
        <s v="E00236"/>
        <s v="E00237"/>
        <s v="E00238"/>
        <s v="E00239"/>
        <s v="E00240"/>
        <s v="E00241"/>
        <s v="E00242"/>
        <s v="E00243"/>
        <s v="E00244"/>
        <s v="E00245"/>
        <s v="E00246"/>
        <s v="E00247"/>
        <s v="E00248"/>
        <s v="E00249"/>
        <s v="E00250"/>
        <s v="E00251"/>
        <s v="E00252"/>
        <s v="E00253"/>
        <s v="E00254"/>
        <s v="E00255"/>
        <s v="E00256"/>
        <s v="E00257"/>
        <s v="E00258"/>
        <s v="E00259"/>
        <s v="E00260"/>
        <s v="E00261"/>
        <s v="E00262"/>
        <s v="E00263"/>
        <s v="E00264"/>
        <s v="E00265"/>
        <s v="E00266"/>
        <s v="E00267"/>
        <s v="E00268"/>
        <s v="E00269"/>
        <s v="E00270"/>
        <s v="E00271"/>
        <s v="E00272"/>
        <s v="E00273"/>
        <s v="E00274"/>
        <s v="E00275"/>
        <s v="E00276"/>
        <s v="E00277"/>
        <s v="E00278"/>
        <s v="E00279"/>
        <s v="E00280"/>
        <s v="E00281"/>
        <s v="E00282"/>
        <s v="E00283"/>
        <s v="E00284"/>
        <s v="E00285"/>
        <s v="E00286"/>
        <s v="E00287"/>
        <s v="E00288"/>
        <s v="E00289"/>
        <s v="E00290"/>
        <s v="E00291"/>
        <s v="E00292"/>
        <s v="E00293"/>
        <s v="E00294"/>
        <s v="E00295"/>
        <s v="E00296"/>
        <s v="E00297"/>
        <s v="E00298"/>
        <s v="E00299"/>
        <s v="E00300"/>
        <s v="E00301"/>
        <s v="E00302"/>
        <s v="E00303"/>
        <s v="E00304"/>
        <s v="E00305"/>
        <s v="E00306"/>
        <s v="E00307"/>
        <s v="E00308"/>
        <s v="E00309"/>
        <s v="E00310"/>
        <s v="E00311"/>
        <s v="E00312"/>
        <s v="E00313"/>
        <s v="E00314"/>
        <s v="E00315"/>
        <s v="E00316"/>
        <s v="E00317"/>
        <s v="E00318"/>
        <s v="E00319"/>
        <s v="E00320"/>
        <s v="E00321"/>
        <s v="E00322"/>
        <s v="E00323"/>
        <s v="E00324"/>
        <s v="E00325"/>
        <s v="E00326"/>
        <s v="E00327"/>
        <s v="E00328"/>
        <s v="E00329"/>
        <s v="E00330"/>
        <s v="E00331"/>
        <s v="E00332"/>
        <s v="E00333"/>
        <s v="E00334"/>
        <s v="E00335"/>
        <s v="E00336"/>
        <s v="E00337"/>
        <s v="E00338"/>
        <s v="E00339"/>
        <s v="E00340"/>
        <s v="E00341"/>
        <s v="E00342"/>
        <s v="E00343"/>
        <s v="E00344"/>
        <s v="E00345"/>
        <s v="E00346"/>
        <s v="E00347"/>
        <s v="E00348"/>
        <s v="E00349"/>
        <s v="E00350"/>
        <s v="E00351"/>
        <s v="E00352"/>
        <s v="E00353"/>
        <s v="E00354"/>
        <s v="E00355"/>
        <s v="E00356"/>
        <s v="E00357"/>
        <s v="E00358"/>
        <s v="E00359"/>
        <s v="E00360"/>
        <s v="E00361"/>
        <s v="E00362"/>
        <s v="E00363"/>
        <s v="E00364"/>
        <s v="E00365"/>
        <s v="E00366"/>
        <s v="E00367"/>
        <s v="E00368"/>
        <s v="E00369"/>
        <s v="E00370"/>
        <s v="E00371"/>
        <s v="E00372"/>
        <s v="E00373"/>
        <s v="E00374"/>
        <s v="E00375"/>
        <s v="E00376"/>
        <s v="E00377"/>
        <s v="E00378"/>
        <s v="E00379"/>
        <s v="E00380"/>
        <s v="E00381"/>
        <s v="E00382"/>
        <s v="E00383"/>
        <s v="E00384"/>
        <s v="E00385"/>
        <s v="E00386"/>
        <s v="E00387"/>
        <s v="E00388"/>
        <s v="E00389"/>
        <s v="E00390"/>
        <s v="E00391"/>
        <s v="E00392"/>
        <s v="E00393"/>
        <s v="E00394"/>
        <s v="E00395"/>
        <s v="E00396"/>
        <s v="E00397"/>
        <s v="E00398"/>
        <s v="E00399"/>
        <s v="E00400"/>
        <s v="E00401"/>
        <s v="E00402"/>
        <s v="E00403"/>
        <s v="E00404"/>
        <s v="E00405"/>
        <s v="E00406"/>
        <s v="E00407"/>
        <s v="E00408"/>
        <s v="E00409"/>
        <s v="E00410"/>
        <s v="E00411"/>
        <s v="E00412"/>
        <s v="E00413"/>
        <s v="E00414"/>
        <s v="E00415"/>
        <s v="E00416"/>
        <s v="E00417"/>
        <s v="E00418"/>
        <s v="E00419"/>
        <s v="E00420"/>
        <s v="E00421"/>
        <s v="E00422"/>
        <s v="E00423"/>
        <s v="E00424"/>
        <s v="E00425"/>
        <s v="E00426"/>
        <s v="E00427"/>
        <s v="E00428"/>
        <s v="E00429"/>
        <s v="E00430"/>
        <s v="E00431"/>
        <s v="E00432"/>
        <s v="E00433"/>
        <s v="E00434"/>
        <s v="E00435"/>
        <s v="E00436"/>
        <s v="E00437"/>
        <s v="E00438"/>
        <s v="E00439"/>
        <s v="E00440"/>
        <s v="E00441"/>
        <s v="E00442"/>
        <s v="E00443"/>
        <s v="E00444"/>
        <s v="E00445"/>
        <s v="E00446"/>
        <s v="E00447"/>
        <s v="E00448"/>
        <s v="E00449"/>
        <s v="E00450"/>
        <s v="E00451"/>
        <s v="E00452"/>
        <s v="E00453"/>
        <s v="E00454"/>
        <s v="E00455"/>
        <s v="E00456"/>
        <s v="E00457"/>
        <s v="E00458"/>
        <s v="E00459"/>
        <s v="E00460"/>
        <s v="E00461"/>
        <s v="E00462"/>
        <s v="E00463"/>
        <s v="E00464"/>
        <s v="E00465"/>
        <s v="E00466"/>
        <s v="E00467"/>
        <s v="E00468"/>
        <s v="E00469"/>
        <s v="E00470"/>
        <s v="E00471"/>
        <s v="E00472"/>
        <s v="E00473"/>
        <s v="E00474"/>
        <s v="E00475"/>
        <s v="E00476"/>
        <s v="E00477"/>
        <s v="E00478"/>
        <s v="E00479"/>
        <s v="E00480"/>
        <s v="E00481"/>
        <s v="E00482"/>
        <s v="E00483"/>
        <s v="E00484"/>
        <s v="E00485"/>
        <s v="E00486"/>
        <s v="E00487"/>
        <s v="E00488"/>
        <s v="E00489"/>
        <s v="E00490"/>
        <s v="E00491"/>
        <s v="E00492"/>
        <s v="E00493"/>
        <s v="E00494"/>
        <s v="E00495"/>
        <s v="E00496"/>
        <s v="E00497"/>
        <s v="E00498"/>
        <s v="E00499"/>
        <s v="E00500"/>
        <s v="E00501"/>
        <s v="E00502"/>
        <s v="E00503"/>
        <s v="E00504"/>
        <s v="E00505"/>
        <s v="E00506"/>
        <s v="E00507"/>
        <s v="E00508"/>
        <s v="E00509"/>
        <s v="E00510"/>
        <s v="E00511"/>
        <s v="E00512"/>
        <s v="E00513"/>
        <s v="E00514"/>
        <s v="E00515"/>
        <s v="E00516"/>
        <s v="E00517"/>
        <s v="E00518"/>
        <s v="E00519"/>
        <s v="E00520"/>
        <s v="E00521"/>
        <s v="E00522"/>
        <s v="E00523"/>
        <s v="E00524"/>
        <s v="E00525"/>
        <s v="E00526"/>
        <s v="E00527"/>
        <s v="E00528"/>
        <s v="E00529"/>
        <s v="E00530"/>
        <s v="E00531"/>
        <s v="E00532"/>
        <s v="E00533"/>
        <s v="E00534"/>
        <s v="E00535"/>
        <s v="E00536"/>
        <s v="E00537"/>
        <s v="E00538"/>
        <s v="E00539"/>
        <s v="E00540"/>
        <s v="E00541"/>
        <s v="E00542"/>
        <s v="E00543"/>
        <s v="E00544"/>
        <s v="E00545"/>
        <s v="E00546"/>
        <s v="E00547"/>
        <s v="E00548"/>
        <s v="E00549"/>
        <s v="E00550"/>
        <s v="E00551"/>
        <s v="E00552"/>
        <s v="E00553"/>
        <s v="E00554"/>
        <s v="E00555"/>
        <s v="E00556"/>
        <s v="E00557"/>
        <s v="E00558"/>
        <s v="E00559"/>
        <s v="E00560"/>
        <s v="E00561"/>
        <s v="E00562"/>
        <s v="E00563"/>
        <s v="E00564"/>
        <s v="E00565"/>
        <s v="E00566"/>
        <s v="E00567"/>
        <s v="E00568"/>
        <s v="E00569"/>
        <s v="E00570"/>
        <s v="E00571"/>
        <s v="E00572"/>
        <s v="E00573"/>
        <s v="E00574"/>
        <s v="E00575"/>
        <s v="E00576"/>
        <s v="E00577"/>
        <s v="E00578"/>
        <s v="E00579"/>
        <s v="E00580"/>
        <s v="E00581"/>
        <s v="E00582"/>
        <s v="E00583"/>
        <s v="E00584"/>
        <s v="E00585"/>
        <s v="E00586"/>
        <s v="E00587"/>
        <s v="E00588"/>
        <s v="E00589"/>
        <s v="E00590"/>
        <s v="E00591"/>
        <s v="E00592"/>
        <s v="E00593"/>
        <s v="E00594"/>
        <s v="E00595"/>
        <s v="E00596"/>
        <s v="E00597"/>
        <s v="E00598"/>
        <s v="E00599"/>
        <s v="E00600"/>
        <s v="E00601"/>
        <s v="E00602"/>
        <s v="E00603"/>
        <s v="E00604"/>
        <s v="E00605"/>
        <s v="E00606"/>
        <s v="E00607"/>
        <s v="E00608"/>
        <s v="E00609"/>
        <s v="E00610"/>
        <s v="E00611"/>
        <s v="E00612"/>
        <s v="E00613"/>
        <s v="E00614"/>
        <s v="E00615"/>
        <s v="E00616"/>
        <s v="E00617"/>
        <s v="E00618"/>
        <s v="E00619"/>
        <s v="E00620"/>
        <s v="E00621"/>
        <s v="E00622"/>
        <s v="E00623"/>
        <s v="E00624"/>
        <s v="E00625"/>
        <s v="E00626"/>
        <s v="E00627"/>
        <s v="E00628"/>
        <s v="E00629"/>
        <s v="E00630"/>
        <s v="E00631"/>
        <s v="E00632"/>
        <s v="E00633"/>
        <s v="E00634"/>
        <s v="E00635"/>
        <s v="E00636"/>
        <s v="E00637"/>
        <s v="E00638"/>
        <s v="E00639"/>
        <s v="E00640"/>
        <s v="E00641"/>
        <s v="E00642"/>
        <s v="E00643"/>
        <s v="E00644"/>
        <s v="E00645"/>
        <s v="E00646"/>
        <s v="E00647"/>
        <s v="E00648"/>
        <s v="E00649"/>
        <s v="E00650"/>
        <s v="E00651"/>
        <s v="E00652"/>
        <s v="E00653"/>
        <s v="E00654"/>
        <s v="E00655"/>
        <s v="E00656"/>
        <s v="E00657"/>
        <s v="E00658"/>
        <s v="E00659"/>
        <s v="E00660"/>
        <s v="E00661"/>
        <s v="E00662"/>
        <s v="E00663"/>
        <s v="E00664"/>
        <s v="E00665"/>
        <s v="E00666"/>
        <s v="E00667"/>
        <s v="E00668"/>
        <s v="E00669"/>
        <s v="E00670"/>
        <s v="E00671"/>
        <s v="E00672"/>
        <s v="E00673"/>
        <s v="E00674"/>
        <s v="E00675"/>
        <s v="E00676"/>
        <s v="E00677"/>
        <s v="E00678"/>
        <s v="E00679"/>
        <s v="E00680"/>
        <s v="E00681"/>
        <s v="E00682"/>
        <s v="E00683"/>
        <s v="E00684"/>
        <s v="E00685"/>
        <s v="E00686"/>
        <s v="E00687"/>
        <s v="E00688"/>
        <s v="E00689"/>
        <s v="E00690"/>
        <s v="E00691"/>
        <s v="E00692"/>
        <s v="E00693"/>
        <s v="E00694"/>
        <s v="E00695"/>
        <s v="E00696"/>
        <s v="E00697"/>
        <s v="E00698"/>
        <s v="E00699"/>
        <s v="E00700"/>
        <s v="E00701"/>
        <s v="E00702"/>
        <s v="E00703"/>
        <s v="E00704"/>
        <s v="E00705"/>
        <s v="E00706"/>
        <s v="E00707"/>
        <s v="E00708"/>
        <s v="E00709"/>
        <s v="E00710"/>
        <s v="E00711"/>
        <s v="E00712"/>
        <s v="E00713"/>
        <s v="E00714"/>
        <s v="E00715"/>
        <s v="E00716"/>
        <s v="E00717"/>
        <s v="E00718"/>
        <s v="E00719"/>
        <s v="E00720"/>
        <s v="E00721"/>
        <s v="E00722"/>
        <s v="E00723"/>
        <s v="E00724"/>
        <s v="E00725"/>
        <s v="E00726"/>
        <s v="E00727"/>
        <s v="E00728"/>
        <s v="E00729"/>
        <s v="E00730"/>
        <s v="E00731"/>
        <s v="E00732"/>
        <s v="E00733"/>
        <s v="E00734"/>
        <s v="E00735"/>
        <s v="E00736"/>
        <s v="E00737"/>
        <s v="E00738"/>
        <s v="E00739"/>
        <s v="E00740"/>
        <s v="E00741"/>
        <s v="E00742"/>
        <s v="E00743"/>
        <s v="E00744"/>
        <s v="E00745"/>
        <s v="E00746"/>
        <s v="E00747"/>
        <s v="E00748"/>
        <s v="E00749"/>
        <s v="E00750"/>
        <s v="E00751"/>
        <s v="E00752"/>
        <s v="E00753"/>
        <s v="E00754"/>
        <s v="E00755"/>
        <s v="E00756"/>
        <s v="E00757"/>
        <s v="E00758"/>
        <s v="E00759"/>
        <s v="E00760"/>
        <s v="E00761"/>
        <s v="E00762"/>
        <s v="E00763"/>
        <s v="E00764"/>
        <s v="E00765"/>
        <s v="E00766"/>
        <s v="E00767"/>
        <s v="E00768"/>
        <s v="E00769"/>
        <s v="E00770"/>
        <s v="E00771"/>
        <s v="E00772"/>
        <s v="E00773"/>
        <s v="E00774"/>
        <s v="E00775"/>
        <s v="E00776"/>
        <s v="E00777"/>
        <s v="E00778"/>
        <s v="E00779"/>
        <s v="E00780"/>
        <s v="E00781"/>
        <s v="E00782"/>
        <s v="E00783"/>
        <s v="E00784"/>
        <s v="E00785"/>
        <s v="E00786"/>
        <s v="E00787"/>
        <s v="E00788"/>
        <s v="E00789"/>
        <s v="E00790"/>
        <s v="E00791"/>
        <s v="E00792"/>
        <s v="E00793"/>
        <s v="E00794"/>
        <s v="E00795"/>
        <s v="E00796"/>
        <s v="E00797"/>
        <s v="E00798"/>
        <s v="E00799"/>
        <s v="E00800"/>
        <s v="E00801"/>
        <s v="E00802"/>
        <s v="E00803"/>
        <s v="E00804"/>
        <s v="E00805"/>
        <s v="E00806"/>
        <s v="E00807"/>
        <s v="E00808"/>
        <s v="E00809"/>
        <s v="E00810"/>
        <s v="E00811"/>
        <s v="E00812"/>
        <s v="E00813"/>
        <s v="E00814"/>
        <s v="E00815"/>
        <s v="E00816"/>
        <s v="E00817"/>
        <s v="E00818"/>
        <s v="E00819"/>
        <s v="E00820"/>
        <s v="E00821"/>
        <s v="E00822"/>
        <s v="E00823"/>
        <s v="E00824"/>
        <s v="E00825"/>
        <s v="E00826"/>
        <s v="E00827"/>
        <s v="E00828"/>
        <s v="E00829"/>
        <s v="E00830"/>
        <s v="E00831"/>
        <s v="E00832"/>
        <s v="E00833"/>
        <s v="E00834"/>
        <s v="E00835"/>
        <s v="E00836"/>
        <s v="E00837"/>
        <s v="E00838"/>
        <s v="E00839"/>
        <s v="E00840"/>
        <s v="E00841"/>
        <s v="E00842"/>
        <s v="E00843"/>
        <s v="E00844"/>
        <s v="E00845"/>
        <s v="E00846"/>
        <s v="E00847"/>
        <s v="E00848"/>
        <s v="E00849"/>
        <s v="E00850"/>
        <s v="E00851"/>
        <s v="E00852"/>
        <s v="E00853"/>
        <s v="E00854"/>
        <s v="E00855"/>
        <s v="E00856"/>
        <s v="E00857"/>
        <s v="E00858"/>
        <s v="E00859"/>
        <s v="E00860"/>
        <s v="E00861"/>
        <s v="E00862"/>
        <s v="E00863"/>
        <s v="E00864"/>
        <s v="E00865"/>
        <s v="E00866"/>
        <s v="E00867"/>
        <s v="E00868"/>
        <s v="E00869"/>
        <s v="E00870"/>
        <s v="E00871"/>
        <s v="E00872"/>
        <s v="E00873"/>
        <s v="E00874"/>
        <s v="E00875"/>
        <s v="E00876"/>
        <s v="E00877"/>
        <s v="E00878"/>
        <s v="E00879"/>
        <s v="E00880"/>
        <s v="E00881"/>
        <s v="E00882"/>
        <s v="E00883"/>
        <s v="E00884"/>
        <s v="E00885"/>
        <s v="E00886"/>
        <s v="E00887"/>
        <s v="E00888"/>
        <s v="E00889"/>
        <s v="E00890"/>
        <s v="E00891"/>
        <s v="E00892"/>
        <s v="E00893"/>
        <s v="E00894"/>
        <s v="E00895"/>
        <s v="E00896"/>
        <s v="E00897"/>
        <s v="E00898"/>
        <s v="E00899"/>
        <s v="E00900"/>
        <s v="E00901"/>
        <s v="E00902"/>
        <s v="E00903"/>
        <s v="E00904"/>
        <s v="E00905"/>
        <s v="E00906"/>
        <s v="E00907"/>
        <s v="E00908"/>
        <s v="E00909"/>
        <s v="E00910"/>
        <s v="E00911"/>
        <s v="E00912"/>
        <s v="E00913"/>
        <s v="E00914"/>
        <s v="E00915"/>
        <s v="E00916"/>
        <s v="E00917"/>
        <s v="E00918"/>
        <s v="E00919"/>
        <s v="E00920"/>
        <s v="E00921"/>
        <s v="E00922"/>
        <s v="E00923"/>
        <s v="E00924"/>
        <s v="E00925"/>
        <s v="E00926"/>
        <s v="E00927"/>
        <s v="E00928"/>
        <s v="E00929"/>
        <s v="E00930"/>
        <s v="E00931"/>
        <s v="E00932"/>
        <s v="E00933"/>
        <s v="E00934"/>
        <s v="E00935"/>
        <s v="E00936"/>
        <s v="E00937"/>
        <s v="E00938"/>
        <s v="E00939"/>
        <s v="E00940"/>
        <s v="E00941"/>
        <s v="E00942"/>
        <s v="E00943"/>
        <s v="E00944"/>
        <s v="E00945"/>
        <s v="E00946"/>
        <s v="E00947"/>
        <s v="E00948"/>
        <s v="E00949"/>
        <s v="E00950"/>
        <s v="E00951"/>
        <s v="E00952"/>
        <s v="E00953"/>
        <s v="E00954"/>
        <s v="E00955"/>
        <s v="E00956"/>
        <s v="E00957"/>
        <s v="E00958"/>
        <s v="E00959"/>
        <s v="E00960"/>
        <s v="E00961"/>
        <s v="E00962"/>
        <s v="E00963"/>
        <s v="E00964"/>
        <s v="E00965"/>
        <s v="E00966"/>
        <s v="E00967"/>
        <s v="E00968"/>
        <s v="E00969"/>
        <s v="E00970"/>
        <s v="E00971"/>
        <s v="E00972"/>
        <s v="E00973"/>
        <s v="E00974"/>
        <s v="E00975"/>
        <s v="E00976"/>
        <s v="E00977"/>
        <s v="E00978"/>
        <s v="E00979"/>
        <s v="E00980"/>
        <s v="E00981"/>
        <s v="E00982"/>
        <s v="E00983"/>
        <s v="E00984"/>
        <s v="E00985"/>
        <s v="E00986"/>
        <s v="E00987"/>
        <s v="E00988"/>
        <s v="E00989"/>
        <s v="E00990"/>
        <s v="E00991"/>
        <s v="E00992"/>
        <s v="E00993"/>
        <s v="E00994"/>
        <s v="E00995"/>
        <s v="E00996"/>
        <s v="E00997"/>
        <s v="E00998"/>
        <s v="E00999"/>
        <s v="E01000"/>
        <m/>
      </sharedItems>
    </cacheField>
    <cacheField name="First_Name" numFmtId="0">
      <sharedItems containsBlank="1"/>
    </cacheField>
    <cacheField name="Last_Name" numFmtId="0">
      <sharedItems containsBlank="1"/>
    </cacheField>
    <cacheField name="Gender" numFmtId="0">
      <sharedItems containsBlank="1" count="3">
        <s v="Male"/>
        <s v="Female"/>
        <m/>
      </sharedItems>
    </cacheField>
    <cacheField name="Age" numFmtId="0">
      <sharedItems containsString="0" containsBlank="1" containsNumber="1" containsInteger="1" minValue="21" maxValue="60"/>
    </cacheField>
    <cacheField name="Department" numFmtId="0">
      <sharedItems containsBlank="1" count="7">
        <s v="Operations"/>
        <s v="Sales"/>
        <s v="HR"/>
        <s v="Marketing"/>
        <s v="IT"/>
        <s v="Finance"/>
        <m/>
      </sharedItems>
    </cacheField>
    <cacheField name="Job_Title" numFmtId="0">
      <sharedItems containsBlank="1" count="12">
        <s v="Coordinator"/>
        <s v="Sales Rep"/>
        <s v="Manager"/>
        <s v="HRBP"/>
        <s v="Sales Manager"/>
        <s v="HR Manager"/>
        <s v="Analyst"/>
        <s v="Recruiter"/>
        <s v="Accountant"/>
        <s v="Engineer"/>
        <s v="Specialist"/>
        <m/>
      </sharedItems>
    </cacheField>
    <cacheField name="Location" numFmtId="0">
      <sharedItems containsBlank="1" count="6">
        <s v="Bangalore"/>
        <s v="London"/>
        <s v="Singapore"/>
        <s v="New York"/>
        <s v="Dubai"/>
        <m/>
      </sharedItems>
    </cacheField>
    <cacheField name="Business_Unit" numFmtId="0">
      <sharedItems containsBlank="1" count="4">
        <s v="Enterprise"/>
        <s v="Consumer"/>
        <s v="Corporate"/>
        <m/>
      </sharedItems>
    </cacheField>
    <cacheField name="Employment_Type" numFmtId="0">
      <sharedItems containsBlank="1" count="3">
        <s v="Contract"/>
        <s v="Full-Time"/>
        <m/>
      </sharedItems>
    </cacheField>
    <cacheField name="Hire_Date" numFmtId="0">
      <sharedItems containsBlank="1"/>
    </cacheField>
    <cacheField name="Termination_Date" numFmtId="0">
      <sharedItems containsBlank="1"/>
    </cacheField>
    <cacheField name="Employment_Status" numFmtId="0">
      <sharedItems containsBlank="1" count="3">
        <s v="Active"/>
        <s v="Terminated"/>
        <m/>
      </sharedItems>
    </cacheField>
    <cacheField name="Manager" numFmtId="0">
      <sharedItems containsBlank="1" count="81">
        <s v="M16"/>
        <s v="M19"/>
        <s v="M34"/>
        <s v="M40"/>
        <s v="M24"/>
        <s v="M42"/>
        <s v="M53"/>
        <s v="M43"/>
        <s v="M73"/>
        <s v="M11"/>
        <s v="M77"/>
        <s v="M74"/>
        <s v="M22"/>
        <s v="M56"/>
        <s v="M30"/>
        <s v="M6"/>
        <s v="M75"/>
        <s v="M63"/>
        <s v="M7"/>
        <s v="M28"/>
        <s v="M10"/>
        <s v="M68"/>
        <s v="M15"/>
        <s v="M66"/>
        <s v="M45"/>
        <s v="M32"/>
        <s v="M70"/>
        <s v="M79"/>
        <s v="M18"/>
        <s v="M50"/>
        <s v="M21"/>
        <s v="M48"/>
        <s v="M38"/>
        <s v="M61"/>
        <s v="M72"/>
        <s v="M4"/>
        <s v="M39"/>
        <s v="M78"/>
        <s v="M35"/>
        <s v="M59"/>
        <s v="M14"/>
        <s v="M23"/>
        <s v="M65"/>
        <s v="M62"/>
        <s v="M51"/>
        <s v="M67"/>
        <s v="M8"/>
        <s v="M54"/>
        <s v="M9"/>
        <s v="M31"/>
        <s v="M20"/>
        <s v="M2"/>
        <s v="M26"/>
        <s v="M80"/>
        <s v="M44"/>
        <s v="M57"/>
        <s v="M5"/>
        <s v="M52"/>
        <s v="M69"/>
        <s v="M71"/>
        <s v="M58"/>
        <s v="M60"/>
        <s v="M12"/>
        <s v="M25"/>
        <s v="M64"/>
        <s v="M29"/>
        <s v="M27"/>
        <s v="M13"/>
        <s v="M36"/>
        <s v="M33"/>
        <s v="M47"/>
        <s v="M37"/>
        <s v="M49"/>
        <s v="M76"/>
        <s v="M41"/>
        <s v="M1"/>
        <s v="M17"/>
        <s v="M46"/>
        <s v="M55"/>
        <s v="M3"/>
        <m/>
      </sharedItems>
    </cacheField>
    <cacheField name="Education" numFmtId="0">
      <sharedItems containsBlank="1" count="4">
        <s v="MBA"/>
        <s v="Master"/>
        <s v="Bachelor"/>
        <m/>
      </sharedItems>
    </cacheField>
    <cacheField name="Experience_Years" numFmtId="0">
      <sharedItems containsString="0" containsBlank="1" containsNumber="1" containsInteger="1" minValue="0" maxValue="35" count="37">
        <n v="21"/>
        <n v="9"/>
        <n v="31"/>
        <n v="8"/>
        <n v="27"/>
        <n v="6"/>
        <n v="19"/>
        <n v="23"/>
        <n v="14"/>
        <n v="7"/>
        <n v="10"/>
        <n v="33"/>
        <n v="18"/>
        <n v="16"/>
        <n v="29"/>
        <n v="5"/>
        <n v="34"/>
        <n v="3"/>
        <n v="32"/>
        <n v="26"/>
        <n v="12"/>
        <n v="35"/>
        <n v="25"/>
        <n v="22"/>
        <n v="4"/>
        <n v="20"/>
        <n v="15"/>
        <n v="28"/>
        <n v="13"/>
        <n v="24"/>
        <n v="1"/>
        <n v="0"/>
        <n v="2"/>
        <n v="30"/>
        <n v="11"/>
        <n v="17"/>
        <m/>
      </sharedItems>
    </cacheField>
    <cacheField name="Salary_USD" numFmtId="0">
      <sharedItems containsString="0" containsBlank="1" containsNumber="1" containsInteger="1" minValue="40111" maxValue="179815" count="1001">
        <n v="118808"/>
        <n v="71860"/>
        <n v="63154"/>
        <n v="80425"/>
        <n v="174254"/>
        <n v="149920"/>
        <n v="163556"/>
        <n v="164177"/>
        <n v="95051"/>
        <n v="80971"/>
        <n v="79334"/>
        <n v="54114"/>
        <n v="96554"/>
        <n v="49646"/>
        <n v="108457"/>
        <n v="155394"/>
        <n v="150830"/>
        <n v="111389"/>
        <n v="88194"/>
        <n v="144840"/>
        <n v="101298"/>
        <n v="111643"/>
        <n v="112822"/>
        <n v="71920"/>
        <n v="61594"/>
        <n v="136872"/>
        <n v="76726"/>
        <n v="156168"/>
        <n v="144008"/>
        <n v="159451"/>
        <n v="148132"/>
        <n v="42731"/>
        <n v="113173"/>
        <n v="46855"/>
        <n v="170354"/>
        <n v="145892"/>
        <n v="40519"/>
        <n v="59440"/>
        <n v="88461"/>
        <n v="119960"/>
        <n v="135035"/>
        <n v="164139"/>
        <n v="88969"/>
        <n v="99375"/>
        <n v="144089"/>
        <n v="113866"/>
        <n v="126342"/>
        <n v="95522"/>
        <n v="107006"/>
        <n v="123085"/>
        <n v="171028"/>
        <n v="161466"/>
        <n v="54929"/>
        <n v="70254"/>
        <n v="116475"/>
        <n v="177432"/>
        <n v="73694"/>
        <n v="57389"/>
        <n v="110936"/>
        <n v="139611"/>
        <n v="88165"/>
        <n v="48396"/>
        <n v="170987"/>
        <n v="101299"/>
        <n v="157430"/>
        <n v="161388"/>
        <n v="44561"/>
        <n v="140278"/>
        <n v="177172"/>
        <n v="56718"/>
        <n v="115806"/>
        <n v="102691"/>
        <n v="48974"/>
        <n v="109663"/>
        <n v="161777"/>
        <n v="152209"/>
        <n v="57581"/>
        <n v="162624"/>
        <n v="126221"/>
        <n v="171312"/>
        <n v="171614"/>
        <n v="174282"/>
        <n v="156283"/>
        <n v="41132"/>
        <n v="110653"/>
        <n v="170246"/>
        <n v="144520"/>
        <n v="144245"/>
        <n v="127332"/>
        <n v="125933"/>
        <n v="164358"/>
        <n v="133887"/>
        <n v="66584"/>
        <n v="173489"/>
        <n v="44291"/>
        <n v="73719"/>
        <n v="125540"/>
        <n v="178436"/>
        <n v="96100"/>
        <n v="136378"/>
        <n v="160325"/>
        <n v="118755"/>
        <n v="88874"/>
        <n v="141002"/>
        <n v="137945"/>
        <n v="69256"/>
        <n v="158184"/>
        <n v="159638"/>
        <n v="144926"/>
        <n v="142375"/>
        <n v="179815"/>
        <n v="76035"/>
        <n v="143702"/>
        <n v="46605"/>
        <n v="161706"/>
        <n v="169548"/>
        <n v="74764"/>
        <n v="63641"/>
        <n v="103753"/>
        <n v="157090"/>
        <n v="167906"/>
        <n v="55632"/>
        <n v="135861"/>
        <n v="68947"/>
        <n v="157284"/>
        <n v="147597"/>
        <n v="174509"/>
        <n v="67682"/>
        <n v="72769"/>
        <n v="45473"/>
        <n v="172429"/>
        <n v="139781"/>
        <n v="175624"/>
        <n v="81130"/>
        <n v="140016"/>
        <n v="86340"/>
        <n v="179587"/>
        <n v="155935"/>
        <n v="122196"/>
        <n v="165294"/>
        <n v="124241"/>
        <n v="42712"/>
        <n v="70152"/>
        <n v="93020"/>
        <n v="102076"/>
        <n v="85801"/>
        <n v="141763"/>
        <n v="42856"/>
        <n v="128867"/>
        <n v="176447"/>
        <n v="170640"/>
        <n v="90972"/>
        <n v="157468"/>
        <n v="167829"/>
        <n v="50487"/>
        <n v="80860"/>
        <n v="100225"/>
        <n v="153378"/>
        <n v="173568"/>
        <n v="55086"/>
        <n v="71916"/>
        <n v="73033"/>
        <n v="159491"/>
        <n v="110770"/>
        <n v="50498"/>
        <n v="163841"/>
        <n v="167715"/>
        <n v="40111"/>
        <n v="149298"/>
        <n v="128673"/>
        <n v="115583"/>
        <n v="108291"/>
        <n v="82214"/>
        <n v="40710"/>
        <n v="71295"/>
        <n v="149239"/>
        <n v="116544"/>
        <n v="51296"/>
        <n v="162069"/>
        <n v="81369"/>
        <n v="164608"/>
        <n v="150931"/>
        <n v="62777"/>
        <n v="60017"/>
        <n v="133249"/>
        <n v="77629"/>
        <n v="93652"/>
        <n v="65729"/>
        <n v="125175"/>
        <n v="148472"/>
        <n v="149763"/>
        <n v="75582"/>
        <n v="118745"/>
        <n v="149333"/>
        <n v="110672"/>
        <n v="114078"/>
        <n v="157592"/>
        <n v="58420"/>
        <n v="151540"/>
        <n v="62582"/>
        <n v="125660"/>
        <n v="99749"/>
        <n v="60980"/>
        <n v="53406"/>
        <n v="86579"/>
        <n v="134439"/>
        <n v="60396"/>
        <n v="125031"/>
        <n v="147519"/>
        <n v="66765"/>
        <n v="58566"/>
        <n v="163757"/>
        <n v="122735"/>
        <n v="120817"/>
        <n v="157230"/>
        <n v="162943"/>
        <n v="74412"/>
        <n v="101731"/>
        <n v="169182"/>
        <n v="78657"/>
        <n v="164907"/>
        <n v="69781"/>
        <n v="85260"/>
        <n v="172210"/>
        <n v="68445"/>
        <n v="91232"/>
        <n v="175877"/>
        <n v="57233"/>
        <n v="80370"/>
        <n v="91219"/>
        <n v="54370"/>
        <n v="45108"/>
        <n v="131034"/>
        <n v="164668"/>
        <n v="93998"/>
        <n v="62583"/>
        <n v="179096"/>
        <n v="154250"/>
        <n v="134023"/>
        <n v="67586"/>
        <n v="122666"/>
        <n v="113109"/>
        <n v="123801"/>
        <n v="95672"/>
        <n v="61891"/>
        <n v="72304"/>
        <n v="109397"/>
        <n v="91610"/>
        <n v="132083"/>
        <n v="43748"/>
        <n v="151821"/>
        <n v="76755"/>
        <n v="49767"/>
        <n v="147669"/>
        <n v="89159"/>
        <n v="108733"/>
        <n v="116946"/>
        <n v="155274"/>
        <n v="78914"/>
        <n v="73810"/>
        <n v="142861"/>
        <n v="78688"/>
        <n v="149002"/>
        <n v="97695"/>
        <n v="60390"/>
        <n v="88847"/>
        <n v="170455"/>
        <n v="165628"/>
        <n v="85343"/>
        <n v="96442"/>
        <n v="60106"/>
        <n v="81952"/>
        <n v="111793"/>
        <n v="44565"/>
        <n v="108181"/>
        <n v="113547"/>
        <n v="119822"/>
        <n v="132631"/>
        <n v="89667"/>
        <n v="113735"/>
        <n v="156791"/>
        <n v="144243"/>
        <n v="78250"/>
        <n v="80588"/>
        <n v="103050"/>
        <n v="71424"/>
        <n v="136748"/>
        <n v="126338"/>
        <n v="136435"/>
        <n v="48188"/>
        <n v="158981"/>
        <n v="54241"/>
        <n v="136356"/>
        <n v="73550"/>
        <n v="56524"/>
        <n v="100296"/>
        <n v="148053"/>
        <n v="66281"/>
        <n v="123572"/>
        <n v="118367"/>
        <n v="160986"/>
        <n v="117860"/>
        <n v="53992"/>
        <n v="40949"/>
        <n v="99807"/>
        <n v="99220"/>
        <n v="87118"/>
        <n v="67556"/>
        <n v="118109"/>
        <n v="113028"/>
        <n v="146368"/>
        <n v="174678"/>
        <n v="103080"/>
        <n v="137011"/>
        <n v="147924"/>
        <n v="51244"/>
        <n v="50648"/>
        <n v="49152"/>
        <n v="94783"/>
        <n v="119494"/>
        <n v="172912"/>
        <n v="148685"/>
        <n v="102856"/>
        <n v="130421"/>
        <n v="117200"/>
        <n v="43596"/>
        <n v="147867"/>
        <n v="122063"/>
        <n v="168341"/>
        <n v="104005"/>
        <n v="170271"/>
        <n v="143292"/>
        <n v="65303"/>
        <n v="99725"/>
        <n v="77336"/>
        <n v="167169"/>
        <n v="84881"/>
        <n v="119046"/>
        <n v="43843"/>
        <n v="56394"/>
        <n v="169737"/>
        <n v="87711"/>
        <n v="106067"/>
        <n v="115680"/>
        <n v="107642"/>
        <n v="159230"/>
        <n v="138952"/>
        <n v="49218"/>
        <n v="78968"/>
        <n v="97001"/>
        <n v="46241"/>
        <n v="153894"/>
        <n v="107897"/>
        <n v="175722"/>
        <n v="40376"/>
        <n v="63443"/>
        <n v="75407"/>
        <n v="158409"/>
        <n v="129213"/>
        <n v="72362"/>
        <n v="65576"/>
        <n v="69831"/>
        <n v="91529"/>
        <n v="159017"/>
        <n v="158679"/>
        <n v="43722"/>
        <n v="148355"/>
        <n v="158387"/>
        <n v="109665"/>
        <n v="120236"/>
        <n v="134328"/>
        <n v="156375"/>
        <n v="136462"/>
        <n v="170461"/>
        <n v="42271"/>
        <n v="56261"/>
        <n v="176258"/>
        <n v="166961"/>
        <n v="122557"/>
        <n v="140576"/>
        <n v="159669"/>
        <n v="41578"/>
        <n v="73283"/>
        <n v="71120"/>
        <n v="163010"/>
        <n v="109419"/>
        <n v="166055"/>
        <n v="54840"/>
        <n v="61692"/>
        <n v="44375"/>
        <n v="44894"/>
        <n v="101538"/>
        <n v="105181"/>
        <n v="127076"/>
        <n v="83109"/>
        <n v="140461"/>
        <n v="161321"/>
        <n v="134145"/>
        <n v="136097"/>
        <n v="72196"/>
        <n v="121839"/>
        <n v="82456"/>
        <n v="44188"/>
        <n v="101318"/>
        <n v="107817"/>
        <n v="96655"/>
        <n v="71931"/>
        <n v="173162"/>
        <n v="85551"/>
        <n v="143327"/>
        <n v="101878"/>
        <n v="93413"/>
        <n v="67568"/>
        <n v="47223"/>
        <n v="88577"/>
        <n v="156880"/>
        <n v="152729"/>
        <n v="69931"/>
        <n v="41923"/>
        <n v="69222"/>
        <n v="123489"/>
        <n v="43993"/>
        <n v="91236"/>
        <n v="162808"/>
        <n v="45256"/>
        <n v="171134"/>
        <n v="117988"/>
        <n v="142024"/>
        <n v="45981"/>
        <n v="149447"/>
        <n v="54945"/>
        <n v="146369"/>
        <n v="119672"/>
        <n v="137358"/>
        <n v="102246"/>
        <n v="73502"/>
        <n v="118419"/>
        <n v="87881"/>
        <n v="56841"/>
        <n v="135340"/>
        <n v="151168"/>
        <n v="87885"/>
        <n v="110833"/>
        <n v="101304"/>
        <n v="64407"/>
        <n v="143704"/>
        <n v="172225"/>
        <n v="44407"/>
        <n v="143516"/>
        <n v="45993"/>
        <n v="119114"/>
        <n v="54616"/>
        <n v="171084"/>
        <n v="112092"/>
        <n v="58025"/>
        <n v="164901"/>
        <n v="97407"/>
        <n v="85116"/>
        <n v="119643"/>
        <n v="137809"/>
        <n v="83149"/>
        <n v="55406"/>
        <n v="139086"/>
        <n v="108110"/>
        <n v="100537"/>
        <n v="174344"/>
        <n v="48652"/>
        <n v="66053"/>
        <n v="96005"/>
        <n v="127129"/>
        <n v="142377"/>
        <n v="99464"/>
        <n v="94275"/>
        <n v="105495"/>
        <n v="177740"/>
        <n v="93145"/>
        <n v="40921"/>
        <n v="159278"/>
        <n v="120778"/>
        <n v="169811"/>
        <n v="91540"/>
        <n v="134372"/>
        <n v="73024"/>
        <n v="145375"/>
        <n v="137807"/>
        <n v="142667"/>
        <n v="145224"/>
        <n v="117195"/>
        <n v="82964"/>
        <n v="92854"/>
        <n v="90870"/>
        <n v="41054"/>
        <n v="83598"/>
        <n v="115887"/>
        <n v="154365"/>
        <n v="145986"/>
        <n v="154078"/>
        <n v="56325"/>
        <n v="95916"/>
        <n v="133507"/>
        <n v="103565"/>
        <n v="152713"/>
        <n v="68908"/>
        <n v="87107"/>
        <n v="73413"/>
        <n v="144717"/>
        <n v="42144"/>
        <n v="135948"/>
        <n v="162855"/>
        <n v="60727"/>
        <n v="135955"/>
        <n v="92277"/>
        <n v="178151"/>
        <n v="40383"/>
        <n v="92561"/>
        <n v="53980"/>
        <n v="106621"/>
        <n v="55456"/>
        <n v="119319"/>
        <n v="166016"/>
        <n v="91821"/>
        <n v="103196"/>
        <n v="69068"/>
        <n v="158218"/>
        <n v="171219"/>
        <n v="66660"/>
        <n v="91062"/>
        <n v="127428"/>
        <n v="40241"/>
        <n v="56755"/>
        <n v="54833"/>
        <n v="84296"/>
        <n v="179799"/>
        <n v="96464"/>
        <n v="59543"/>
        <n v="56598"/>
        <n v="71710"/>
        <n v="93103"/>
        <n v="158036"/>
        <n v="69166"/>
        <n v="79443"/>
        <n v="107300"/>
        <n v="126095"/>
        <n v="78801"/>
        <n v="68014"/>
        <n v="171021"/>
        <n v="123187"/>
        <n v="117075"/>
        <n v="137909"/>
        <n v="166051"/>
        <n v="171124"/>
        <n v="83935"/>
        <n v="163701"/>
        <n v="40915"/>
        <n v="57770"/>
        <n v="158249"/>
        <n v="139057"/>
        <n v="65334"/>
        <n v="155966"/>
        <n v="166166"/>
        <n v="125364"/>
        <n v="126812"/>
        <n v="116774"/>
        <n v="158087"/>
        <n v="103999"/>
        <n v="159040"/>
        <n v="82276"/>
        <n v="59831"/>
        <n v="149294"/>
        <n v="61671"/>
        <n v="93893"/>
        <n v="165543"/>
        <n v="135286"/>
        <n v="80183"/>
        <n v="71934"/>
        <n v="107779"/>
        <n v="104964"/>
        <n v="108235"/>
        <n v="157988"/>
        <n v="111044"/>
        <n v="157903"/>
        <n v="87203"/>
        <n v="144097"/>
        <n v="145389"/>
        <n v="96582"/>
        <n v="137935"/>
        <n v="150684"/>
        <n v="50401"/>
        <n v="71629"/>
        <n v="89282"/>
        <n v="164220"/>
        <n v="51503"/>
        <n v="123117"/>
        <n v="116857"/>
        <n v="110330"/>
        <n v="126191"/>
        <n v="156141"/>
        <n v="141762"/>
        <n v="161040"/>
        <n v="173748"/>
        <n v="52143"/>
        <n v="77045"/>
        <n v="120696"/>
        <n v="174923"/>
        <n v="56185"/>
        <n v="131102"/>
        <n v="143649"/>
        <n v="102252"/>
        <n v="86473"/>
        <n v="93477"/>
        <n v="123184"/>
        <n v="153360"/>
        <n v="49644"/>
        <n v="71514"/>
        <n v="171586"/>
        <n v="87489"/>
        <n v="70853"/>
        <n v="98521"/>
        <n v="114961"/>
        <n v="118096"/>
        <n v="71752"/>
        <n v="151773"/>
        <n v="129504"/>
        <n v="161227"/>
        <n v="86630"/>
        <n v="169870"/>
        <n v="135745"/>
        <n v="141332"/>
        <n v="167229"/>
        <n v="132182"/>
        <n v="140179"/>
        <n v="140843"/>
        <n v="107651"/>
        <n v="166982"/>
        <n v="61490"/>
        <n v="94643"/>
        <n v="156396"/>
        <n v="56738"/>
        <n v="144767"/>
        <n v="139570"/>
        <n v="68742"/>
        <n v="142859"/>
        <n v="49408"/>
        <n v="151555"/>
        <n v="146136"/>
        <n v="126831"/>
        <n v="175468"/>
        <n v="112889"/>
        <n v="45602"/>
        <n v="64165"/>
        <n v="90681"/>
        <n v="129943"/>
        <n v="141304"/>
        <n v="178671"/>
        <n v="148055"/>
        <n v="125265"/>
        <n v="55747"/>
        <n v="79695"/>
        <n v="118280"/>
        <n v="178047"/>
        <n v="160739"/>
        <n v="132615"/>
        <n v="100429"/>
        <n v="169320"/>
        <n v="148866"/>
        <n v="106180"/>
        <n v="103387"/>
        <n v="70062"/>
        <n v="61332"/>
        <n v="62233"/>
        <n v="136930"/>
        <n v="122986"/>
        <n v="77495"/>
        <n v="47150"/>
        <n v="44819"/>
        <n v="123668"/>
        <n v="44496"/>
        <n v="179353"/>
        <n v="116216"/>
        <n v="69001"/>
        <n v="58058"/>
        <n v="52739"/>
        <n v="89929"/>
        <n v="40601"/>
        <n v="162884"/>
        <n v="157504"/>
        <n v="51515"/>
        <n v="83238"/>
        <n v="156657"/>
        <n v="176269"/>
        <n v="177346"/>
        <n v="100769"/>
        <n v="161745"/>
        <n v="135846"/>
        <n v="108680"/>
        <n v="88116"/>
        <n v="144770"/>
        <n v="150960"/>
        <n v="161729"/>
        <n v="78833"/>
        <n v="50053"/>
        <n v="148825"/>
        <n v="149614"/>
        <n v="159952"/>
        <n v="142779"/>
        <n v="98284"/>
        <n v="90335"/>
        <n v="149761"/>
        <n v="142447"/>
        <n v="45684"/>
        <n v="88691"/>
        <n v="77521"/>
        <n v="75321"/>
        <n v="120749"/>
        <n v="155273"/>
        <n v="77623"/>
        <n v="100046"/>
        <n v="140740"/>
        <n v="173174"/>
        <n v="151903"/>
        <n v="61348"/>
        <n v="136711"/>
        <n v="161237"/>
        <n v="52107"/>
        <n v="60145"/>
        <n v="166616"/>
        <n v="67028"/>
        <n v="67909"/>
        <n v="142877"/>
        <n v="41708"/>
        <n v="108792"/>
        <n v="71122"/>
        <n v="170513"/>
        <n v="175093"/>
        <n v="164938"/>
        <n v="73021"/>
        <n v="65566"/>
        <n v="154951"/>
        <n v="135380"/>
        <n v="150661"/>
        <n v="103355"/>
        <n v="81983"/>
        <n v="179770"/>
        <n v="143002"/>
        <n v="85211"/>
        <n v="82045"/>
        <n v="173297"/>
        <n v="48142"/>
        <n v="87953"/>
        <n v="64204"/>
        <n v="137038"/>
        <n v="155614"/>
        <n v="59916"/>
        <n v="85026"/>
        <n v="51195"/>
        <n v="62615"/>
        <n v="125111"/>
        <n v="74544"/>
        <n v="122893"/>
        <n v="177053"/>
        <n v="105098"/>
        <n v="47710"/>
        <n v="128334"/>
        <n v="145980"/>
        <n v="61036"/>
        <n v="97193"/>
        <n v="152696"/>
        <n v="125497"/>
        <n v="138941"/>
        <n v="142207"/>
        <n v="41271"/>
        <n v="133442"/>
        <n v="77145"/>
        <n v="126749"/>
        <n v="52808"/>
        <n v="62211"/>
        <n v="118169"/>
        <n v="104501"/>
        <n v="52276"/>
        <n v="99546"/>
        <n v="47725"/>
        <n v="101402"/>
        <n v="112633"/>
        <n v="179307"/>
        <n v="83722"/>
        <n v="62770"/>
        <n v="85802"/>
        <n v="129998"/>
        <n v="81838"/>
        <n v="62567"/>
        <n v="85294"/>
        <n v="169851"/>
        <n v="144661"/>
        <n v="65128"/>
        <n v="116026"/>
        <n v="52850"/>
        <n v="63425"/>
        <n v="52406"/>
        <n v="157527"/>
        <n v="98085"/>
        <n v="43074"/>
        <n v="109223"/>
        <n v="54394"/>
        <n v="78717"/>
        <n v="131422"/>
        <n v="138239"/>
        <n v="139578"/>
        <n v="65669"/>
        <n v="108206"/>
        <n v="157762"/>
        <n v="158698"/>
        <n v="114812"/>
        <n v="52087"/>
        <n v="58217"/>
        <n v="67076"/>
        <n v="175955"/>
        <n v="94693"/>
        <n v="50602"/>
        <n v="127444"/>
        <n v="158930"/>
        <n v="114895"/>
        <n v="124658"/>
        <n v="74191"/>
        <n v="73359"/>
        <n v="63959"/>
        <n v="89802"/>
        <n v="97892"/>
        <n v="80062"/>
        <n v="172064"/>
        <n v="151736"/>
        <n v="54444"/>
        <n v="100835"/>
        <n v="102215"/>
        <n v="86541"/>
        <n v="123948"/>
        <n v="136610"/>
        <n v="76689"/>
        <n v="109972"/>
        <n v="144156"/>
        <n v="118333"/>
        <n v="103604"/>
        <n v="139464"/>
        <n v="44315"/>
        <n v="148592"/>
        <n v="151878"/>
        <n v="70439"/>
        <n v="110666"/>
        <n v="78733"/>
        <n v="147771"/>
        <n v="46438"/>
        <n v="76837"/>
        <n v="85282"/>
        <n v="177783"/>
        <n v="98581"/>
        <n v="139776"/>
        <n v="103292"/>
        <n v="115411"/>
        <n v="161997"/>
        <n v="113285"/>
        <n v="92286"/>
        <n v="46154"/>
        <n v="115058"/>
        <n v="74662"/>
        <n v="47333"/>
        <n v="70694"/>
        <n v="82684"/>
        <n v="154703"/>
        <n v="148916"/>
        <n v="124001"/>
        <n v="85003"/>
        <n v="101576"/>
        <n v="61587"/>
        <n v="136123"/>
        <n v="94949"/>
        <n v="113605"/>
        <n v="60918"/>
        <n v="102380"/>
        <n v="152890"/>
        <n v="177475"/>
        <n v="49337"/>
        <n v="150005"/>
        <n v="166191"/>
        <n v="160701"/>
        <n v="98703"/>
        <n v="97318"/>
        <n v="70347"/>
        <n v="135160"/>
        <n v="130318"/>
        <n v="103475"/>
        <n v="156317"/>
        <n v="166548"/>
        <n v="82024"/>
        <n v="97214"/>
        <n v="70766"/>
        <n v="89467"/>
        <n v="40552"/>
        <n v="41358"/>
        <n v="141802"/>
        <n v="79663"/>
        <n v="77281"/>
        <n v="47708"/>
        <n v="42167"/>
        <n v="91974"/>
        <n v="50167"/>
        <n v="114639"/>
        <n v="122560"/>
        <n v="48193"/>
        <n v="152146"/>
        <n v="109282"/>
        <n v="126281"/>
        <n v="89560"/>
        <n v="163048"/>
        <n v="88907"/>
        <n v="149895"/>
        <n v="44288"/>
        <n v="149898"/>
        <n v="179586"/>
        <n v="161936"/>
        <n v="173022"/>
        <n v="77097"/>
        <n v="151052"/>
        <n v="108320"/>
        <n v="116278"/>
        <n v="172497"/>
        <n v="88487"/>
        <n v="173698"/>
        <n v="128826"/>
        <n v="159782"/>
        <n v="119022"/>
        <n v="148158"/>
        <n v="150964"/>
        <n v="72183"/>
        <n v="143026"/>
        <n v="64295"/>
        <n v="78897"/>
        <n v="49459"/>
        <n v="83351"/>
        <n v="103564"/>
        <n v="134834"/>
        <n v="92875"/>
        <n v="85607"/>
        <n v="144636"/>
        <n v="155014"/>
        <n v="154638"/>
        <n v="129886"/>
        <n v="114698"/>
        <n v="169542"/>
        <n v="171165"/>
        <n v="94840"/>
        <n v="157484"/>
        <n v="162036"/>
        <n v="110626"/>
        <n v="174302"/>
        <n v="103007"/>
        <n v="74874"/>
        <n v="167381"/>
        <n v="144461"/>
        <n v="55771"/>
        <n v="61059"/>
        <n v="49163"/>
        <n v="119769"/>
        <n v="41206"/>
        <n v="110298"/>
        <n v="132884"/>
        <n v="53763"/>
        <n v="174689"/>
        <n v="171919"/>
        <n v="134971"/>
        <n v="83476"/>
        <n v="172856"/>
        <n v="81230"/>
        <n v="164820"/>
        <n v="147621"/>
        <n v="62606"/>
        <n v="80959"/>
        <n v="120091"/>
        <n v="168742"/>
        <n v="99663"/>
        <n v="81000"/>
        <n v="173625"/>
        <n v="168269"/>
        <n v="125759"/>
        <n v="42826"/>
        <n v="159921"/>
        <n v="105130"/>
        <n v="144281"/>
        <n v="57511"/>
        <n v="74548"/>
        <n v="148118"/>
        <n v="100010"/>
        <n v="52244"/>
        <n v="111712"/>
        <n v="118874"/>
        <n v="150755"/>
        <n v="92911"/>
        <n v="167966"/>
        <n v="53809"/>
        <n v="144558"/>
        <n v="88364"/>
        <n v="102102"/>
        <m/>
      </sharedItems>
    </cacheField>
    <cacheField name="Bonus_%" numFmtId="0">
      <sharedItems containsString="0" containsBlank="1" containsNumber="1" containsInteger="1" minValue="5" maxValue="25"/>
    </cacheField>
    <cacheField name="Performance_Rating" numFmtId="0">
      <sharedItems containsString="0" containsBlank="1" containsNumber="1" minValue="2.5" maxValue="5" count="27">
        <n v="3.9"/>
        <n v="3.1"/>
        <n v="3.8"/>
        <n v="4.8"/>
        <n v="2.9"/>
        <n v="4.9000000000000004"/>
        <n v="3.4"/>
        <n v="3"/>
        <n v="3.2"/>
        <n v="3.7"/>
        <n v="4.3"/>
        <n v="4.5999999999999996"/>
        <n v="2.8"/>
        <n v="5"/>
        <n v="4.0999999999999996"/>
        <n v="4.2"/>
        <n v="3.6"/>
        <n v="4.4000000000000004"/>
        <n v="4.5"/>
        <n v="3.3"/>
        <n v="2.7"/>
        <n v="4.7"/>
        <n v="3.5"/>
        <n v="4"/>
        <n v="2.5"/>
        <n v="2.6"/>
        <m/>
      </sharedItems>
    </cacheField>
    <cacheField name="Engagement_Score" numFmtId="0">
      <sharedItems containsString="0" containsBlank="1" containsNumber="1" containsInteger="1" minValue="50" maxValue="100"/>
    </cacheField>
    <cacheField name="Absences" numFmtId="0">
      <sharedItems containsString="0" containsBlank="1" containsNumber="1" containsInteger="1" minValue="0" maxValue="20"/>
    </cacheField>
    <cacheField name="Overtime_Hours" numFmtId="0">
      <sharedItems containsString="0" containsBlank="1" containsNumber="1" containsInteger="1" minValue="0" maxValue="60"/>
    </cacheField>
    <cacheField name="Training_Hours" numFmtId="0">
      <sharedItems containsString="0" containsBlank="1" containsNumber="1" containsInteger="1" minValue="0" maxValue="80"/>
    </cacheField>
    <cacheField name="Promotion_Eligible" numFmtId="0">
      <sharedItems containsBlank="1" count="3">
        <s v="Yes"/>
        <s v="No"/>
        <m/>
      </sharedItems>
    </cacheField>
    <cacheField name="Attrition_Risk" numFmtId="0">
      <sharedItems containsBlank="1" count="4">
        <s v="High"/>
        <s v="Medium"/>
        <s v="Low"/>
        <m/>
      </sharedItems>
    </cacheField>
    <cacheField name="Tenure_Years" numFmtId="0">
      <sharedItems containsString="0" containsBlank="1" containsNumber="1" minValue="0.2" maxValue="10.6"/>
    </cacheField>
  </cacheFields>
  <extLst>
    <ext xmlns:x14="http://schemas.microsoft.com/office/spreadsheetml/2009/9/main" uri="{725AE2AE-9491-48be-B2B4-4EB974FC3084}">
      <x14:pivotCacheDefinition pivotCacheId="190435107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09.803230671299" createdVersion="8" refreshedVersion="8" minRefreshableVersion="3" recordCount="1000" xr:uid="{DDF797EE-6DDF-4961-8F00-29F9A2C65493}">
  <cacheSource type="worksheet">
    <worksheetSource name="Table1"/>
  </cacheSource>
  <cacheFields count="26">
    <cacheField name="Employee_ID" numFmtId="0">
      <sharedItems/>
    </cacheField>
    <cacheField name="First_Name" numFmtId="0">
      <sharedItems/>
    </cacheField>
    <cacheField name="Last_Name" numFmtId="0">
      <sharedItems/>
    </cacheField>
    <cacheField name="Gender" numFmtId="0">
      <sharedItems count="2">
        <s v="Male"/>
        <s v="Female"/>
      </sharedItems>
    </cacheField>
    <cacheField name="Age" numFmtId="0">
      <sharedItems containsSemiMixedTypes="0" containsString="0" containsNumber="1" containsInteger="1" minValue="21" maxValue="60"/>
    </cacheField>
    <cacheField name="Department" numFmtId="0">
      <sharedItems count="6">
        <s v="Operations"/>
        <s v="Sales"/>
        <s v="HR"/>
        <s v="Marketing"/>
        <s v="IT"/>
        <s v="Finance"/>
      </sharedItems>
    </cacheField>
    <cacheField name="Job_Title" numFmtId="0">
      <sharedItems count="11">
        <s v="Coordinator"/>
        <s v="Sales Rep"/>
        <s v="Manager"/>
        <s v="HRBP"/>
        <s v="Sales Manager"/>
        <s v="HR Manager"/>
        <s v="Analyst"/>
        <s v="Recruiter"/>
        <s v="Accountant"/>
        <s v="Engineer"/>
        <s v="Specialist"/>
      </sharedItems>
    </cacheField>
    <cacheField name="Location" numFmtId="0">
      <sharedItems count="5">
        <s v="Bangalore"/>
        <s v="London"/>
        <s v="Singapore"/>
        <s v="New York"/>
        <s v="Dubai"/>
      </sharedItems>
    </cacheField>
    <cacheField name="Business_Unit" numFmtId="0">
      <sharedItems count="3">
        <s v="Enterprise"/>
        <s v="Consumer"/>
        <s v="Corporate"/>
      </sharedItems>
    </cacheField>
    <cacheField name="Employment_Type" numFmtId="0">
      <sharedItems count="2">
        <s v="Contract"/>
        <s v="Full-Time"/>
      </sharedItems>
    </cacheField>
    <cacheField name="Hire_Date" numFmtId="0">
      <sharedItems count="876">
        <s v="2021-10-07"/>
        <s v="2025-08-12"/>
        <s v="2025-03-10"/>
        <s v="2022-04-28"/>
        <s v="2021-03-30"/>
        <s v="2024-06-04"/>
        <s v="2020-08-20"/>
        <s v="2025-10-25"/>
        <s v="2020-07-24"/>
        <s v="2022-01-07"/>
        <s v="2016-08-13"/>
        <s v="2021-10-12"/>
        <s v="2019-03-21"/>
        <s v="2017-03-31"/>
        <s v="2026-01-16"/>
        <s v="2025-03-27"/>
        <s v="2019-03-22"/>
        <s v="2016-08-03"/>
        <s v="2024-05-10"/>
        <s v="2021-10-03"/>
        <s v="2024-09-25"/>
        <s v="2018-12-07"/>
        <s v="2019-10-08"/>
        <s v="2019-07-26"/>
        <s v="2021-07-22"/>
        <s v="2017-09-14"/>
        <s v="2016-11-27"/>
        <s v="2017-11-12"/>
        <s v="2023-11-21"/>
        <s v="2025-04-16"/>
        <s v="2025-08-28"/>
        <s v="2023-08-28"/>
        <s v="2026-03-31"/>
        <s v="2018-02-03"/>
        <s v="2021-09-06"/>
        <s v="2020-11-23"/>
        <s v="2017-02-22"/>
        <s v="2025-08-10"/>
        <s v="2024-02-29"/>
        <s v="2017-06-10"/>
        <s v="2024-03-07"/>
        <s v="2025-08-29"/>
        <s v="2021-12-18"/>
        <s v="2024-02-01"/>
        <s v="2020-07-22"/>
        <s v="2023-07-25"/>
        <s v="2024-05-08"/>
        <s v="2019-09-01"/>
        <s v="2024-01-19"/>
        <s v="2022-01-08"/>
        <s v="2018-02-01"/>
        <s v="2019-01-17"/>
        <s v="2018-09-10"/>
        <s v="2018-09-06"/>
        <s v="2021-06-21"/>
        <s v="2018-10-21"/>
        <s v="2018-05-29"/>
        <s v="2020-04-04"/>
        <s v="2016-07-29"/>
        <s v="2019-04-13"/>
        <s v="2020-03-10"/>
        <s v="2026-02-22"/>
        <s v="2023-08-24"/>
        <s v="2020-07-17"/>
        <s v="2016-12-09"/>
        <s v="2024-05-30"/>
        <s v="2016-05-26"/>
        <s v="2019-08-25"/>
        <s v="2021-05-25"/>
        <s v="2018-12-18"/>
        <s v="2023-05-21"/>
        <s v="2017-05-19"/>
        <s v="2023-04-08"/>
        <s v="2022-06-06"/>
        <s v="2018-01-13"/>
        <s v="2017-05-17"/>
        <s v="2025-03-15"/>
        <s v="2021-06-13"/>
        <s v="2021-03-16"/>
        <s v="2021-01-18"/>
        <s v="2018-10-24"/>
        <s v="2019-12-06"/>
        <s v="2025-08-22"/>
        <s v="2022-02-26"/>
        <s v="2021-07-15"/>
        <s v="2022-12-09"/>
        <s v="2019-09-20"/>
        <s v="2016-06-07"/>
        <s v="2016-12-30"/>
        <s v="2024-03-14"/>
        <s v="2022-04-08"/>
        <s v="2025-03-25"/>
        <s v="2023-06-10"/>
        <s v="2024-04-03"/>
        <s v="2019-09-21"/>
        <s v="2020-10-11"/>
        <s v="2016-10-30"/>
        <s v="2022-04-29"/>
        <s v="2026-05-12"/>
        <s v="2018-04-29"/>
        <s v="2017-12-14"/>
        <s v="2025-09-27"/>
        <s v="2025-05-03"/>
        <s v="2024-10-05"/>
        <s v="2020-03-21"/>
        <s v="2019-09-14"/>
        <s v="2025-02-20"/>
        <s v="2017-08-28"/>
        <s v="2024-08-07"/>
        <s v="2018-03-09"/>
        <s v="2024-09-09"/>
        <s v="2017-12-07"/>
        <s v="2018-02-13"/>
        <s v="2020-02-24"/>
        <s v="2025-01-16"/>
        <s v="2025-08-04"/>
        <s v="2017-06-24"/>
        <s v="2021-03-23"/>
        <s v="2025-04-21"/>
        <s v="2026-02-19"/>
        <s v="2022-05-30"/>
        <s v="2022-10-29"/>
        <s v="2021-04-06"/>
        <s v="2017-01-17"/>
        <s v="2019-03-14"/>
        <s v="2020-05-12"/>
        <s v="2025-10-31"/>
        <s v="2021-04-23"/>
        <s v="2016-12-13"/>
        <s v="2016-07-19"/>
        <s v="2017-03-03"/>
        <s v="2019-08-21"/>
        <s v="2023-03-27"/>
        <s v="2022-01-13"/>
        <s v="2026-03-02"/>
        <s v="2016-08-12"/>
        <s v="2024-04-09"/>
        <s v="2018-02-28"/>
        <s v="2016-07-27"/>
        <s v="2017-08-01"/>
        <s v="2021-10-22"/>
        <s v="2019-05-16"/>
        <s v="2023-01-28"/>
        <s v="2017-07-08"/>
        <s v="2017-08-07"/>
        <s v="2019-12-23"/>
        <s v="2024-02-22"/>
        <s v="2022-07-10"/>
        <s v="2021-11-13"/>
        <s v="2023-10-08"/>
        <s v="2017-03-28"/>
        <s v="2022-03-20"/>
        <s v="2022-11-10"/>
        <s v="2024-01-27"/>
        <s v="2018-05-04"/>
        <s v="2022-03-14"/>
        <s v="2022-11-17"/>
        <s v="2020-02-09"/>
        <s v="2022-04-22"/>
        <s v="2021-11-12"/>
        <s v="2018-02-16"/>
        <s v="2021-05-05"/>
        <s v="2019-03-20"/>
        <s v="2019-01-18"/>
        <s v="2016-08-09"/>
        <s v="2017-04-17"/>
        <s v="2016-10-01"/>
        <s v="2019-11-08"/>
        <s v="2024-03-19"/>
        <s v="2025-09-09"/>
        <s v="2016-10-03"/>
        <s v="2022-12-27"/>
        <s v="2021-08-05"/>
        <s v="2022-01-23"/>
        <s v="2016-04-01"/>
        <s v="2021-06-02"/>
        <s v="2024-03-06"/>
        <s v="2023-10-30"/>
        <s v="2025-07-22"/>
        <s v="2016-02-22"/>
        <s v="2018-02-20"/>
        <s v="2018-02-07"/>
        <s v="2020-07-18"/>
        <s v="2020-07-30"/>
        <s v="2017-08-10"/>
        <s v="2025-08-25"/>
        <s v="2017-06-08"/>
        <s v="2019-11-21"/>
        <s v="2022-06-05"/>
        <s v="2020-03-14"/>
        <s v="2018-04-05"/>
        <s v="2026-05-16"/>
        <s v="2021-10-11"/>
        <s v="2024-01-03"/>
        <s v="2021-05-12"/>
        <s v="2019-03-04"/>
        <s v="2024-01-30"/>
        <s v="2021-12-06"/>
        <s v="2025-10-28"/>
        <s v="2019-01-11"/>
        <s v="2018-03-20"/>
        <s v="2024-08-29"/>
        <s v="2016-10-24"/>
        <s v="2022-06-09"/>
        <s v="2022-11-09"/>
        <s v="2023-08-27"/>
        <s v="2024-01-05"/>
        <s v="2023-11-07"/>
        <s v="2019-04-03"/>
        <s v="2023-05-13"/>
        <s v="2016-12-26"/>
        <s v="2022-09-03"/>
        <s v="2017-06-25"/>
        <s v="2020-09-16"/>
        <s v="2016-11-12"/>
        <s v="2024-05-28"/>
        <s v="2023-07-04"/>
        <s v="2023-07-02"/>
        <s v="2020-11-13"/>
        <s v="2017-09-06"/>
        <s v="2021-03-04"/>
        <s v="2021-07-05"/>
        <s v="2018-11-20"/>
        <s v="2023-07-11"/>
        <s v="2021-08-27"/>
        <s v="2025-06-10"/>
        <s v="2022-05-19"/>
        <s v="2016-02-10"/>
        <s v="2025-05-31"/>
        <s v="2020-05-11"/>
        <s v="2016-09-12"/>
        <s v="2021-09-14"/>
        <s v="2023-11-10"/>
        <s v="2017-03-21"/>
        <s v="2023-12-06"/>
        <s v="2026-03-29"/>
        <s v="2021-08-04"/>
        <s v="2017-11-30"/>
        <s v="2020-10-13"/>
        <s v="2022-03-25"/>
        <s v="2016-10-19"/>
        <s v="2020-12-13"/>
        <s v="2023-03-26"/>
        <s v="2021-06-14"/>
        <s v="2023-09-04"/>
        <s v="2025-05-18"/>
        <s v="2017-01-27"/>
        <s v="2018-01-18"/>
        <s v="2024-01-09"/>
        <s v="2024-04-06"/>
        <s v="2019-09-25"/>
        <s v="2018-12-23"/>
        <s v="2020-08-15"/>
        <s v="2020-05-01"/>
        <s v="2016-03-06"/>
        <s v="2020-01-12"/>
        <s v="2019-02-05"/>
        <s v="2021-08-26"/>
        <s v="2019-07-22"/>
        <s v="2022-04-05"/>
        <s v="2018-11-28"/>
        <s v="2026-04-13"/>
        <s v="2016-02-25"/>
        <s v="2020-01-06"/>
        <s v="2021-11-19"/>
        <s v="2016-01-20"/>
        <s v="2025-02-02"/>
        <s v="2018-09-18"/>
        <s v="2023-10-25"/>
        <s v="2017-12-27"/>
        <s v="2026-03-18"/>
        <s v="2018-01-15"/>
        <s v="2017-07-26"/>
        <s v="2024-01-24"/>
        <s v="2018-01-31"/>
        <s v="2021-02-20"/>
        <s v="2019-08-12"/>
        <s v="2019-12-17"/>
        <s v="2023-05-07"/>
        <s v="2022-01-03"/>
        <s v="2021-10-14"/>
        <s v="2025-12-26"/>
        <s v="2018-11-19"/>
        <s v="2018-11-16"/>
        <s v="2023-10-06"/>
        <s v="2019-07-09"/>
        <s v="2017-05-24"/>
        <s v="2018-05-02"/>
        <s v="2020-06-14"/>
        <s v="2021-09-19"/>
        <s v="2017-04-12"/>
        <s v="2016-04-12"/>
        <s v="2022-11-01"/>
        <s v="2026-04-28"/>
        <s v="2024-02-17"/>
        <s v="2026-04-12"/>
        <s v="2020-12-29"/>
        <s v="2023-07-09"/>
        <s v="2024-12-13"/>
        <s v="2017-09-03"/>
        <s v="2016-06-21"/>
        <s v="2018-01-08"/>
        <s v="2024-02-28"/>
        <s v="2017-03-11"/>
        <s v="2018-09-09"/>
        <s v="2021-06-27"/>
        <s v="2024-05-12"/>
        <s v="2017-01-28"/>
        <s v="2017-04-16"/>
        <s v="2026-02-04"/>
        <s v="2019-01-10"/>
        <s v="2019-07-19"/>
        <s v="2016-10-09"/>
        <s v="2020-09-24"/>
        <s v="2020-04-13"/>
        <s v="2022-06-03"/>
        <s v="2021-07-25"/>
        <s v="2018-09-05"/>
        <s v="2023-08-18"/>
        <s v="2021-12-24"/>
        <s v="2019-03-01"/>
        <s v="2022-10-21"/>
        <s v="2023-08-21"/>
        <s v="2025-06-02"/>
        <s v="2024-12-09"/>
        <s v="2018-07-21"/>
        <s v="2025-07-21"/>
        <s v="2025-04-04"/>
        <s v="2016-11-02"/>
        <s v="2020-01-05"/>
        <s v="2020-07-20"/>
        <s v="2026-01-31"/>
        <s v="2018-04-28"/>
        <s v="2022-02-21"/>
        <s v="2018-05-09"/>
        <s v="2020-01-21"/>
        <s v="2016-09-16"/>
        <s v="2018-07-26"/>
        <s v="2017-07-25"/>
        <s v="2022-12-30"/>
        <s v="2020-05-22"/>
        <s v="2017-10-24"/>
        <s v="2017-01-13"/>
        <s v="2016-07-03"/>
        <s v="2016-11-20"/>
        <s v="2019-11-02"/>
        <s v="2019-12-02"/>
        <s v="2023-09-18"/>
        <s v="2020-12-21"/>
        <s v="2023-07-22"/>
        <s v="2024-11-03"/>
        <s v="2026-02-28"/>
        <s v="2023-12-27"/>
        <s v="2020-09-19"/>
        <s v="2026-04-09"/>
        <s v="2024-08-08"/>
        <s v="2022-06-25"/>
        <s v="2022-08-09"/>
        <s v="2022-09-24"/>
        <s v="2023-12-20"/>
        <s v="2019-12-30"/>
        <s v="2021-10-01"/>
        <s v="2023-08-09"/>
        <s v="2020-11-17"/>
        <s v="2022-05-23"/>
        <s v="2024-06-02"/>
        <s v="2025-11-15"/>
        <s v="2017-08-16"/>
        <s v="2024-10-13"/>
        <s v="2025-12-28"/>
        <s v="2020-07-04"/>
        <s v="2019-04-18"/>
        <s v="2025-06-05"/>
        <s v="2018-02-06"/>
        <s v="2023-09-24"/>
        <s v="2018-04-01"/>
        <s v="2023-09-26"/>
        <s v="2026-03-15"/>
        <s v="2020-08-04"/>
        <s v="2018-10-25"/>
        <s v="2024-03-22"/>
        <s v="2025-03-03"/>
        <s v="2019-01-26"/>
        <s v="2020-06-06"/>
        <s v="2024-05-15"/>
        <s v="2021-08-17"/>
        <s v="2022-11-14"/>
        <s v="2022-11-18"/>
        <s v="2019-06-17"/>
        <s v="2024-07-28"/>
        <s v="2017-12-08"/>
        <s v="2026-01-21"/>
        <s v="2017-07-21"/>
        <s v="2019-01-12"/>
        <s v="2025-07-18"/>
        <s v="2021-02-16"/>
        <s v="2025-04-24"/>
        <s v="2026-05-06"/>
        <s v="2018-07-27"/>
        <s v="2020-11-19"/>
        <s v="2017-04-18"/>
        <s v="2025-02-27"/>
        <s v="2024-10-09"/>
        <s v="2026-02-10"/>
        <s v="2017-03-29"/>
        <s v="2019-10-22"/>
        <s v="2017-05-30"/>
        <s v="2023-07-23"/>
        <s v="2026-03-08"/>
        <s v="2025-07-28"/>
        <s v="2016-09-15"/>
        <s v="2025-10-20"/>
        <s v="2020-11-04"/>
        <s v="2021-10-18"/>
        <s v="2025-12-09"/>
        <s v="2017-11-28"/>
        <s v="2020-07-12"/>
        <s v="2019-08-03"/>
        <s v="2025-05-23"/>
        <s v="2019-09-18"/>
        <s v="2023-08-29"/>
        <s v="2024-06-11"/>
        <s v="2022-03-15"/>
        <s v="2018-12-04"/>
        <s v="2021-08-18"/>
        <s v="2025-11-10"/>
        <s v="2020-08-27"/>
        <s v="2025-07-20"/>
        <s v="2025-01-05"/>
        <s v="2016-12-20"/>
        <s v="2018-03-26"/>
        <s v="2020-01-14"/>
        <s v="2022-11-04"/>
        <s v="2017-01-30"/>
        <s v="2023-07-13"/>
        <s v="2019-08-17"/>
        <s v="2023-06-25"/>
        <s v="2024-06-15"/>
        <s v="2018-04-08"/>
        <s v="2023-03-06"/>
        <s v="2016-03-15"/>
        <s v="2020-04-15"/>
        <s v="2018-10-10"/>
        <s v="2018-09-26"/>
        <s v="2021-03-05"/>
        <s v="2026-05-05"/>
        <s v="2024-09-12"/>
        <s v="2020-02-05"/>
        <s v="2023-03-14"/>
        <s v="2021-12-31"/>
        <s v="2021-07-13"/>
        <s v="2021-01-03"/>
        <s v="2016-02-24"/>
        <s v="2023-04-28"/>
        <s v="2026-01-29"/>
        <s v="2021-06-22"/>
        <s v="2020-04-10"/>
        <s v="2025-11-19"/>
        <s v="2017-01-20"/>
        <s v="2020-08-07"/>
        <s v="2019-01-22"/>
        <s v="2026-01-13"/>
        <s v="2022-11-21"/>
        <s v="2023-08-05"/>
        <s v="2019-03-28"/>
        <s v="2021-09-11"/>
        <s v="2024-08-14"/>
        <s v="2018-05-26"/>
        <s v="2026-04-20"/>
        <s v="2023-06-13"/>
        <s v="2020-08-03"/>
        <s v="2017-05-21"/>
        <s v="2016-02-26"/>
        <s v="2021-07-14"/>
        <s v="2024-10-16"/>
        <s v="2024-06-22"/>
        <s v="2021-04-29"/>
        <s v="2019-06-22"/>
        <s v="2019-08-26"/>
        <s v="2022-11-07"/>
        <s v="2023-11-25"/>
        <s v="2021-06-17"/>
        <s v="2026-01-20"/>
        <s v="2023-07-29"/>
        <s v="2026-02-27"/>
        <s v="2025-03-26"/>
        <s v="2022-12-12"/>
        <s v="2022-01-30"/>
        <s v="2019-03-03"/>
        <s v="2024-11-22"/>
        <s v="2016-01-15"/>
        <s v="2024-02-06"/>
        <s v="2023-07-01"/>
        <s v="2017-03-23"/>
        <s v="2023-07-14"/>
        <s v="2018-02-10"/>
        <s v="2016-02-04"/>
        <s v="2021-03-08"/>
        <s v="2022-08-04"/>
        <s v="2021-12-12"/>
        <s v="2022-02-17"/>
        <s v="2024-05-26"/>
        <s v="2016-02-17"/>
        <s v="2018-11-23"/>
        <s v="2024-11-08"/>
        <s v="2021-10-21"/>
        <s v="2023-11-22"/>
        <s v="2023-08-10"/>
        <s v="2018-06-04"/>
        <s v="2025-06-06"/>
        <s v="2025-10-23"/>
        <s v="2020-04-20"/>
        <s v="2021-09-16"/>
        <s v="2019-11-30"/>
        <s v="2018-01-11"/>
        <s v="2018-12-27"/>
        <s v="2022-11-15"/>
        <s v="2025-01-17"/>
        <s v="2018-02-26"/>
        <s v="2019-08-28"/>
        <s v="2018-05-03"/>
        <s v="2025-03-23"/>
        <s v="2019-04-04"/>
        <s v="2025-12-07"/>
        <s v="2019-04-22"/>
        <s v="2024-02-02"/>
        <s v="2017-07-10"/>
        <s v="2018-03-04"/>
        <s v="2021-04-28"/>
        <s v="2025-07-01"/>
        <s v="2018-09-25"/>
        <s v="2021-11-14"/>
        <s v="2023-04-09"/>
        <s v="2018-04-25"/>
        <s v="2022-01-10"/>
        <s v="2019-01-03"/>
        <s v="2024-10-08"/>
        <s v="2025-03-17"/>
        <s v="2026-04-30"/>
        <s v="2019-10-26"/>
        <s v="2017-10-21"/>
        <s v="2019-12-18"/>
        <s v="2018-04-26"/>
        <s v="2016-10-13"/>
        <s v="2016-03-29"/>
        <s v="2017-08-20"/>
        <s v="2024-02-25"/>
        <s v="2024-09-20"/>
        <s v="2017-04-22"/>
        <s v="2021-04-04"/>
        <s v="2020-01-02"/>
        <s v="2017-01-09"/>
        <s v="2018-07-02"/>
        <s v="2018-01-03"/>
        <s v="2024-04-02"/>
        <s v="2024-04-15"/>
        <s v="2024-04-04"/>
        <s v="2016-11-05"/>
        <s v="2021-12-09"/>
        <s v="2019-07-23"/>
        <s v="2021-04-21"/>
        <s v="2022-11-19"/>
        <s v="2020-04-01"/>
        <s v="2023-03-03"/>
        <s v="2016-03-21"/>
        <s v="2018-12-01"/>
        <s v="2024-10-07"/>
        <s v="2022-11-05"/>
        <s v="2017-06-27"/>
        <s v="2017-01-19"/>
        <s v="2026-04-08"/>
        <s v="2019-01-25"/>
        <s v="2020-06-07"/>
        <s v="2023-01-09"/>
        <s v="2023-03-28"/>
        <s v="2016-11-22"/>
        <s v="2016-04-16"/>
        <s v="2018-03-30"/>
        <s v="2023-06-04"/>
        <s v="2026-05-22"/>
        <s v="2018-11-05"/>
        <s v="2020-02-21"/>
        <s v="2026-05-02"/>
        <s v="2016-03-31"/>
        <s v="2018-02-12"/>
        <s v="2020-11-03"/>
        <s v="2016-08-11"/>
        <s v="2018-05-17"/>
        <s v="2016-01-05"/>
        <s v="2022-04-18"/>
        <s v="2023-09-15"/>
        <s v="2024-12-30"/>
        <s v="2021-12-19"/>
        <s v="2017-08-13"/>
        <s v="2021-05-07"/>
        <s v="2016-10-31"/>
        <s v="2023-03-21"/>
        <s v="2025-03-21"/>
        <s v="2025-06-18"/>
        <s v="2017-01-18"/>
        <s v="2016-04-25"/>
        <s v="2022-09-17"/>
        <s v="2019-12-20"/>
        <s v="2023-03-09"/>
        <s v="2023-01-15"/>
        <s v="2020-07-08"/>
        <s v="2018-10-28"/>
        <s v="2024-03-15"/>
        <s v="2018-06-19"/>
        <s v="2024-07-22"/>
        <s v="2025-06-14"/>
        <s v="2025-03-30"/>
        <s v="2018-08-07"/>
        <s v="2023-10-17"/>
        <s v="2019-03-08"/>
        <s v="2025-07-09"/>
        <s v="2018-01-02"/>
        <s v="2019-11-10"/>
        <s v="2024-12-03"/>
        <s v="2024-10-24"/>
        <s v="2020-03-07"/>
        <s v="2016-11-24"/>
        <s v="2017-02-06"/>
        <s v="2019-07-01"/>
        <s v="2018-01-06"/>
        <s v="2022-07-29"/>
        <s v="2021-06-30"/>
        <s v="2025-05-16"/>
        <s v="2021-10-19"/>
        <s v="2016-07-15"/>
        <s v="2019-11-16"/>
        <s v="2022-09-27"/>
        <s v="2023-02-07"/>
        <s v="2024-12-07"/>
        <s v="2025-03-13"/>
        <s v="2023-09-22"/>
        <s v="2022-07-24"/>
        <s v="2019-12-08"/>
        <s v="2022-05-09"/>
        <s v="2024-11-05"/>
        <s v="2018-09-01"/>
        <s v="2022-01-01"/>
        <s v="2019-03-11"/>
        <s v="2018-07-12"/>
        <s v="2019-10-15"/>
        <s v="2022-02-01"/>
        <s v="2022-08-13"/>
        <s v="2023-09-19"/>
        <s v="2024-11-06"/>
        <s v="2017-04-13"/>
        <s v="2023-01-23"/>
        <s v="2019-12-22"/>
        <s v="2023-05-19"/>
        <s v="2022-12-07"/>
        <s v="2016-03-13"/>
        <s v="2020-11-28"/>
        <s v="2019-09-03"/>
        <s v="2024-10-27"/>
        <s v="2022-07-21"/>
        <s v="2023-08-22"/>
        <s v="2017-07-22"/>
        <s v="2024-04-23"/>
        <s v="2025-01-20"/>
        <s v="2025-07-24"/>
        <s v="2019-06-06"/>
        <s v="2023-08-14"/>
        <s v="2018-11-22"/>
        <s v="2016-10-04"/>
        <s v="2021-07-17"/>
        <s v="2016-10-14"/>
        <s v="2022-11-25"/>
        <s v="2018-07-17"/>
        <s v="2025-12-15"/>
        <s v="2025-02-28"/>
        <s v="2024-05-13"/>
        <s v="2026-02-11"/>
        <s v="2024-06-16"/>
        <s v="2021-03-10"/>
        <s v="2025-05-25"/>
        <s v="2021-09-29"/>
        <s v="2020-12-07"/>
        <s v="2023-09-08"/>
        <s v="2016-07-30"/>
        <s v="2016-11-14"/>
        <s v="2020-10-26"/>
        <s v="2022-12-31"/>
        <s v="2022-05-11"/>
        <s v="2021-02-09"/>
        <s v="2017-08-30"/>
        <s v="2016-01-16"/>
        <s v="2023-04-01"/>
        <s v="2022-11-24"/>
        <s v="2025-07-23"/>
        <s v="2023-12-21"/>
        <s v="2019-11-25"/>
        <s v="2019-03-26"/>
        <s v="2019-06-29"/>
        <s v="2023-11-03"/>
        <s v="2017-10-27"/>
        <s v="2017-12-21"/>
        <s v="2017-09-20"/>
        <s v="2019-11-01"/>
        <s v="2020-05-16"/>
        <s v="2025-02-24"/>
        <s v="2019-12-05"/>
        <s v="2016-04-14"/>
        <s v="2020-12-11"/>
        <s v="2024-03-24"/>
        <s v="2025-01-18"/>
        <s v="2019-01-24"/>
        <s v="2021-12-05"/>
        <s v="2020-01-16"/>
        <s v="2025-02-19"/>
        <s v="2021-09-09"/>
        <s v="2022-02-09"/>
        <s v="2018-08-05"/>
        <s v="2023-12-02"/>
        <s v="2023-05-01"/>
        <s v="2024-11-28"/>
        <s v="2026-05-14"/>
        <s v="2017-08-23"/>
        <s v="2023-09-16"/>
        <s v="2019-01-09"/>
        <s v="2022-05-20"/>
        <s v="2016-04-26"/>
        <s v="2021-12-04"/>
        <s v="2022-04-25"/>
        <s v="2024-01-07"/>
        <s v="2024-05-18"/>
        <s v="2020-07-10"/>
        <s v="2021-11-18"/>
        <s v="2019-11-18"/>
        <s v="2018-12-05"/>
        <s v="2018-11-25"/>
        <s v="2021-02-01"/>
        <s v="2025-06-21"/>
        <s v="2018-01-12"/>
        <s v="2024-02-11"/>
        <s v="2018-07-20"/>
        <s v="2026-02-13"/>
        <s v="2017-04-01"/>
        <s v="2016-01-13"/>
        <s v="2017-05-09"/>
        <s v="2025-11-23"/>
        <s v="2016-04-10"/>
        <s v="2018-08-25"/>
        <s v="2018-04-17"/>
        <s v="2016-02-15"/>
        <s v="2026-04-26"/>
        <s v="2019-09-07"/>
        <s v="2018-02-05"/>
        <s v="2021-09-30"/>
        <s v="2016-11-29"/>
        <s v="2021-05-10"/>
        <s v="2017-01-08"/>
        <s v="2021-10-24"/>
        <s v="2019-05-21"/>
        <s v="2018-07-30"/>
        <s v="2020-10-06"/>
        <s v="2024-11-14"/>
        <s v="2021-08-01"/>
        <s v="2025-11-05"/>
        <s v="2019-10-01"/>
        <s v="2020-08-10"/>
        <s v="2019-05-15"/>
        <s v="2021-05-16"/>
        <s v="2019-12-12"/>
        <s v="2019-09-13"/>
        <s v="2018-07-28"/>
        <s v="2022-07-01"/>
        <s v="2023-03-19"/>
        <s v="2023-09-11"/>
        <s v="2025-03-02"/>
        <s v="2022-04-11"/>
        <s v="2025-02-26"/>
        <s v="2024-10-19"/>
        <s v="2019-04-09"/>
        <s v="2019-02-21"/>
        <s v="2023-07-03"/>
        <s v="2022-09-12"/>
        <s v="2022-02-23"/>
        <s v="2023-06-08"/>
        <s v="2018-05-07"/>
        <s v="2020-06-28"/>
        <s v="2025-09-15"/>
        <s v="2021-06-09"/>
        <s v="2022-05-08"/>
        <s v="2018-11-07"/>
        <s v="2016-09-06"/>
        <s v="2020-06-23"/>
        <s v="2016-05-16"/>
        <s v="2019-02-07"/>
        <s v="2017-04-25"/>
        <s v="2022-10-12"/>
        <s v="2017-04-11"/>
        <s v="2017-02-17"/>
        <s v="2020-04-07"/>
        <s v="2023-05-30"/>
        <s v="2019-06-21"/>
        <s v="2021-03-12"/>
        <s v="2019-11-12"/>
        <s v="2021-04-20"/>
        <s v="2021-06-12"/>
        <s v="2017-12-26"/>
        <s v="2024-08-11"/>
        <s v="2017-12-05"/>
        <s v="2019-03-19"/>
        <s v="2025-10-19"/>
        <s v="2017-05-25"/>
        <s v="2017-02-03"/>
        <s v="2023-12-09"/>
        <s v="2019-06-09"/>
        <s v="2020-09-20"/>
        <s v="2022-08-08"/>
        <s v="2018-06-11"/>
        <s v="2020-01-20"/>
        <s v="2023-02-26"/>
        <s v="2021-10-26"/>
        <s v="2018-10-03"/>
        <s v="2016-06-16"/>
        <s v="2020-01-10"/>
        <s v="2016-04-17"/>
        <s v="2024-03-12"/>
        <s v="2016-03-02"/>
        <s v="2022-09-22"/>
        <s v="2025-06-26"/>
        <s v="2026-01-04"/>
        <s v="2020-09-09"/>
        <s v="2018-03-14"/>
        <s v="2024-11-19"/>
        <s v="2019-10-14"/>
        <s v="2016-12-31"/>
        <s v="2016-04-18"/>
        <s v="2026-04-11"/>
        <s v="2021-01-30"/>
        <s v="2016-01-26"/>
        <s v="2024-12-25"/>
        <s v="2023-10-03"/>
        <s v="2024-07-06"/>
        <s v="2022-10-05"/>
        <s v="2023-08-07"/>
        <s v="2018-09-20"/>
        <s v="2021-06-28"/>
        <s v="2020-07-27"/>
        <s v="2025-12-13"/>
        <s v="2026-02-25"/>
        <s v="2018-04-24"/>
        <s v="2025-03-19"/>
        <s v="2019-06-27"/>
        <s v="2024-02-08"/>
        <s v="2020-03-16"/>
        <s v="2023-02-16"/>
        <s v="2016-07-16"/>
        <s v="2026-05-03"/>
        <s v="2023-08-26"/>
        <s v="2021-05-15"/>
        <s v="2018-11-11"/>
        <s v="2017-05-22"/>
        <s v="2017-10-04"/>
        <s v="2016-03-17"/>
        <s v="2017-04-14"/>
        <s v="2022-07-27"/>
        <s v="2021-03-29"/>
        <s v="2021-07-23"/>
        <s v="2025-05-15"/>
        <s v="2021-08-22"/>
        <s v="2017-08-15"/>
        <s v="2017-04-04"/>
        <s v="2024-06-17"/>
        <s v="2021-03-09"/>
        <s v="2016-06-14"/>
        <s v="2020-06-05"/>
        <s v="2017-11-03"/>
        <s v="2018-12-15"/>
        <s v="2024-06-21"/>
        <s v="2021-09-22"/>
      </sharedItems>
    </cacheField>
    <cacheField name="Termination_Date" numFmtId="0">
      <sharedItems containsBlank="1"/>
    </cacheField>
    <cacheField name="Employment_Status" numFmtId="0">
      <sharedItems count="2">
        <s v="Active"/>
        <s v="Terminated"/>
      </sharedItems>
    </cacheField>
    <cacheField name="Manager" numFmtId="0">
      <sharedItems count="80">
        <s v="M16"/>
        <s v="M19"/>
        <s v="M34"/>
        <s v="M40"/>
        <s v="M24"/>
        <s v="M42"/>
        <s v="M53"/>
        <s v="M43"/>
        <s v="M73"/>
        <s v="M11"/>
        <s v="M77"/>
        <s v="M74"/>
        <s v="M22"/>
        <s v="M56"/>
        <s v="M30"/>
        <s v="M6"/>
        <s v="M75"/>
        <s v="M63"/>
        <s v="M7"/>
        <s v="M28"/>
        <s v="M10"/>
        <s v="M68"/>
        <s v="M15"/>
        <s v="M66"/>
        <s v="M45"/>
        <s v="M32"/>
        <s v="M70"/>
        <s v="M79"/>
        <s v="M18"/>
        <s v="M50"/>
        <s v="M21"/>
        <s v="M48"/>
        <s v="M38"/>
        <s v="M61"/>
        <s v="M72"/>
        <s v="M4"/>
        <s v="M39"/>
        <s v="M78"/>
        <s v="M35"/>
        <s v="M59"/>
        <s v="M14"/>
        <s v="M23"/>
        <s v="M65"/>
        <s v="M62"/>
        <s v="M51"/>
        <s v="M67"/>
        <s v="M8"/>
        <s v="M54"/>
        <s v="M9"/>
        <s v="M31"/>
        <s v="M20"/>
        <s v="M2"/>
        <s v="M26"/>
        <s v="M80"/>
        <s v="M44"/>
        <s v="M57"/>
        <s v="M5"/>
        <s v="M52"/>
        <s v="M69"/>
        <s v="M71"/>
        <s v="M58"/>
        <s v="M60"/>
        <s v="M12"/>
        <s v="M25"/>
        <s v="M64"/>
        <s v="M29"/>
        <s v="M27"/>
        <s v="M13"/>
        <s v="M36"/>
        <s v="M33"/>
        <s v="M47"/>
        <s v="M37"/>
        <s v="M49"/>
        <s v="M76"/>
        <s v="M41"/>
        <s v="M1"/>
        <s v="M17"/>
        <s v="M46"/>
        <s v="M55"/>
        <s v="M3"/>
      </sharedItems>
    </cacheField>
    <cacheField name="Education" numFmtId="0">
      <sharedItems/>
    </cacheField>
    <cacheField name="Experience_Years" numFmtId="0">
      <sharedItems containsSemiMixedTypes="0" containsString="0" containsNumber="1" containsInteger="1" minValue="0" maxValue="35"/>
    </cacheField>
    <cacheField name="Salary_USD" numFmtId="0">
      <sharedItems containsSemiMixedTypes="0" containsString="0" containsNumber="1" containsInteger="1" minValue="40111" maxValue="179815"/>
    </cacheField>
    <cacheField name="Bonus_%" numFmtId="0">
      <sharedItems containsSemiMixedTypes="0" containsString="0" containsNumber="1" containsInteger="1" minValue="5" maxValue="25" count="21">
        <n v="16"/>
        <n v="12"/>
        <n v="19"/>
        <n v="23"/>
        <n v="8"/>
        <n v="25"/>
        <n v="5"/>
        <n v="17"/>
        <n v="22"/>
        <n v="7"/>
        <n v="18"/>
        <n v="24"/>
        <n v="6"/>
        <n v="21"/>
        <n v="10"/>
        <n v="13"/>
        <n v="15"/>
        <n v="20"/>
        <n v="9"/>
        <n v="11"/>
        <n v="14"/>
      </sharedItems>
    </cacheField>
    <cacheField name="Performance_Rating" numFmtId="0">
      <sharedItems containsSemiMixedTypes="0" containsString="0" containsNumber="1" minValue="2.5" maxValue="5" count="26">
        <n v="3.9"/>
        <n v="3.1"/>
        <n v="3.8"/>
        <n v="4.8"/>
        <n v="2.9"/>
        <n v="4.9000000000000004"/>
        <n v="3.4"/>
        <n v="3"/>
        <n v="3.2"/>
        <n v="3.7"/>
        <n v="4.3"/>
        <n v="4.5999999999999996"/>
        <n v="2.8"/>
        <n v="5"/>
        <n v="4.0999999999999996"/>
        <n v="4.2"/>
        <n v="3.6"/>
        <n v="4.4000000000000004"/>
        <n v="4.5"/>
        <n v="3.3"/>
        <n v="2.7"/>
        <n v="4.7"/>
        <n v="3.5"/>
        <n v="4"/>
        <n v="2.5"/>
        <n v="2.6"/>
      </sharedItems>
    </cacheField>
    <cacheField name="Engagement_Score" numFmtId="0">
      <sharedItems containsSemiMixedTypes="0" containsString="0" containsNumber="1" containsInteger="1" minValue="50" maxValue="100" count="51">
        <n v="66"/>
        <n v="100"/>
        <n v="92"/>
        <n v="73"/>
        <n v="97"/>
        <n v="53"/>
        <n v="77"/>
        <n v="87"/>
        <n v="55"/>
        <n v="78"/>
        <n v="96"/>
        <n v="59"/>
        <n v="72"/>
        <n v="63"/>
        <n v="50"/>
        <n v="64"/>
        <n v="99"/>
        <n v="94"/>
        <n v="68"/>
        <n v="60"/>
        <n v="79"/>
        <n v="89"/>
        <n v="75"/>
        <n v="83"/>
        <n v="76"/>
        <n v="67"/>
        <n v="62"/>
        <n v="56"/>
        <n v="82"/>
        <n v="85"/>
        <n v="51"/>
        <n v="65"/>
        <n v="70"/>
        <n v="74"/>
        <n v="58"/>
        <n v="69"/>
        <n v="52"/>
        <n v="95"/>
        <n v="54"/>
        <n v="81"/>
        <n v="84"/>
        <n v="98"/>
        <n v="90"/>
        <n v="91"/>
        <n v="57"/>
        <n v="93"/>
        <n v="71"/>
        <n v="86"/>
        <n v="80"/>
        <n v="61"/>
        <n v="88"/>
      </sharedItems>
    </cacheField>
    <cacheField name="Absences" numFmtId="0">
      <sharedItems containsSemiMixedTypes="0" containsString="0" containsNumber="1" containsInteger="1" minValue="0" maxValue="20"/>
    </cacheField>
    <cacheField name="Overtime_Hours" numFmtId="0">
      <sharedItems containsSemiMixedTypes="0" containsString="0" containsNumber="1" containsInteger="1" minValue="0" maxValue="60"/>
    </cacheField>
    <cacheField name="Training_Hours" numFmtId="0">
      <sharedItems containsSemiMixedTypes="0" containsString="0" containsNumber="1" containsInteger="1" minValue="0" maxValue="80"/>
    </cacheField>
    <cacheField name="Promotion_Eligible" numFmtId="0">
      <sharedItems count="2">
        <s v="Yes"/>
        <s v="No"/>
      </sharedItems>
    </cacheField>
    <cacheField name="Attrition_Risk" numFmtId="0">
      <sharedItems count="3">
        <s v="High"/>
        <s v="Medium"/>
        <s v="Low"/>
      </sharedItems>
    </cacheField>
    <cacheField name="Tenure_Years" numFmtId="0">
      <sharedItems containsSemiMixedTypes="0" containsString="0" containsNumber="1" minValue="0.2" maxValue="10.6"/>
    </cacheField>
  </cacheFields>
  <extLst>
    <ext xmlns:x14="http://schemas.microsoft.com/office/spreadsheetml/2009/9/main" uri="{725AE2AE-9491-48be-B2B4-4EB974FC3084}">
      <x14:pivotCacheDefinition pivotCacheId="15291189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s v="FN2"/>
    <s v="LN2"/>
    <x v="0"/>
    <n v="52"/>
    <x v="0"/>
    <x v="0"/>
    <x v="0"/>
    <x v="0"/>
    <x v="0"/>
    <s v="2021-10-07"/>
    <m/>
    <x v="0"/>
    <x v="0"/>
    <x v="0"/>
    <x v="0"/>
    <x v="0"/>
    <n v="16"/>
    <x v="0"/>
    <n v="66"/>
    <n v="8"/>
    <n v="45"/>
    <n v="35"/>
    <x v="0"/>
    <x v="0"/>
    <n v="4.8"/>
  </r>
  <r>
    <x v="1"/>
    <s v="FN3"/>
    <s v="LN3"/>
    <x v="1"/>
    <n v="24"/>
    <x v="1"/>
    <x v="1"/>
    <x v="1"/>
    <x v="1"/>
    <x v="1"/>
    <s v="2025-08-12"/>
    <m/>
    <x v="0"/>
    <x v="1"/>
    <x v="1"/>
    <x v="1"/>
    <x v="1"/>
    <n v="12"/>
    <x v="1"/>
    <n v="100"/>
    <n v="20"/>
    <n v="50"/>
    <n v="52"/>
    <x v="0"/>
    <x v="0"/>
    <n v="1"/>
  </r>
  <r>
    <x v="2"/>
    <s v="FN4"/>
    <s v="LN4"/>
    <x v="0"/>
    <n v="59"/>
    <x v="0"/>
    <x v="2"/>
    <x v="2"/>
    <x v="2"/>
    <x v="1"/>
    <s v="2025-03-10"/>
    <m/>
    <x v="0"/>
    <x v="2"/>
    <x v="2"/>
    <x v="2"/>
    <x v="2"/>
    <n v="19"/>
    <x v="1"/>
    <n v="92"/>
    <n v="3"/>
    <n v="49"/>
    <n v="46"/>
    <x v="1"/>
    <x v="1"/>
    <n v="1.4"/>
  </r>
  <r>
    <x v="3"/>
    <s v="FN5"/>
    <s v="LN5"/>
    <x v="1"/>
    <n v="55"/>
    <x v="0"/>
    <x v="0"/>
    <x v="3"/>
    <x v="0"/>
    <x v="0"/>
    <s v="2022-04-28"/>
    <m/>
    <x v="0"/>
    <x v="3"/>
    <x v="1"/>
    <x v="3"/>
    <x v="3"/>
    <n v="12"/>
    <x v="2"/>
    <n v="73"/>
    <n v="6"/>
    <n v="25"/>
    <n v="12"/>
    <x v="1"/>
    <x v="0"/>
    <n v="4.3"/>
  </r>
  <r>
    <x v="4"/>
    <s v="FN6"/>
    <s v="LN6"/>
    <x v="1"/>
    <n v="33"/>
    <x v="2"/>
    <x v="3"/>
    <x v="1"/>
    <x v="2"/>
    <x v="0"/>
    <s v="2021-03-30"/>
    <s v="2023-05-21"/>
    <x v="1"/>
    <x v="4"/>
    <x v="0"/>
    <x v="4"/>
    <x v="4"/>
    <n v="19"/>
    <x v="3"/>
    <n v="97"/>
    <n v="18"/>
    <n v="37"/>
    <n v="66"/>
    <x v="1"/>
    <x v="2"/>
    <n v="5.3"/>
  </r>
  <r>
    <x v="5"/>
    <s v="FN7"/>
    <s v="LN7"/>
    <x v="1"/>
    <n v="57"/>
    <x v="1"/>
    <x v="4"/>
    <x v="4"/>
    <x v="0"/>
    <x v="0"/>
    <s v="2024-06-04"/>
    <s v="2031-10-06"/>
    <x v="1"/>
    <x v="5"/>
    <x v="0"/>
    <x v="5"/>
    <x v="5"/>
    <n v="19"/>
    <x v="4"/>
    <n v="53"/>
    <n v="13"/>
    <n v="5"/>
    <n v="32"/>
    <x v="1"/>
    <x v="1"/>
    <n v="2.2000000000000002"/>
  </r>
  <r>
    <x v="6"/>
    <s v="FN8"/>
    <s v="LN8"/>
    <x v="1"/>
    <n v="49"/>
    <x v="3"/>
    <x v="2"/>
    <x v="0"/>
    <x v="1"/>
    <x v="1"/>
    <s v="2020-08-20"/>
    <s v="2022-03-22"/>
    <x v="1"/>
    <x v="6"/>
    <x v="0"/>
    <x v="6"/>
    <x v="6"/>
    <n v="23"/>
    <x v="4"/>
    <n v="53"/>
    <n v="5"/>
    <n v="15"/>
    <n v="31"/>
    <x v="0"/>
    <x v="0"/>
    <n v="5.9"/>
  </r>
  <r>
    <x v="7"/>
    <s v="FN9"/>
    <s v="LN9"/>
    <x v="1"/>
    <n v="49"/>
    <x v="2"/>
    <x v="5"/>
    <x v="0"/>
    <x v="1"/>
    <x v="1"/>
    <s v="2025-10-25"/>
    <m/>
    <x v="0"/>
    <x v="7"/>
    <x v="2"/>
    <x v="7"/>
    <x v="7"/>
    <n v="8"/>
    <x v="2"/>
    <n v="77"/>
    <n v="2"/>
    <n v="56"/>
    <n v="72"/>
    <x v="0"/>
    <x v="1"/>
    <n v="0.8"/>
  </r>
  <r>
    <x v="8"/>
    <s v="FN10"/>
    <s v="LN10"/>
    <x v="1"/>
    <n v="28"/>
    <x v="4"/>
    <x v="6"/>
    <x v="1"/>
    <x v="1"/>
    <x v="0"/>
    <s v="2020-07-24"/>
    <m/>
    <x v="0"/>
    <x v="8"/>
    <x v="1"/>
    <x v="8"/>
    <x v="8"/>
    <n v="23"/>
    <x v="5"/>
    <n v="87"/>
    <n v="1"/>
    <n v="29"/>
    <n v="47"/>
    <x v="0"/>
    <x v="0"/>
    <n v="6"/>
  </r>
  <r>
    <x v="9"/>
    <s v="FN11"/>
    <s v="LN11"/>
    <x v="0"/>
    <n v="44"/>
    <x v="4"/>
    <x v="2"/>
    <x v="4"/>
    <x v="1"/>
    <x v="0"/>
    <s v="2022-01-07"/>
    <m/>
    <x v="0"/>
    <x v="9"/>
    <x v="2"/>
    <x v="9"/>
    <x v="9"/>
    <n v="16"/>
    <x v="6"/>
    <n v="55"/>
    <n v="2"/>
    <n v="35"/>
    <n v="19"/>
    <x v="1"/>
    <x v="0"/>
    <n v="4.5999999999999996"/>
  </r>
  <r>
    <x v="10"/>
    <s v="FN12"/>
    <s v="LN12"/>
    <x v="1"/>
    <n v="41"/>
    <x v="2"/>
    <x v="3"/>
    <x v="4"/>
    <x v="1"/>
    <x v="0"/>
    <s v="2016-08-13"/>
    <m/>
    <x v="0"/>
    <x v="3"/>
    <x v="2"/>
    <x v="10"/>
    <x v="10"/>
    <n v="12"/>
    <x v="7"/>
    <n v="87"/>
    <n v="20"/>
    <n v="15"/>
    <n v="8"/>
    <x v="0"/>
    <x v="1"/>
    <n v="10"/>
  </r>
  <r>
    <x v="11"/>
    <s v="FN13"/>
    <s v="LN13"/>
    <x v="0"/>
    <n v="55"/>
    <x v="0"/>
    <x v="0"/>
    <x v="1"/>
    <x v="2"/>
    <x v="1"/>
    <s v="2021-10-12"/>
    <m/>
    <x v="0"/>
    <x v="10"/>
    <x v="2"/>
    <x v="11"/>
    <x v="11"/>
    <n v="25"/>
    <x v="6"/>
    <n v="78"/>
    <n v="15"/>
    <n v="49"/>
    <n v="15"/>
    <x v="1"/>
    <x v="1"/>
    <n v="4.8"/>
  </r>
  <r>
    <x v="12"/>
    <s v="FN14"/>
    <s v="LN14"/>
    <x v="1"/>
    <n v="35"/>
    <x v="5"/>
    <x v="2"/>
    <x v="4"/>
    <x v="2"/>
    <x v="0"/>
    <s v="2019-03-21"/>
    <m/>
    <x v="0"/>
    <x v="11"/>
    <x v="0"/>
    <x v="11"/>
    <x v="12"/>
    <n v="5"/>
    <x v="8"/>
    <n v="96"/>
    <n v="10"/>
    <n v="28"/>
    <n v="36"/>
    <x v="0"/>
    <x v="0"/>
    <n v="7.4"/>
  </r>
  <r>
    <x v="13"/>
    <s v="FN15"/>
    <s v="LN15"/>
    <x v="1"/>
    <n v="34"/>
    <x v="1"/>
    <x v="4"/>
    <x v="1"/>
    <x v="2"/>
    <x v="0"/>
    <s v="2017-03-31"/>
    <m/>
    <x v="0"/>
    <x v="12"/>
    <x v="0"/>
    <x v="12"/>
    <x v="13"/>
    <n v="23"/>
    <x v="9"/>
    <n v="59"/>
    <n v="0"/>
    <n v="19"/>
    <n v="45"/>
    <x v="1"/>
    <x v="0"/>
    <n v="9.3000000000000007"/>
  </r>
  <r>
    <x v="14"/>
    <s v="FN16"/>
    <s v="LN16"/>
    <x v="0"/>
    <n v="27"/>
    <x v="2"/>
    <x v="7"/>
    <x v="1"/>
    <x v="2"/>
    <x v="1"/>
    <s v="2026-01-16"/>
    <m/>
    <x v="0"/>
    <x v="13"/>
    <x v="1"/>
    <x v="13"/>
    <x v="14"/>
    <n v="23"/>
    <x v="10"/>
    <n v="72"/>
    <n v="13"/>
    <n v="58"/>
    <n v="18"/>
    <x v="0"/>
    <x v="1"/>
    <n v="0.5"/>
  </r>
  <r>
    <x v="15"/>
    <s v="FN17"/>
    <s v="LN17"/>
    <x v="0"/>
    <n v="43"/>
    <x v="5"/>
    <x v="8"/>
    <x v="3"/>
    <x v="2"/>
    <x v="0"/>
    <s v="2025-03-27"/>
    <m/>
    <x v="0"/>
    <x v="14"/>
    <x v="2"/>
    <x v="14"/>
    <x v="15"/>
    <n v="17"/>
    <x v="11"/>
    <n v="63"/>
    <n v="7"/>
    <n v="7"/>
    <n v="77"/>
    <x v="1"/>
    <x v="0"/>
    <n v="1.3"/>
  </r>
  <r>
    <x v="16"/>
    <s v="FN18"/>
    <s v="LN18"/>
    <x v="0"/>
    <n v="55"/>
    <x v="4"/>
    <x v="9"/>
    <x v="4"/>
    <x v="2"/>
    <x v="1"/>
    <s v="2019-03-22"/>
    <m/>
    <x v="0"/>
    <x v="15"/>
    <x v="1"/>
    <x v="14"/>
    <x v="16"/>
    <n v="23"/>
    <x v="1"/>
    <n v="50"/>
    <n v="1"/>
    <n v="47"/>
    <n v="12"/>
    <x v="0"/>
    <x v="1"/>
    <n v="7.4"/>
  </r>
  <r>
    <x v="17"/>
    <s v="FN19"/>
    <s v="LN19"/>
    <x v="0"/>
    <n v="44"/>
    <x v="2"/>
    <x v="7"/>
    <x v="3"/>
    <x v="2"/>
    <x v="1"/>
    <s v="2016-08-03"/>
    <s v="2024-02-15"/>
    <x v="1"/>
    <x v="16"/>
    <x v="2"/>
    <x v="9"/>
    <x v="17"/>
    <n v="5"/>
    <x v="12"/>
    <n v="64"/>
    <n v="13"/>
    <n v="58"/>
    <n v="75"/>
    <x v="1"/>
    <x v="0"/>
    <n v="10"/>
  </r>
  <r>
    <x v="18"/>
    <s v="FN20"/>
    <s v="LN20"/>
    <x v="1"/>
    <n v="34"/>
    <x v="5"/>
    <x v="8"/>
    <x v="3"/>
    <x v="2"/>
    <x v="0"/>
    <s v="2024-05-10"/>
    <m/>
    <x v="0"/>
    <x v="4"/>
    <x v="1"/>
    <x v="11"/>
    <x v="18"/>
    <n v="22"/>
    <x v="4"/>
    <n v="96"/>
    <n v="15"/>
    <n v="51"/>
    <n v="59"/>
    <x v="0"/>
    <x v="1"/>
    <n v="2.2000000000000002"/>
  </r>
  <r>
    <x v="19"/>
    <s v="FN21"/>
    <s v="LN21"/>
    <x v="0"/>
    <n v="43"/>
    <x v="2"/>
    <x v="7"/>
    <x v="2"/>
    <x v="2"/>
    <x v="1"/>
    <s v="2021-10-03"/>
    <s v="2025-03-06"/>
    <x v="1"/>
    <x v="17"/>
    <x v="0"/>
    <x v="15"/>
    <x v="19"/>
    <n v="7"/>
    <x v="13"/>
    <n v="77"/>
    <n v="17"/>
    <n v="20"/>
    <n v="56"/>
    <x v="0"/>
    <x v="0"/>
    <n v="4.8"/>
  </r>
  <r>
    <x v="20"/>
    <s v="FN22"/>
    <s v="LN22"/>
    <x v="0"/>
    <n v="37"/>
    <x v="1"/>
    <x v="1"/>
    <x v="0"/>
    <x v="0"/>
    <x v="0"/>
    <s v="2024-09-25"/>
    <m/>
    <x v="0"/>
    <x v="18"/>
    <x v="0"/>
    <x v="10"/>
    <x v="20"/>
    <n v="23"/>
    <x v="1"/>
    <n v="87"/>
    <n v="9"/>
    <n v="2"/>
    <n v="62"/>
    <x v="1"/>
    <x v="0"/>
    <n v="1.8"/>
  </r>
  <r>
    <x v="21"/>
    <s v="FN23"/>
    <s v="LN23"/>
    <x v="0"/>
    <n v="37"/>
    <x v="2"/>
    <x v="5"/>
    <x v="3"/>
    <x v="0"/>
    <x v="1"/>
    <s v="2018-12-07"/>
    <m/>
    <x v="0"/>
    <x v="19"/>
    <x v="0"/>
    <x v="16"/>
    <x v="21"/>
    <n v="18"/>
    <x v="14"/>
    <n v="99"/>
    <n v="13"/>
    <n v="45"/>
    <n v="26"/>
    <x v="0"/>
    <x v="1"/>
    <n v="7.6"/>
  </r>
  <r>
    <x v="22"/>
    <s v="FN24"/>
    <s v="LN24"/>
    <x v="0"/>
    <n v="29"/>
    <x v="1"/>
    <x v="4"/>
    <x v="3"/>
    <x v="1"/>
    <x v="1"/>
    <s v="2019-10-08"/>
    <m/>
    <x v="0"/>
    <x v="20"/>
    <x v="1"/>
    <x v="3"/>
    <x v="22"/>
    <n v="24"/>
    <x v="11"/>
    <n v="63"/>
    <n v="4"/>
    <n v="26"/>
    <n v="33"/>
    <x v="0"/>
    <x v="1"/>
    <n v="6.8"/>
  </r>
  <r>
    <x v="23"/>
    <s v="FN25"/>
    <s v="LN25"/>
    <x v="1"/>
    <n v="42"/>
    <x v="2"/>
    <x v="3"/>
    <x v="4"/>
    <x v="1"/>
    <x v="0"/>
    <s v="2019-07-26"/>
    <m/>
    <x v="0"/>
    <x v="5"/>
    <x v="0"/>
    <x v="17"/>
    <x v="23"/>
    <n v="25"/>
    <x v="8"/>
    <n v="63"/>
    <n v="3"/>
    <n v="35"/>
    <n v="24"/>
    <x v="1"/>
    <x v="2"/>
    <n v="7"/>
  </r>
  <r>
    <x v="24"/>
    <s v="FN26"/>
    <s v="LN26"/>
    <x v="1"/>
    <n v="60"/>
    <x v="1"/>
    <x v="4"/>
    <x v="3"/>
    <x v="0"/>
    <x v="0"/>
    <s v="2021-07-22"/>
    <m/>
    <x v="0"/>
    <x v="21"/>
    <x v="1"/>
    <x v="18"/>
    <x v="24"/>
    <n v="23"/>
    <x v="15"/>
    <n v="94"/>
    <n v="18"/>
    <n v="31"/>
    <n v="38"/>
    <x v="0"/>
    <x v="2"/>
    <n v="5"/>
  </r>
  <r>
    <x v="25"/>
    <s v="FN27"/>
    <s v="LN27"/>
    <x v="1"/>
    <n v="26"/>
    <x v="4"/>
    <x v="2"/>
    <x v="2"/>
    <x v="2"/>
    <x v="0"/>
    <s v="2017-09-14"/>
    <m/>
    <x v="0"/>
    <x v="22"/>
    <x v="1"/>
    <x v="9"/>
    <x v="25"/>
    <n v="22"/>
    <x v="9"/>
    <n v="59"/>
    <n v="13"/>
    <n v="60"/>
    <n v="71"/>
    <x v="1"/>
    <x v="1"/>
    <n v="8.9"/>
  </r>
  <r>
    <x v="26"/>
    <s v="FN28"/>
    <s v="LN28"/>
    <x v="1"/>
    <n v="21"/>
    <x v="1"/>
    <x v="1"/>
    <x v="0"/>
    <x v="1"/>
    <x v="0"/>
    <s v="2016-11-27"/>
    <m/>
    <x v="0"/>
    <x v="23"/>
    <x v="2"/>
    <x v="4"/>
    <x v="26"/>
    <n v="6"/>
    <x v="1"/>
    <n v="92"/>
    <n v="6"/>
    <n v="17"/>
    <n v="65"/>
    <x v="1"/>
    <x v="2"/>
    <n v="9.6999999999999993"/>
  </r>
  <r>
    <x v="27"/>
    <s v="FN29"/>
    <s v="LN29"/>
    <x v="1"/>
    <n v="23"/>
    <x v="4"/>
    <x v="2"/>
    <x v="1"/>
    <x v="2"/>
    <x v="1"/>
    <s v="2017-11-12"/>
    <m/>
    <x v="0"/>
    <x v="24"/>
    <x v="0"/>
    <x v="4"/>
    <x v="27"/>
    <n v="8"/>
    <x v="2"/>
    <n v="96"/>
    <n v="13"/>
    <n v="16"/>
    <n v="61"/>
    <x v="0"/>
    <x v="1"/>
    <n v="8.6999999999999993"/>
  </r>
  <r>
    <x v="28"/>
    <s v="FN30"/>
    <s v="LN30"/>
    <x v="1"/>
    <n v="42"/>
    <x v="1"/>
    <x v="4"/>
    <x v="2"/>
    <x v="0"/>
    <x v="1"/>
    <s v="2023-11-21"/>
    <m/>
    <x v="0"/>
    <x v="25"/>
    <x v="0"/>
    <x v="7"/>
    <x v="28"/>
    <n v="22"/>
    <x v="7"/>
    <n v="68"/>
    <n v="7"/>
    <n v="34"/>
    <n v="64"/>
    <x v="0"/>
    <x v="2"/>
    <n v="2.7"/>
  </r>
  <r>
    <x v="29"/>
    <s v="FN31"/>
    <s v="LN31"/>
    <x v="1"/>
    <n v="33"/>
    <x v="2"/>
    <x v="7"/>
    <x v="4"/>
    <x v="2"/>
    <x v="1"/>
    <s v="2025-04-16"/>
    <m/>
    <x v="0"/>
    <x v="26"/>
    <x v="1"/>
    <x v="7"/>
    <x v="29"/>
    <n v="18"/>
    <x v="16"/>
    <n v="92"/>
    <n v="18"/>
    <n v="53"/>
    <n v="78"/>
    <x v="1"/>
    <x v="2"/>
    <n v="1.3"/>
  </r>
  <r>
    <x v="30"/>
    <s v="FN32"/>
    <s v="LN32"/>
    <x v="0"/>
    <n v="38"/>
    <x v="3"/>
    <x v="2"/>
    <x v="2"/>
    <x v="1"/>
    <x v="1"/>
    <s v="2025-08-28"/>
    <m/>
    <x v="0"/>
    <x v="27"/>
    <x v="1"/>
    <x v="19"/>
    <x v="30"/>
    <n v="23"/>
    <x v="14"/>
    <n v="60"/>
    <n v="14"/>
    <n v="11"/>
    <n v="1"/>
    <x v="1"/>
    <x v="1"/>
    <n v="0.9"/>
  </r>
  <r>
    <x v="31"/>
    <s v="FN33"/>
    <s v="LN33"/>
    <x v="0"/>
    <n v="29"/>
    <x v="4"/>
    <x v="6"/>
    <x v="3"/>
    <x v="0"/>
    <x v="1"/>
    <s v="2023-08-28"/>
    <m/>
    <x v="0"/>
    <x v="28"/>
    <x v="2"/>
    <x v="20"/>
    <x v="31"/>
    <n v="19"/>
    <x v="12"/>
    <n v="79"/>
    <n v="11"/>
    <n v="16"/>
    <n v="77"/>
    <x v="1"/>
    <x v="0"/>
    <n v="2.9"/>
  </r>
  <r>
    <x v="32"/>
    <s v="FN34"/>
    <s v="LN34"/>
    <x v="0"/>
    <n v="43"/>
    <x v="5"/>
    <x v="8"/>
    <x v="2"/>
    <x v="2"/>
    <x v="0"/>
    <s v="2026-03-31"/>
    <m/>
    <x v="0"/>
    <x v="29"/>
    <x v="1"/>
    <x v="11"/>
    <x v="32"/>
    <n v="21"/>
    <x v="15"/>
    <n v="89"/>
    <n v="10"/>
    <n v="18"/>
    <n v="36"/>
    <x v="0"/>
    <x v="1"/>
    <n v="0.3"/>
  </r>
  <r>
    <x v="33"/>
    <s v="FN35"/>
    <s v="LN35"/>
    <x v="1"/>
    <n v="56"/>
    <x v="5"/>
    <x v="8"/>
    <x v="2"/>
    <x v="2"/>
    <x v="1"/>
    <s v="2018-02-03"/>
    <m/>
    <x v="0"/>
    <x v="30"/>
    <x v="0"/>
    <x v="18"/>
    <x v="33"/>
    <n v="10"/>
    <x v="17"/>
    <n v="63"/>
    <n v="17"/>
    <n v="1"/>
    <n v="13"/>
    <x v="0"/>
    <x v="2"/>
    <n v="8.5"/>
  </r>
  <r>
    <x v="34"/>
    <s v="FN36"/>
    <s v="LN36"/>
    <x v="1"/>
    <n v="41"/>
    <x v="2"/>
    <x v="5"/>
    <x v="1"/>
    <x v="1"/>
    <x v="1"/>
    <s v="2021-09-06"/>
    <m/>
    <x v="0"/>
    <x v="2"/>
    <x v="0"/>
    <x v="6"/>
    <x v="34"/>
    <n v="13"/>
    <x v="8"/>
    <n v="75"/>
    <n v="5"/>
    <n v="26"/>
    <n v="60"/>
    <x v="0"/>
    <x v="2"/>
    <n v="4.9000000000000004"/>
  </r>
  <r>
    <x v="35"/>
    <s v="FN37"/>
    <s v="LN37"/>
    <x v="0"/>
    <n v="33"/>
    <x v="3"/>
    <x v="2"/>
    <x v="4"/>
    <x v="0"/>
    <x v="1"/>
    <s v="2020-11-23"/>
    <m/>
    <x v="0"/>
    <x v="31"/>
    <x v="2"/>
    <x v="19"/>
    <x v="35"/>
    <n v="15"/>
    <x v="18"/>
    <n v="94"/>
    <n v="17"/>
    <n v="46"/>
    <n v="61"/>
    <x v="1"/>
    <x v="1"/>
    <n v="5.7"/>
  </r>
  <r>
    <x v="36"/>
    <s v="FN38"/>
    <s v="LN38"/>
    <x v="1"/>
    <n v="57"/>
    <x v="3"/>
    <x v="2"/>
    <x v="1"/>
    <x v="2"/>
    <x v="0"/>
    <s v="2017-02-22"/>
    <m/>
    <x v="0"/>
    <x v="32"/>
    <x v="1"/>
    <x v="10"/>
    <x v="36"/>
    <n v="13"/>
    <x v="9"/>
    <n v="83"/>
    <n v="19"/>
    <n v="50"/>
    <n v="73"/>
    <x v="0"/>
    <x v="2"/>
    <n v="9.4"/>
  </r>
  <r>
    <x v="37"/>
    <s v="FN39"/>
    <s v="LN39"/>
    <x v="1"/>
    <n v="55"/>
    <x v="1"/>
    <x v="4"/>
    <x v="2"/>
    <x v="1"/>
    <x v="1"/>
    <s v="2025-08-10"/>
    <m/>
    <x v="0"/>
    <x v="33"/>
    <x v="2"/>
    <x v="13"/>
    <x v="37"/>
    <n v="16"/>
    <x v="19"/>
    <n v="77"/>
    <n v="12"/>
    <n v="18"/>
    <n v="2"/>
    <x v="0"/>
    <x v="1"/>
    <n v="1"/>
  </r>
  <r>
    <x v="38"/>
    <s v="FN40"/>
    <s v="LN40"/>
    <x v="1"/>
    <n v="54"/>
    <x v="5"/>
    <x v="2"/>
    <x v="4"/>
    <x v="1"/>
    <x v="1"/>
    <s v="2024-02-29"/>
    <m/>
    <x v="0"/>
    <x v="34"/>
    <x v="0"/>
    <x v="21"/>
    <x v="38"/>
    <n v="20"/>
    <x v="2"/>
    <n v="76"/>
    <n v="8"/>
    <n v="46"/>
    <n v="29"/>
    <x v="1"/>
    <x v="1"/>
    <n v="2.4"/>
  </r>
  <r>
    <x v="39"/>
    <s v="FN41"/>
    <s v="LN41"/>
    <x v="1"/>
    <n v="38"/>
    <x v="5"/>
    <x v="8"/>
    <x v="4"/>
    <x v="0"/>
    <x v="0"/>
    <s v="2017-06-10"/>
    <m/>
    <x v="0"/>
    <x v="35"/>
    <x v="2"/>
    <x v="20"/>
    <x v="39"/>
    <n v="10"/>
    <x v="8"/>
    <n v="67"/>
    <n v="9"/>
    <n v="30"/>
    <n v="5"/>
    <x v="1"/>
    <x v="2"/>
    <n v="9.1"/>
  </r>
  <r>
    <x v="40"/>
    <s v="FN42"/>
    <s v="LN42"/>
    <x v="1"/>
    <n v="38"/>
    <x v="0"/>
    <x v="0"/>
    <x v="2"/>
    <x v="1"/>
    <x v="1"/>
    <s v="2024-03-07"/>
    <m/>
    <x v="0"/>
    <x v="36"/>
    <x v="0"/>
    <x v="8"/>
    <x v="40"/>
    <n v="7"/>
    <x v="11"/>
    <n v="99"/>
    <n v="11"/>
    <n v="23"/>
    <n v="31"/>
    <x v="0"/>
    <x v="1"/>
    <n v="2.4"/>
  </r>
  <r>
    <x v="41"/>
    <s v="FN43"/>
    <s v="LN43"/>
    <x v="0"/>
    <n v="42"/>
    <x v="0"/>
    <x v="0"/>
    <x v="3"/>
    <x v="0"/>
    <x v="0"/>
    <s v="2025-08-29"/>
    <m/>
    <x v="0"/>
    <x v="29"/>
    <x v="1"/>
    <x v="21"/>
    <x v="41"/>
    <n v="15"/>
    <x v="6"/>
    <n v="66"/>
    <n v="20"/>
    <n v="3"/>
    <n v="62"/>
    <x v="0"/>
    <x v="2"/>
    <n v="0.9"/>
  </r>
  <r>
    <x v="42"/>
    <s v="FN44"/>
    <s v="LN44"/>
    <x v="0"/>
    <n v="43"/>
    <x v="3"/>
    <x v="2"/>
    <x v="1"/>
    <x v="1"/>
    <x v="0"/>
    <s v="2021-12-18"/>
    <m/>
    <x v="0"/>
    <x v="37"/>
    <x v="2"/>
    <x v="22"/>
    <x v="42"/>
    <n v="7"/>
    <x v="20"/>
    <n v="66"/>
    <n v="16"/>
    <n v="51"/>
    <n v="17"/>
    <x v="1"/>
    <x v="2"/>
    <n v="4.5999999999999996"/>
  </r>
  <r>
    <x v="43"/>
    <s v="FN45"/>
    <s v="LN45"/>
    <x v="1"/>
    <n v="59"/>
    <x v="3"/>
    <x v="10"/>
    <x v="2"/>
    <x v="0"/>
    <x v="0"/>
    <s v="2024-02-01"/>
    <m/>
    <x v="0"/>
    <x v="37"/>
    <x v="0"/>
    <x v="23"/>
    <x v="43"/>
    <n v="16"/>
    <x v="9"/>
    <n v="62"/>
    <n v="16"/>
    <n v="38"/>
    <n v="66"/>
    <x v="0"/>
    <x v="1"/>
    <n v="2.5"/>
  </r>
  <r>
    <x v="44"/>
    <s v="FN46"/>
    <s v="LN46"/>
    <x v="0"/>
    <n v="37"/>
    <x v="5"/>
    <x v="2"/>
    <x v="2"/>
    <x v="0"/>
    <x v="1"/>
    <s v="2021-10-12"/>
    <m/>
    <x v="0"/>
    <x v="38"/>
    <x v="2"/>
    <x v="8"/>
    <x v="44"/>
    <n v="9"/>
    <x v="16"/>
    <n v="56"/>
    <n v="17"/>
    <n v="36"/>
    <n v="59"/>
    <x v="0"/>
    <x v="2"/>
    <n v="4.8"/>
  </r>
  <r>
    <x v="45"/>
    <s v="FN47"/>
    <s v="LN47"/>
    <x v="1"/>
    <n v="55"/>
    <x v="0"/>
    <x v="0"/>
    <x v="3"/>
    <x v="1"/>
    <x v="0"/>
    <s v="2020-07-22"/>
    <m/>
    <x v="0"/>
    <x v="21"/>
    <x v="0"/>
    <x v="24"/>
    <x v="45"/>
    <n v="24"/>
    <x v="21"/>
    <n v="82"/>
    <n v="5"/>
    <n v="34"/>
    <n v="24"/>
    <x v="0"/>
    <x v="2"/>
    <n v="6"/>
  </r>
  <r>
    <x v="46"/>
    <s v="FN48"/>
    <s v="LN48"/>
    <x v="0"/>
    <n v="50"/>
    <x v="0"/>
    <x v="2"/>
    <x v="3"/>
    <x v="2"/>
    <x v="1"/>
    <s v="2023-07-25"/>
    <m/>
    <x v="0"/>
    <x v="39"/>
    <x v="0"/>
    <x v="12"/>
    <x v="46"/>
    <n v="20"/>
    <x v="22"/>
    <n v="56"/>
    <n v="19"/>
    <n v="13"/>
    <n v="74"/>
    <x v="0"/>
    <x v="0"/>
    <n v="3"/>
  </r>
  <r>
    <x v="47"/>
    <s v="FN49"/>
    <s v="LN49"/>
    <x v="1"/>
    <n v="46"/>
    <x v="3"/>
    <x v="2"/>
    <x v="4"/>
    <x v="0"/>
    <x v="1"/>
    <s v="2024-05-08"/>
    <m/>
    <x v="0"/>
    <x v="40"/>
    <x v="1"/>
    <x v="25"/>
    <x v="47"/>
    <n v="9"/>
    <x v="17"/>
    <n v="83"/>
    <n v="15"/>
    <n v="33"/>
    <n v="45"/>
    <x v="0"/>
    <x v="2"/>
    <n v="2.2000000000000002"/>
  </r>
  <r>
    <x v="48"/>
    <s v="FN50"/>
    <s v="LN50"/>
    <x v="0"/>
    <n v="28"/>
    <x v="1"/>
    <x v="4"/>
    <x v="2"/>
    <x v="1"/>
    <x v="1"/>
    <s v="2019-09-01"/>
    <m/>
    <x v="0"/>
    <x v="3"/>
    <x v="1"/>
    <x v="22"/>
    <x v="48"/>
    <n v="22"/>
    <x v="23"/>
    <n v="75"/>
    <n v="15"/>
    <n v="3"/>
    <n v="36"/>
    <x v="0"/>
    <x v="2"/>
    <n v="6.9"/>
  </r>
  <r>
    <x v="49"/>
    <s v="FN51"/>
    <s v="LN51"/>
    <x v="0"/>
    <n v="39"/>
    <x v="0"/>
    <x v="0"/>
    <x v="1"/>
    <x v="0"/>
    <x v="1"/>
    <s v="2024-01-19"/>
    <m/>
    <x v="0"/>
    <x v="41"/>
    <x v="0"/>
    <x v="20"/>
    <x v="49"/>
    <n v="8"/>
    <x v="5"/>
    <n v="85"/>
    <n v="14"/>
    <n v="37"/>
    <n v="21"/>
    <x v="0"/>
    <x v="2"/>
    <n v="2.5"/>
  </r>
  <r>
    <x v="50"/>
    <s v="FN52"/>
    <s v="LN52"/>
    <x v="1"/>
    <n v="35"/>
    <x v="1"/>
    <x v="1"/>
    <x v="0"/>
    <x v="0"/>
    <x v="0"/>
    <s v="2022-01-08"/>
    <m/>
    <x v="0"/>
    <x v="42"/>
    <x v="0"/>
    <x v="24"/>
    <x v="50"/>
    <n v="11"/>
    <x v="6"/>
    <n v="51"/>
    <n v="4"/>
    <n v="31"/>
    <n v="0"/>
    <x v="1"/>
    <x v="0"/>
    <n v="4.5999999999999996"/>
  </r>
  <r>
    <x v="51"/>
    <s v="FN53"/>
    <s v="LN53"/>
    <x v="0"/>
    <n v="26"/>
    <x v="3"/>
    <x v="10"/>
    <x v="4"/>
    <x v="1"/>
    <x v="1"/>
    <s v="2018-02-01"/>
    <m/>
    <x v="0"/>
    <x v="39"/>
    <x v="1"/>
    <x v="24"/>
    <x v="51"/>
    <n v="11"/>
    <x v="24"/>
    <n v="55"/>
    <n v="13"/>
    <n v="29"/>
    <n v="32"/>
    <x v="1"/>
    <x v="1"/>
    <n v="8.5"/>
  </r>
  <r>
    <x v="52"/>
    <s v="FN54"/>
    <s v="LN54"/>
    <x v="0"/>
    <n v="58"/>
    <x v="1"/>
    <x v="4"/>
    <x v="3"/>
    <x v="1"/>
    <x v="0"/>
    <s v="2019-01-17"/>
    <m/>
    <x v="0"/>
    <x v="43"/>
    <x v="2"/>
    <x v="5"/>
    <x v="52"/>
    <n v="17"/>
    <x v="17"/>
    <n v="100"/>
    <n v="2"/>
    <n v="4"/>
    <n v="55"/>
    <x v="0"/>
    <x v="1"/>
    <n v="7.5"/>
  </r>
  <r>
    <x v="53"/>
    <s v="FN55"/>
    <s v="LN55"/>
    <x v="1"/>
    <n v="39"/>
    <x v="2"/>
    <x v="3"/>
    <x v="0"/>
    <x v="0"/>
    <x v="0"/>
    <s v="2018-09-10"/>
    <m/>
    <x v="0"/>
    <x v="44"/>
    <x v="2"/>
    <x v="26"/>
    <x v="53"/>
    <n v="24"/>
    <x v="22"/>
    <n v="77"/>
    <n v="10"/>
    <n v="55"/>
    <n v="52"/>
    <x v="1"/>
    <x v="0"/>
    <n v="7.9"/>
  </r>
  <r>
    <x v="54"/>
    <s v="FN56"/>
    <s v="LN56"/>
    <x v="0"/>
    <n v="26"/>
    <x v="3"/>
    <x v="10"/>
    <x v="4"/>
    <x v="2"/>
    <x v="0"/>
    <s v="2018-09-06"/>
    <m/>
    <x v="0"/>
    <x v="45"/>
    <x v="0"/>
    <x v="18"/>
    <x v="54"/>
    <n v="9"/>
    <x v="3"/>
    <n v="65"/>
    <n v="3"/>
    <n v="54"/>
    <n v="53"/>
    <x v="1"/>
    <x v="2"/>
    <n v="7.9"/>
  </r>
  <r>
    <x v="55"/>
    <s v="FN57"/>
    <s v="LN57"/>
    <x v="1"/>
    <n v="45"/>
    <x v="5"/>
    <x v="8"/>
    <x v="1"/>
    <x v="1"/>
    <x v="0"/>
    <s v="2025-10-25"/>
    <m/>
    <x v="0"/>
    <x v="46"/>
    <x v="0"/>
    <x v="27"/>
    <x v="55"/>
    <n v="16"/>
    <x v="25"/>
    <n v="70"/>
    <n v="5"/>
    <n v="36"/>
    <n v="0"/>
    <x v="1"/>
    <x v="0"/>
    <n v="0.8"/>
  </r>
  <r>
    <x v="56"/>
    <s v="FN58"/>
    <s v="LN58"/>
    <x v="1"/>
    <n v="36"/>
    <x v="0"/>
    <x v="2"/>
    <x v="1"/>
    <x v="2"/>
    <x v="1"/>
    <s v="2021-06-21"/>
    <m/>
    <x v="0"/>
    <x v="47"/>
    <x v="0"/>
    <x v="7"/>
    <x v="56"/>
    <n v="11"/>
    <x v="6"/>
    <n v="74"/>
    <n v="3"/>
    <n v="45"/>
    <n v="79"/>
    <x v="1"/>
    <x v="1"/>
    <n v="5.0999999999999996"/>
  </r>
  <r>
    <x v="57"/>
    <s v="FN59"/>
    <s v="LN59"/>
    <x v="1"/>
    <n v="31"/>
    <x v="0"/>
    <x v="2"/>
    <x v="1"/>
    <x v="0"/>
    <x v="1"/>
    <s v="2018-10-21"/>
    <s v="2021-09-01"/>
    <x v="1"/>
    <x v="48"/>
    <x v="1"/>
    <x v="23"/>
    <x v="57"/>
    <n v="14"/>
    <x v="21"/>
    <n v="59"/>
    <n v="0"/>
    <n v="34"/>
    <n v="7"/>
    <x v="1"/>
    <x v="1"/>
    <n v="7.8"/>
  </r>
  <r>
    <x v="58"/>
    <s v="FN60"/>
    <s v="LN60"/>
    <x v="1"/>
    <n v="28"/>
    <x v="4"/>
    <x v="6"/>
    <x v="3"/>
    <x v="0"/>
    <x v="1"/>
    <s v="2018-05-29"/>
    <m/>
    <x v="0"/>
    <x v="49"/>
    <x v="0"/>
    <x v="21"/>
    <x v="58"/>
    <n v="25"/>
    <x v="16"/>
    <n v="89"/>
    <n v="19"/>
    <n v="60"/>
    <n v="14"/>
    <x v="1"/>
    <x v="1"/>
    <n v="8.1999999999999993"/>
  </r>
  <r>
    <x v="59"/>
    <s v="FN61"/>
    <s v="LN61"/>
    <x v="1"/>
    <n v="45"/>
    <x v="5"/>
    <x v="8"/>
    <x v="0"/>
    <x v="0"/>
    <x v="0"/>
    <s v="2020-04-04"/>
    <m/>
    <x v="0"/>
    <x v="50"/>
    <x v="0"/>
    <x v="4"/>
    <x v="59"/>
    <n v="19"/>
    <x v="3"/>
    <n v="89"/>
    <n v="3"/>
    <n v="42"/>
    <n v="3"/>
    <x v="1"/>
    <x v="0"/>
    <n v="6.3"/>
  </r>
  <r>
    <x v="60"/>
    <s v="FN62"/>
    <s v="LN62"/>
    <x v="0"/>
    <n v="32"/>
    <x v="0"/>
    <x v="2"/>
    <x v="4"/>
    <x v="2"/>
    <x v="1"/>
    <s v="2016-07-29"/>
    <m/>
    <x v="0"/>
    <x v="47"/>
    <x v="1"/>
    <x v="26"/>
    <x v="60"/>
    <n v="15"/>
    <x v="25"/>
    <n v="50"/>
    <n v="12"/>
    <n v="46"/>
    <n v="18"/>
    <x v="0"/>
    <x v="1"/>
    <n v="10"/>
  </r>
  <r>
    <x v="61"/>
    <s v="FN63"/>
    <s v="LN63"/>
    <x v="1"/>
    <n v="31"/>
    <x v="0"/>
    <x v="0"/>
    <x v="2"/>
    <x v="1"/>
    <x v="1"/>
    <s v="2019-04-13"/>
    <s v="2025-04-16"/>
    <x v="1"/>
    <x v="51"/>
    <x v="0"/>
    <x v="6"/>
    <x v="61"/>
    <n v="12"/>
    <x v="2"/>
    <n v="58"/>
    <n v="16"/>
    <n v="26"/>
    <n v="37"/>
    <x v="1"/>
    <x v="2"/>
    <n v="7.3"/>
  </r>
  <r>
    <x v="62"/>
    <s v="FN64"/>
    <s v="LN64"/>
    <x v="1"/>
    <n v="55"/>
    <x v="0"/>
    <x v="2"/>
    <x v="2"/>
    <x v="0"/>
    <x v="1"/>
    <s v="2020-03-10"/>
    <m/>
    <x v="0"/>
    <x v="28"/>
    <x v="1"/>
    <x v="6"/>
    <x v="62"/>
    <n v="16"/>
    <x v="25"/>
    <n v="83"/>
    <n v="13"/>
    <n v="5"/>
    <n v="45"/>
    <x v="0"/>
    <x v="2"/>
    <n v="6.4"/>
  </r>
  <r>
    <x v="63"/>
    <s v="FN65"/>
    <s v="LN65"/>
    <x v="1"/>
    <n v="58"/>
    <x v="5"/>
    <x v="2"/>
    <x v="1"/>
    <x v="1"/>
    <x v="1"/>
    <s v="2026-02-22"/>
    <m/>
    <x v="0"/>
    <x v="38"/>
    <x v="1"/>
    <x v="5"/>
    <x v="63"/>
    <n v="21"/>
    <x v="9"/>
    <n v="96"/>
    <n v="11"/>
    <n v="26"/>
    <n v="57"/>
    <x v="1"/>
    <x v="1"/>
    <n v="0.4"/>
  </r>
  <r>
    <x v="64"/>
    <s v="FN66"/>
    <s v="LN66"/>
    <x v="1"/>
    <n v="43"/>
    <x v="3"/>
    <x v="10"/>
    <x v="4"/>
    <x v="1"/>
    <x v="0"/>
    <s v="2023-08-24"/>
    <m/>
    <x v="0"/>
    <x v="52"/>
    <x v="0"/>
    <x v="9"/>
    <x v="64"/>
    <n v="23"/>
    <x v="22"/>
    <n v="72"/>
    <n v="19"/>
    <n v="60"/>
    <n v="2"/>
    <x v="0"/>
    <x v="2"/>
    <n v="2.9"/>
  </r>
  <r>
    <x v="65"/>
    <s v="FN67"/>
    <s v="LN67"/>
    <x v="0"/>
    <n v="40"/>
    <x v="0"/>
    <x v="2"/>
    <x v="1"/>
    <x v="0"/>
    <x v="1"/>
    <s v="2020-07-17"/>
    <m/>
    <x v="0"/>
    <x v="53"/>
    <x v="0"/>
    <x v="25"/>
    <x v="65"/>
    <n v="7"/>
    <x v="1"/>
    <n v="51"/>
    <n v="4"/>
    <n v="15"/>
    <n v="62"/>
    <x v="0"/>
    <x v="1"/>
    <n v="6"/>
  </r>
  <r>
    <x v="66"/>
    <s v="FN68"/>
    <s v="LN68"/>
    <x v="0"/>
    <n v="60"/>
    <x v="3"/>
    <x v="2"/>
    <x v="2"/>
    <x v="0"/>
    <x v="1"/>
    <s v="2016-12-09"/>
    <s v="2023-10-29"/>
    <x v="1"/>
    <x v="4"/>
    <x v="2"/>
    <x v="12"/>
    <x v="66"/>
    <n v="13"/>
    <x v="10"/>
    <n v="69"/>
    <n v="2"/>
    <n v="1"/>
    <n v="55"/>
    <x v="0"/>
    <x v="0"/>
    <n v="9.6"/>
  </r>
  <r>
    <x v="67"/>
    <s v="FN69"/>
    <s v="LN69"/>
    <x v="0"/>
    <n v="56"/>
    <x v="4"/>
    <x v="2"/>
    <x v="3"/>
    <x v="1"/>
    <x v="0"/>
    <s v="2024-05-30"/>
    <m/>
    <x v="0"/>
    <x v="54"/>
    <x v="2"/>
    <x v="0"/>
    <x v="67"/>
    <n v="22"/>
    <x v="13"/>
    <n v="62"/>
    <n v="3"/>
    <n v="27"/>
    <n v="72"/>
    <x v="0"/>
    <x v="2"/>
    <n v="2.2000000000000002"/>
  </r>
  <r>
    <x v="68"/>
    <s v="FN70"/>
    <s v="LN70"/>
    <x v="1"/>
    <n v="29"/>
    <x v="0"/>
    <x v="2"/>
    <x v="1"/>
    <x v="0"/>
    <x v="0"/>
    <s v="2016-05-26"/>
    <m/>
    <x v="0"/>
    <x v="50"/>
    <x v="0"/>
    <x v="28"/>
    <x v="68"/>
    <n v="7"/>
    <x v="12"/>
    <n v="73"/>
    <n v="1"/>
    <n v="55"/>
    <n v="64"/>
    <x v="1"/>
    <x v="0"/>
    <n v="10.199999999999999"/>
  </r>
  <r>
    <x v="69"/>
    <s v="FN71"/>
    <s v="LN71"/>
    <x v="0"/>
    <n v="42"/>
    <x v="0"/>
    <x v="2"/>
    <x v="4"/>
    <x v="2"/>
    <x v="0"/>
    <s v="2019-08-25"/>
    <m/>
    <x v="0"/>
    <x v="8"/>
    <x v="2"/>
    <x v="21"/>
    <x v="69"/>
    <n v="17"/>
    <x v="14"/>
    <n v="52"/>
    <n v="6"/>
    <n v="14"/>
    <n v="63"/>
    <x v="1"/>
    <x v="2"/>
    <n v="6.9"/>
  </r>
  <r>
    <x v="70"/>
    <s v="FN72"/>
    <s v="LN72"/>
    <x v="1"/>
    <n v="44"/>
    <x v="2"/>
    <x v="5"/>
    <x v="4"/>
    <x v="1"/>
    <x v="0"/>
    <s v="2021-05-25"/>
    <m/>
    <x v="0"/>
    <x v="47"/>
    <x v="1"/>
    <x v="18"/>
    <x v="70"/>
    <n v="14"/>
    <x v="6"/>
    <n v="95"/>
    <n v="15"/>
    <n v="17"/>
    <n v="51"/>
    <x v="0"/>
    <x v="2"/>
    <n v="5.2"/>
  </r>
  <r>
    <x v="71"/>
    <s v="FN73"/>
    <s v="LN73"/>
    <x v="0"/>
    <n v="39"/>
    <x v="5"/>
    <x v="2"/>
    <x v="1"/>
    <x v="1"/>
    <x v="0"/>
    <s v="2018-12-18"/>
    <m/>
    <x v="0"/>
    <x v="41"/>
    <x v="1"/>
    <x v="1"/>
    <x v="71"/>
    <n v="20"/>
    <x v="23"/>
    <n v="54"/>
    <n v="17"/>
    <n v="33"/>
    <n v="72"/>
    <x v="1"/>
    <x v="0"/>
    <n v="7.6"/>
  </r>
  <r>
    <x v="72"/>
    <s v="FN74"/>
    <s v="LN74"/>
    <x v="0"/>
    <n v="26"/>
    <x v="1"/>
    <x v="1"/>
    <x v="1"/>
    <x v="0"/>
    <x v="1"/>
    <s v="2023-05-21"/>
    <m/>
    <x v="0"/>
    <x v="42"/>
    <x v="2"/>
    <x v="20"/>
    <x v="72"/>
    <n v="11"/>
    <x v="10"/>
    <n v="81"/>
    <n v="12"/>
    <n v="15"/>
    <n v="37"/>
    <x v="0"/>
    <x v="2"/>
    <n v="3.2"/>
  </r>
  <r>
    <x v="73"/>
    <s v="FN75"/>
    <s v="LN75"/>
    <x v="0"/>
    <n v="43"/>
    <x v="5"/>
    <x v="8"/>
    <x v="2"/>
    <x v="0"/>
    <x v="0"/>
    <s v="2017-05-19"/>
    <m/>
    <x v="0"/>
    <x v="55"/>
    <x v="2"/>
    <x v="13"/>
    <x v="73"/>
    <n v="22"/>
    <x v="6"/>
    <n v="59"/>
    <n v="15"/>
    <n v="53"/>
    <n v="67"/>
    <x v="0"/>
    <x v="1"/>
    <n v="9.1999999999999993"/>
  </r>
  <r>
    <x v="74"/>
    <s v="FN76"/>
    <s v="LN76"/>
    <x v="1"/>
    <n v="48"/>
    <x v="1"/>
    <x v="4"/>
    <x v="2"/>
    <x v="1"/>
    <x v="0"/>
    <s v="2023-08-28"/>
    <m/>
    <x v="0"/>
    <x v="43"/>
    <x v="1"/>
    <x v="19"/>
    <x v="74"/>
    <n v="18"/>
    <x v="14"/>
    <n v="77"/>
    <n v="5"/>
    <n v="44"/>
    <n v="42"/>
    <x v="0"/>
    <x v="0"/>
    <n v="2.9"/>
  </r>
  <r>
    <x v="75"/>
    <s v="FN77"/>
    <s v="LN77"/>
    <x v="0"/>
    <n v="43"/>
    <x v="2"/>
    <x v="7"/>
    <x v="0"/>
    <x v="0"/>
    <x v="1"/>
    <s v="2023-04-08"/>
    <m/>
    <x v="0"/>
    <x v="14"/>
    <x v="2"/>
    <x v="11"/>
    <x v="75"/>
    <n v="14"/>
    <x v="3"/>
    <n v="87"/>
    <n v="15"/>
    <n v="56"/>
    <n v="37"/>
    <x v="0"/>
    <x v="1"/>
    <n v="3.3"/>
  </r>
  <r>
    <x v="76"/>
    <s v="FN78"/>
    <s v="LN78"/>
    <x v="1"/>
    <n v="58"/>
    <x v="2"/>
    <x v="3"/>
    <x v="1"/>
    <x v="1"/>
    <x v="0"/>
    <s v="2022-06-06"/>
    <m/>
    <x v="0"/>
    <x v="45"/>
    <x v="0"/>
    <x v="5"/>
    <x v="76"/>
    <n v="8"/>
    <x v="19"/>
    <n v="67"/>
    <n v="1"/>
    <n v="24"/>
    <n v="14"/>
    <x v="0"/>
    <x v="0"/>
    <n v="4.0999999999999996"/>
  </r>
  <r>
    <x v="77"/>
    <s v="FN79"/>
    <s v="LN79"/>
    <x v="0"/>
    <n v="24"/>
    <x v="2"/>
    <x v="3"/>
    <x v="1"/>
    <x v="1"/>
    <x v="0"/>
    <s v="2018-01-13"/>
    <m/>
    <x v="0"/>
    <x v="2"/>
    <x v="0"/>
    <x v="18"/>
    <x v="77"/>
    <n v="8"/>
    <x v="23"/>
    <n v="82"/>
    <n v="18"/>
    <n v="23"/>
    <n v="77"/>
    <x v="0"/>
    <x v="2"/>
    <n v="8.5"/>
  </r>
  <r>
    <x v="78"/>
    <s v="FN80"/>
    <s v="LN80"/>
    <x v="1"/>
    <n v="29"/>
    <x v="4"/>
    <x v="9"/>
    <x v="2"/>
    <x v="2"/>
    <x v="0"/>
    <s v="2017-05-17"/>
    <s v="2025-06-19"/>
    <x v="1"/>
    <x v="46"/>
    <x v="1"/>
    <x v="27"/>
    <x v="78"/>
    <n v="7"/>
    <x v="0"/>
    <n v="84"/>
    <n v="19"/>
    <n v="15"/>
    <n v="6"/>
    <x v="0"/>
    <x v="1"/>
    <n v="9.1999999999999993"/>
  </r>
  <r>
    <x v="79"/>
    <s v="FN81"/>
    <s v="LN81"/>
    <x v="0"/>
    <n v="27"/>
    <x v="5"/>
    <x v="6"/>
    <x v="3"/>
    <x v="0"/>
    <x v="0"/>
    <s v="2025-03-15"/>
    <m/>
    <x v="0"/>
    <x v="22"/>
    <x v="1"/>
    <x v="2"/>
    <x v="79"/>
    <n v="21"/>
    <x v="17"/>
    <n v="69"/>
    <n v="16"/>
    <n v="12"/>
    <n v="70"/>
    <x v="1"/>
    <x v="0"/>
    <n v="1.4"/>
  </r>
  <r>
    <x v="80"/>
    <s v="FN82"/>
    <s v="LN82"/>
    <x v="1"/>
    <n v="60"/>
    <x v="1"/>
    <x v="1"/>
    <x v="4"/>
    <x v="1"/>
    <x v="0"/>
    <s v="2021-06-13"/>
    <m/>
    <x v="0"/>
    <x v="14"/>
    <x v="1"/>
    <x v="13"/>
    <x v="80"/>
    <n v="14"/>
    <x v="21"/>
    <n v="84"/>
    <n v="20"/>
    <n v="19"/>
    <n v="64"/>
    <x v="1"/>
    <x v="1"/>
    <n v="5.0999999999999996"/>
  </r>
  <r>
    <x v="81"/>
    <s v="FN83"/>
    <s v="LN83"/>
    <x v="1"/>
    <n v="57"/>
    <x v="0"/>
    <x v="0"/>
    <x v="2"/>
    <x v="0"/>
    <x v="0"/>
    <s v="2021-03-16"/>
    <m/>
    <x v="0"/>
    <x v="32"/>
    <x v="1"/>
    <x v="25"/>
    <x v="81"/>
    <n v="25"/>
    <x v="0"/>
    <n v="60"/>
    <n v="15"/>
    <n v="19"/>
    <n v="59"/>
    <x v="1"/>
    <x v="1"/>
    <n v="5.4"/>
  </r>
  <r>
    <x v="82"/>
    <s v="FN84"/>
    <s v="LN84"/>
    <x v="1"/>
    <n v="42"/>
    <x v="0"/>
    <x v="2"/>
    <x v="0"/>
    <x v="1"/>
    <x v="1"/>
    <s v="2021-01-18"/>
    <m/>
    <x v="0"/>
    <x v="24"/>
    <x v="2"/>
    <x v="7"/>
    <x v="82"/>
    <n v="24"/>
    <x v="7"/>
    <n v="98"/>
    <n v="10"/>
    <n v="34"/>
    <n v="66"/>
    <x v="0"/>
    <x v="0"/>
    <n v="5.5"/>
  </r>
  <r>
    <x v="83"/>
    <s v="FN85"/>
    <s v="LN85"/>
    <x v="0"/>
    <n v="32"/>
    <x v="5"/>
    <x v="2"/>
    <x v="0"/>
    <x v="0"/>
    <x v="1"/>
    <s v="2018-10-24"/>
    <m/>
    <x v="0"/>
    <x v="37"/>
    <x v="0"/>
    <x v="8"/>
    <x v="83"/>
    <n v="19"/>
    <x v="7"/>
    <n v="87"/>
    <n v="15"/>
    <n v="40"/>
    <n v="33"/>
    <x v="1"/>
    <x v="0"/>
    <n v="7.8"/>
  </r>
  <r>
    <x v="84"/>
    <s v="FN86"/>
    <s v="LN86"/>
    <x v="1"/>
    <n v="22"/>
    <x v="3"/>
    <x v="10"/>
    <x v="3"/>
    <x v="0"/>
    <x v="1"/>
    <s v="2019-12-06"/>
    <s v="2021-01-05"/>
    <x v="1"/>
    <x v="32"/>
    <x v="2"/>
    <x v="17"/>
    <x v="84"/>
    <n v="14"/>
    <x v="18"/>
    <n v="75"/>
    <n v="3"/>
    <n v="45"/>
    <n v="11"/>
    <x v="1"/>
    <x v="0"/>
    <n v="6.6"/>
  </r>
  <r>
    <x v="85"/>
    <s v="FN87"/>
    <s v="LN87"/>
    <x v="1"/>
    <n v="26"/>
    <x v="2"/>
    <x v="7"/>
    <x v="1"/>
    <x v="2"/>
    <x v="0"/>
    <s v="2025-08-22"/>
    <m/>
    <x v="0"/>
    <x v="56"/>
    <x v="0"/>
    <x v="17"/>
    <x v="85"/>
    <n v="22"/>
    <x v="14"/>
    <n v="90"/>
    <n v="18"/>
    <n v="8"/>
    <n v="27"/>
    <x v="1"/>
    <x v="2"/>
    <n v="0.9"/>
  </r>
  <r>
    <x v="86"/>
    <s v="FN88"/>
    <s v="LN88"/>
    <x v="0"/>
    <n v="24"/>
    <x v="0"/>
    <x v="0"/>
    <x v="2"/>
    <x v="0"/>
    <x v="1"/>
    <s v="2022-02-26"/>
    <m/>
    <x v="0"/>
    <x v="43"/>
    <x v="0"/>
    <x v="28"/>
    <x v="86"/>
    <n v="19"/>
    <x v="8"/>
    <n v="73"/>
    <n v="12"/>
    <n v="12"/>
    <n v="20"/>
    <x v="1"/>
    <x v="0"/>
    <n v="4.4000000000000004"/>
  </r>
  <r>
    <x v="87"/>
    <s v="FN89"/>
    <s v="LN89"/>
    <x v="1"/>
    <n v="47"/>
    <x v="4"/>
    <x v="2"/>
    <x v="0"/>
    <x v="1"/>
    <x v="1"/>
    <s v="2021-07-15"/>
    <m/>
    <x v="0"/>
    <x v="25"/>
    <x v="1"/>
    <x v="17"/>
    <x v="87"/>
    <n v="19"/>
    <x v="10"/>
    <n v="75"/>
    <n v="0"/>
    <n v="56"/>
    <n v="72"/>
    <x v="1"/>
    <x v="1"/>
    <n v="5"/>
  </r>
  <r>
    <x v="88"/>
    <s v="FN90"/>
    <s v="LN90"/>
    <x v="0"/>
    <n v="59"/>
    <x v="0"/>
    <x v="0"/>
    <x v="1"/>
    <x v="1"/>
    <x v="1"/>
    <s v="2022-12-09"/>
    <m/>
    <x v="0"/>
    <x v="38"/>
    <x v="1"/>
    <x v="2"/>
    <x v="88"/>
    <n v="23"/>
    <x v="22"/>
    <n v="91"/>
    <n v="6"/>
    <n v="23"/>
    <n v="74"/>
    <x v="0"/>
    <x v="2"/>
    <n v="3.6"/>
  </r>
  <r>
    <x v="89"/>
    <s v="FN91"/>
    <s v="LN91"/>
    <x v="0"/>
    <n v="57"/>
    <x v="0"/>
    <x v="2"/>
    <x v="2"/>
    <x v="1"/>
    <x v="1"/>
    <s v="2019-09-20"/>
    <s v="2024-03-09"/>
    <x v="1"/>
    <x v="16"/>
    <x v="1"/>
    <x v="14"/>
    <x v="89"/>
    <n v="21"/>
    <x v="22"/>
    <n v="79"/>
    <n v="6"/>
    <n v="59"/>
    <n v="57"/>
    <x v="0"/>
    <x v="0"/>
    <n v="6.9"/>
  </r>
  <r>
    <x v="90"/>
    <s v="FN92"/>
    <s v="LN92"/>
    <x v="0"/>
    <n v="29"/>
    <x v="0"/>
    <x v="0"/>
    <x v="1"/>
    <x v="2"/>
    <x v="0"/>
    <s v="2016-06-07"/>
    <m/>
    <x v="0"/>
    <x v="57"/>
    <x v="2"/>
    <x v="7"/>
    <x v="90"/>
    <n v="23"/>
    <x v="15"/>
    <n v="56"/>
    <n v="15"/>
    <n v="54"/>
    <n v="46"/>
    <x v="0"/>
    <x v="1"/>
    <n v="10.1"/>
  </r>
  <r>
    <x v="91"/>
    <s v="FN93"/>
    <s v="LN93"/>
    <x v="1"/>
    <n v="44"/>
    <x v="2"/>
    <x v="7"/>
    <x v="4"/>
    <x v="2"/>
    <x v="0"/>
    <s v="2016-12-30"/>
    <m/>
    <x v="0"/>
    <x v="7"/>
    <x v="2"/>
    <x v="6"/>
    <x v="91"/>
    <n v="22"/>
    <x v="14"/>
    <n v="98"/>
    <n v="16"/>
    <n v="11"/>
    <n v="3"/>
    <x v="0"/>
    <x v="1"/>
    <n v="9.6"/>
  </r>
  <r>
    <x v="92"/>
    <s v="FN94"/>
    <s v="LN94"/>
    <x v="1"/>
    <n v="49"/>
    <x v="2"/>
    <x v="5"/>
    <x v="3"/>
    <x v="0"/>
    <x v="0"/>
    <s v="2024-03-14"/>
    <s v="2029-10-26"/>
    <x v="1"/>
    <x v="16"/>
    <x v="1"/>
    <x v="27"/>
    <x v="92"/>
    <n v="17"/>
    <x v="16"/>
    <n v="57"/>
    <n v="16"/>
    <n v="3"/>
    <n v="67"/>
    <x v="1"/>
    <x v="0"/>
    <n v="2.4"/>
  </r>
  <r>
    <x v="93"/>
    <s v="FN95"/>
    <s v="LN95"/>
    <x v="1"/>
    <n v="27"/>
    <x v="1"/>
    <x v="4"/>
    <x v="0"/>
    <x v="2"/>
    <x v="1"/>
    <s v="2022-04-08"/>
    <m/>
    <x v="0"/>
    <x v="58"/>
    <x v="2"/>
    <x v="13"/>
    <x v="93"/>
    <n v="24"/>
    <x v="3"/>
    <n v="75"/>
    <n v="15"/>
    <n v="53"/>
    <n v="53"/>
    <x v="1"/>
    <x v="2"/>
    <n v="4.3"/>
  </r>
  <r>
    <x v="94"/>
    <s v="FN96"/>
    <s v="LN96"/>
    <x v="0"/>
    <n v="41"/>
    <x v="0"/>
    <x v="0"/>
    <x v="3"/>
    <x v="2"/>
    <x v="1"/>
    <s v="2025-03-25"/>
    <m/>
    <x v="0"/>
    <x v="59"/>
    <x v="1"/>
    <x v="22"/>
    <x v="94"/>
    <n v="17"/>
    <x v="13"/>
    <n v="69"/>
    <n v="0"/>
    <n v="21"/>
    <n v="48"/>
    <x v="1"/>
    <x v="0"/>
    <n v="1.3"/>
  </r>
  <r>
    <x v="95"/>
    <s v="FN97"/>
    <s v="LN97"/>
    <x v="1"/>
    <n v="48"/>
    <x v="2"/>
    <x v="5"/>
    <x v="2"/>
    <x v="1"/>
    <x v="1"/>
    <s v="2023-06-10"/>
    <m/>
    <x v="0"/>
    <x v="1"/>
    <x v="0"/>
    <x v="25"/>
    <x v="95"/>
    <n v="13"/>
    <x v="23"/>
    <n v="62"/>
    <n v="7"/>
    <n v="22"/>
    <n v="68"/>
    <x v="1"/>
    <x v="0"/>
    <n v="3.1"/>
  </r>
  <r>
    <x v="96"/>
    <s v="FN98"/>
    <s v="LN98"/>
    <x v="1"/>
    <n v="30"/>
    <x v="5"/>
    <x v="8"/>
    <x v="3"/>
    <x v="2"/>
    <x v="0"/>
    <s v="2024-04-03"/>
    <m/>
    <x v="0"/>
    <x v="15"/>
    <x v="0"/>
    <x v="10"/>
    <x v="96"/>
    <n v="5"/>
    <x v="3"/>
    <n v="93"/>
    <n v="18"/>
    <n v="1"/>
    <n v="72"/>
    <x v="0"/>
    <x v="1"/>
    <n v="2.2999999999999998"/>
  </r>
  <r>
    <x v="97"/>
    <s v="FN99"/>
    <s v="LN99"/>
    <x v="1"/>
    <n v="54"/>
    <x v="1"/>
    <x v="1"/>
    <x v="4"/>
    <x v="1"/>
    <x v="0"/>
    <s v="2019-09-21"/>
    <m/>
    <x v="0"/>
    <x v="12"/>
    <x v="2"/>
    <x v="12"/>
    <x v="97"/>
    <n v="23"/>
    <x v="2"/>
    <n v="97"/>
    <n v="10"/>
    <n v="31"/>
    <n v="38"/>
    <x v="0"/>
    <x v="2"/>
    <n v="6.9"/>
  </r>
  <r>
    <x v="98"/>
    <s v="FN100"/>
    <s v="LN100"/>
    <x v="0"/>
    <n v="40"/>
    <x v="0"/>
    <x v="2"/>
    <x v="3"/>
    <x v="2"/>
    <x v="1"/>
    <s v="2020-10-11"/>
    <m/>
    <x v="0"/>
    <x v="60"/>
    <x v="0"/>
    <x v="29"/>
    <x v="98"/>
    <n v="16"/>
    <x v="24"/>
    <n v="90"/>
    <n v="15"/>
    <n v="20"/>
    <n v="71"/>
    <x v="0"/>
    <x v="1"/>
    <n v="5.8"/>
  </r>
  <r>
    <x v="99"/>
    <s v="FN101"/>
    <s v="LN101"/>
    <x v="0"/>
    <n v="44"/>
    <x v="1"/>
    <x v="1"/>
    <x v="3"/>
    <x v="2"/>
    <x v="1"/>
    <s v="2016-10-30"/>
    <m/>
    <x v="0"/>
    <x v="55"/>
    <x v="0"/>
    <x v="13"/>
    <x v="99"/>
    <n v="16"/>
    <x v="18"/>
    <n v="95"/>
    <n v="10"/>
    <n v="8"/>
    <n v="28"/>
    <x v="1"/>
    <x v="0"/>
    <n v="9.8000000000000007"/>
  </r>
  <r>
    <x v="100"/>
    <s v="FN102"/>
    <s v="LN102"/>
    <x v="1"/>
    <n v="21"/>
    <x v="4"/>
    <x v="2"/>
    <x v="4"/>
    <x v="2"/>
    <x v="1"/>
    <s v="2022-04-29"/>
    <m/>
    <x v="0"/>
    <x v="61"/>
    <x v="1"/>
    <x v="12"/>
    <x v="100"/>
    <n v="11"/>
    <x v="24"/>
    <n v="65"/>
    <n v="18"/>
    <n v="36"/>
    <n v="80"/>
    <x v="1"/>
    <x v="0"/>
    <n v="4.3"/>
  </r>
  <r>
    <x v="101"/>
    <s v="FN103"/>
    <s v="LN103"/>
    <x v="1"/>
    <n v="23"/>
    <x v="3"/>
    <x v="10"/>
    <x v="3"/>
    <x v="0"/>
    <x v="1"/>
    <s v="2026-05-12"/>
    <m/>
    <x v="0"/>
    <x v="29"/>
    <x v="1"/>
    <x v="30"/>
    <x v="101"/>
    <n v="15"/>
    <x v="19"/>
    <n v="71"/>
    <n v="18"/>
    <n v="52"/>
    <n v="23"/>
    <x v="0"/>
    <x v="2"/>
    <n v="0.2"/>
  </r>
  <r>
    <x v="102"/>
    <s v="FN104"/>
    <s v="LN104"/>
    <x v="1"/>
    <n v="24"/>
    <x v="4"/>
    <x v="6"/>
    <x v="0"/>
    <x v="1"/>
    <x v="0"/>
    <s v="2018-04-29"/>
    <s v="2025-09-26"/>
    <x v="1"/>
    <x v="11"/>
    <x v="1"/>
    <x v="15"/>
    <x v="102"/>
    <n v="8"/>
    <x v="7"/>
    <n v="83"/>
    <n v="18"/>
    <n v="30"/>
    <n v="5"/>
    <x v="0"/>
    <x v="1"/>
    <n v="8.3000000000000007"/>
  </r>
  <r>
    <x v="103"/>
    <s v="FN105"/>
    <s v="LN105"/>
    <x v="1"/>
    <n v="55"/>
    <x v="1"/>
    <x v="4"/>
    <x v="2"/>
    <x v="0"/>
    <x v="1"/>
    <s v="2017-12-14"/>
    <m/>
    <x v="0"/>
    <x v="62"/>
    <x v="0"/>
    <x v="28"/>
    <x v="103"/>
    <n v="20"/>
    <x v="7"/>
    <n v="66"/>
    <n v="10"/>
    <n v="10"/>
    <n v="34"/>
    <x v="1"/>
    <x v="0"/>
    <n v="8.6"/>
  </r>
  <r>
    <x v="104"/>
    <s v="FN106"/>
    <s v="LN106"/>
    <x v="0"/>
    <n v="27"/>
    <x v="2"/>
    <x v="5"/>
    <x v="3"/>
    <x v="2"/>
    <x v="1"/>
    <s v="2025-09-27"/>
    <s v="2029-08-21"/>
    <x v="1"/>
    <x v="21"/>
    <x v="1"/>
    <x v="19"/>
    <x v="104"/>
    <n v="24"/>
    <x v="16"/>
    <n v="57"/>
    <n v="11"/>
    <n v="22"/>
    <n v="16"/>
    <x v="0"/>
    <x v="0"/>
    <n v="0.8"/>
  </r>
  <r>
    <x v="105"/>
    <s v="FN107"/>
    <s v="LN107"/>
    <x v="1"/>
    <n v="32"/>
    <x v="0"/>
    <x v="2"/>
    <x v="4"/>
    <x v="1"/>
    <x v="0"/>
    <s v="2025-05-03"/>
    <m/>
    <x v="0"/>
    <x v="60"/>
    <x v="1"/>
    <x v="2"/>
    <x v="105"/>
    <n v="24"/>
    <x v="6"/>
    <n v="70"/>
    <n v="1"/>
    <n v="48"/>
    <n v="33"/>
    <x v="1"/>
    <x v="2"/>
    <n v="1.2"/>
  </r>
  <r>
    <x v="106"/>
    <s v="FN108"/>
    <s v="LN108"/>
    <x v="1"/>
    <n v="41"/>
    <x v="3"/>
    <x v="10"/>
    <x v="3"/>
    <x v="2"/>
    <x v="0"/>
    <s v="2024-10-05"/>
    <m/>
    <x v="0"/>
    <x v="38"/>
    <x v="1"/>
    <x v="28"/>
    <x v="106"/>
    <n v="16"/>
    <x v="22"/>
    <n v="60"/>
    <n v="13"/>
    <n v="6"/>
    <n v="25"/>
    <x v="0"/>
    <x v="0"/>
    <n v="1.8"/>
  </r>
  <r>
    <x v="107"/>
    <s v="FN109"/>
    <s v="LN109"/>
    <x v="0"/>
    <n v="24"/>
    <x v="0"/>
    <x v="0"/>
    <x v="0"/>
    <x v="0"/>
    <x v="0"/>
    <s v="2020-03-21"/>
    <m/>
    <x v="0"/>
    <x v="51"/>
    <x v="0"/>
    <x v="17"/>
    <x v="107"/>
    <n v="11"/>
    <x v="7"/>
    <n v="69"/>
    <n v="0"/>
    <n v="47"/>
    <n v="10"/>
    <x v="0"/>
    <x v="1"/>
    <n v="6.4"/>
  </r>
  <r>
    <x v="108"/>
    <s v="FN110"/>
    <s v="LN110"/>
    <x v="1"/>
    <n v="24"/>
    <x v="4"/>
    <x v="9"/>
    <x v="4"/>
    <x v="0"/>
    <x v="1"/>
    <s v="2019-09-14"/>
    <m/>
    <x v="0"/>
    <x v="24"/>
    <x v="1"/>
    <x v="31"/>
    <x v="108"/>
    <n v="10"/>
    <x v="22"/>
    <n v="74"/>
    <n v="1"/>
    <n v="32"/>
    <n v="2"/>
    <x v="1"/>
    <x v="0"/>
    <n v="6.9"/>
  </r>
  <r>
    <x v="109"/>
    <s v="FN111"/>
    <s v="LN111"/>
    <x v="0"/>
    <n v="21"/>
    <x v="1"/>
    <x v="4"/>
    <x v="2"/>
    <x v="2"/>
    <x v="0"/>
    <s v="2025-02-20"/>
    <m/>
    <x v="0"/>
    <x v="29"/>
    <x v="2"/>
    <x v="27"/>
    <x v="109"/>
    <n v="9"/>
    <x v="4"/>
    <n v="50"/>
    <n v="16"/>
    <n v="60"/>
    <n v="2"/>
    <x v="1"/>
    <x v="1"/>
    <n v="1.4"/>
  </r>
  <r>
    <x v="110"/>
    <s v="FN112"/>
    <s v="LN112"/>
    <x v="0"/>
    <n v="54"/>
    <x v="4"/>
    <x v="9"/>
    <x v="2"/>
    <x v="0"/>
    <x v="1"/>
    <s v="2017-08-28"/>
    <m/>
    <x v="0"/>
    <x v="30"/>
    <x v="1"/>
    <x v="22"/>
    <x v="110"/>
    <n v="24"/>
    <x v="7"/>
    <n v="51"/>
    <n v="9"/>
    <n v="44"/>
    <n v="25"/>
    <x v="1"/>
    <x v="2"/>
    <n v="8.9"/>
  </r>
  <r>
    <x v="111"/>
    <s v="FN113"/>
    <s v="LN113"/>
    <x v="0"/>
    <n v="40"/>
    <x v="0"/>
    <x v="2"/>
    <x v="0"/>
    <x v="1"/>
    <x v="1"/>
    <s v="2024-08-07"/>
    <m/>
    <x v="0"/>
    <x v="22"/>
    <x v="1"/>
    <x v="32"/>
    <x v="111"/>
    <n v="19"/>
    <x v="3"/>
    <n v="84"/>
    <n v="4"/>
    <n v="52"/>
    <n v="11"/>
    <x v="1"/>
    <x v="1"/>
    <n v="2"/>
  </r>
  <r>
    <x v="112"/>
    <s v="FN114"/>
    <s v="LN114"/>
    <x v="0"/>
    <n v="48"/>
    <x v="0"/>
    <x v="0"/>
    <x v="3"/>
    <x v="2"/>
    <x v="1"/>
    <s v="2018-03-09"/>
    <m/>
    <x v="0"/>
    <x v="63"/>
    <x v="0"/>
    <x v="3"/>
    <x v="112"/>
    <n v="10"/>
    <x v="7"/>
    <n v="59"/>
    <n v="3"/>
    <n v="43"/>
    <n v="10"/>
    <x v="1"/>
    <x v="0"/>
    <n v="8.4"/>
  </r>
  <r>
    <x v="113"/>
    <s v="FN115"/>
    <s v="LN115"/>
    <x v="1"/>
    <n v="33"/>
    <x v="1"/>
    <x v="1"/>
    <x v="1"/>
    <x v="1"/>
    <x v="1"/>
    <s v="2024-09-09"/>
    <m/>
    <x v="0"/>
    <x v="64"/>
    <x v="2"/>
    <x v="24"/>
    <x v="113"/>
    <n v="9"/>
    <x v="9"/>
    <n v="73"/>
    <n v="19"/>
    <n v="15"/>
    <n v="27"/>
    <x v="1"/>
    <x v="2"/>
    <n v="1.9"/>
  </r>
  <r>
    <x v="114"/>
    <s v="FN116"/>
    <s v="LN116"/>
    <x v="0"/>
    <n v="55"/>
    <x v="2"/>
    <x v="5"/>
    <x v="3"/>
    <x v="1"/>
    <x v="1"/>
    <s v="2018-10-24"/>
    <m/>
    <x v="0"/>
    <x v="22"/>
    <x v="2"/>
    <x v="30"/>
    <x v="114"/>
    <n v="25"/>
    <x v="17"/>
    <n v="54"/>
    <n v="5"/>
    <n v="7"/>
    <n v="6"/>
    <x v="0"/>
    <x v="1"/>
    <n v="7.8"/>
  </r>
  <r>
    <x v="115"/>
    <s v="FN117"/>
    <s v="LN117"/>
    <x v="0"/>
    <n v="60"/>
    <x v="5"/>
    <x v="2"/>
    <x v="1"/>
    <x v="0"/>
    <x v="1"/>
    <s v="2017-12-07"/>
    <m/>
    <x v="0"/>
    <x v="58"/>
    <x v="1"/>
    <x v="20"/>
    <x v="115"/>
    <n v="24"/>
    <x v="15"/>
    <n v="81"/>
    <n v="2"/>
    <n v="11"/>
    <n v="80"/>
    <x v="1"/>
    <x v="2"/>
    <n v="8.6"/>
  </r>
  <r>
    <x v="116"/>
    <s v="FN118"/>
    <s v="LN118"/>
    <x v="1"/>
    <n v="49"/>
    <x v="2"/>
    <x v="5"/>
    <x v="2"/>
    <x v="0"/>
    <x v="1"/>
    <s v="2018-02-13"/>
    <m/>
    <x v="0"/>
    <x v="65"/>
    <x v="1"/>
    <x v="9"/>
    <x v="116"/>
    <n v="5"/>
    <x v="1"/>
    <n v="53"/>
    <n v="4"/>
    <n v="21"/>
    <n v="37"/>
    <x v="0"/>
    <x v="2"/>
    <n v="8.5"/>
  </r>
  <r>
    <x v="117"/>
    <s v="FN119"/>
    <s v="LN119"/>
    <x v="1"/>
    <n v="28"/>
    <x v="1"/>
    <x v="4"/>
    <x v="0"/>
    <x v="0"/>
    <x v="1"/>
    <s v="2020-02-24"/>
    <m/>
    <x v="0"/>
    <x v="8"/>
    <x v="0"/>
    <x v="15"/>
    <x v="117"/>
    <n v="25"/>
    <x v="20"/>
    <n v="56"/>
    <n v="17"/>
    <n v="30"/>
    <n v="9"/>
    <x v="1"/>
    <x v="1"/>
    <n v="6.4"/>
  </r>
  <r>
    <x v="118"/>
    <s v="FN120"/>
    <s v="LN120"/>
    <x v="0"/>
    <n v="25"/>
    <x v="0"/>
    <x v="0"/>
    <x v="2"/>
    <x v="2"/>
    <x v="0"/>
    <s v="2025-01-16"/>
    <m/>
    <x v="0"/>
    <x v="57"/>
    <x v="2"/>
    <x v="24"/>
    <x v="118"/>
    <n v="18"/>
    <x v="21"/>
    <n v="84"/>
    <n v="4"/>
    <n v="3"/>
    <n v="59"/>
    <x v="1"/>
    <x v="2"/>
    <n v="1.5"/>
  </r>
  <r>
    <x v="119"/>
    <s v="FN121"/>
    <s v="LN121"/>
    <x v="0"/>
    <n v="59"/>
    <x v="4"/>
    <x v="2"/>
    <x v="2"/>
    <x v="0"/>
    <x v="0"/>
    <s v="2025-08-04"/>
    <m/>
    <x v="0"/>
    <x v="18"/>
    <x v="2"/>
    <x v="19"/>
    <x v="119"/>
    <n v="20"/>
    <x v="19"/>
    <n v="94"/>
    <n v="9"/>
    <n v="42"/>
    <n v="70"/>
    <x v="1"/>
    <x v="2"/>
    <n v="1"/>
  </r>
  <r>
    <x v="120"/>
    <s v="FN122"/>
    <s v="LN122"/>
    <x v="0"/>
    <n v="36"/>
    <x v="1"/>
    <x v="4"/>
    <x v="2"/>
    <x v="1"/>
    <x v="1"/>
    <s v="2017-06-24"/>
    <s v="2021-06-17"/>
    <x v="1"/>
    <x v="32"/>
    <x v="1"/>
    <x v="33"/>
    <x v="120"/>
    <n v="16"/>
    <x v="9"/>
    <n v="77"/>
    <n v="17"/>
    <n v="56"/>
    <n v="58"/>
    <x v="1"/>
    <x v="2"/>
    <n v="9.1"/>
  </r>
  <r>
    <x v="121"/>
    <s v="FN123"/>
    <s v="LN123"/>
    <x v="1"/>
    <n v="24"/>
    <x v="1"/>
    <x v="4"/>
    <x v="4"/>
    <x v="0"/>
    <x v="0"/>
    <s v="2021-03-23"/>
    <m/>
    <x v="0"/>
    <x v="3"/>
    <x v="0"/>
    <x v="20"/>
    <x v="121"/>
    <n v="8"/>
    <x v="17"/>
    <n v="51"/>
    <n v="12"/>
    <n v="30"/>
    <n v="62"/>
    <x v="0"/>
    <x v="2"/>
    <n v="5.4"/>
  </r>
  <r>
    <x v="122"/>
    <s v="FN124"/>
    <s v="LN124"/>
    <x v="0"/>
    <n v="58"/>
    <x v="0"/>
    <x v="0"/>
    <x v="2"/>
    <x v="0"/>
    <x v="0"/>
    <s v="2025-04-21"/>
    <m/>
    <x v="0"/>
    <x v="66"/>
    <x v="1"/>
    <x v="16"/>
    <x v="122"/>
    <n v="17"/>
    <x v="18"/>
    <n v="83"/>
    <n v="7"/>
    <n v="57"/>
    <n v="55"/>
    <x v="0"/>
    <x v="0"/>
    <n v="1.3"/>
  </r>
  <r>
    <x v="123"/>
    <s v="FN125"/>
    <s v="LN125"/>
    <x v="1"/>
    <n v="58"/>
    <x v="5"/>
    <x v="8"/>
    <x v="4"/>
    <x v="0"/>
    <x v="1"/>
    <s v="2026-02-19"/>
    <m/>
    <x v="0"/>
    <x v="60"/>
    <x v="1"/>
    <x v="34"/>
    <x v="123"/>
    <n v="8"/>
    <x v="17"/>
    <n v="60"/>
    <n v="5"/>
    <n v="23"/>
    <n v="79"/>
    <x v="0"/>
    <x v="0"/>
    <n v="0.4"/>
  </r>
  <r>
    <x v="124"/>
    <s v="FN126"/>
    <s v="LN126"/>
    <x v="0"/>
    <n v="59"/>
    <x v="5"/>
    <x v="2"/>
    <x v="4"/>
    <x v="0"/>
    <x v="1"/>
    <s v="2022-05-30"/>
    <s v="2025-01-11"/>
    <x v="1"/>
    <x v="43"/>
    <x v="0"/>
    <x v="30"/>
    <x v="124"/>
    <n v="18"/>
    <x v="16"/>
    <n v="59"/>
    <n v="13"/>
    <n v="26"/>
    <n v="52"/>
    <x v="1"/>
    <x v="0"/>
    <n v="4.2"/>
  </r>
  <r>
    <x v="125"/>
    <s v="FN127"/>
    <s v="LN127"/>
    <x v="0"/>
    <n v="26"/>
    <x v="5"/>
    <x v="8"/>
    <x v="1"/>
    <x v="2"/>
    <x v="1"/>
    <s v="2022-10-29"/>
    <m/>
    <x v="0"/>
    <x v="52"/>
    <x v="0"/>
    <x v="30"/>
    <x v="125"/>
    <n v="24"/>
    <x v="16"/>
    <n v="69"/>
    <n v="6"/>
    <n v="47"/>
    <n v="38"/>
    <x v="1"/>
    <x v="0"/>
    <n v="3.8"/>
  </r>
  <r>
    <x v="126"/>
    <s v="FN128"/>
    <s v="LN128"/>
    <x v="0"/>
    <n v="51"/>
    <x v="1"/>
    <x v="1"/>
    <x v="0"/>
    <x v="1"/>
    <x v="0"/>
    <s v="2021-04-06"/>
    <m/>
    <x v="0"/>
    <x v="23"/>
    <x v="0"/>
    <x v="0"/>
    <x v="126"/>
    <n v="17"/>
    <x v="23"/>
    <n v="74"/>
    <n v="15"/>
    <n v="5"/>
    <n v="43"/>
    <x v="0"/>
    <x v="2"/>
    <n v="5.3"/>
  </r>
  <r>
    <x v="127"/>
    <s v="FN129"/>
    <s v="LN129"/>
    <x v="0"/>
    <n v="45"/>
    <x v="1"/>
    <x v="4"/>
    <x v="1"/>
    <x v="0"/>
    <x v="0"/>
    <s v="2017-01-17"/>
    <s v="2024-04-09"/>
    <x v="1"/>
    <x v="67"/>
    <x v="2"/>
    <x v="32"/>
    <x v="127"/>
    <n v="24"/>
    <x v="18"/>
    <n v="93"/>
    <n v="0"/>
    <n v="35"/>
    <n v="62"/>
    <x v="0"/>
    <x v="2"/>
    <n v="9.5"/>
  </r>
  <r>
    <x v="128"/>
    <s v="FN130"/>
    <s v="LN130"/>
    <x v="0"/>
    <n v="26"/>
    <x v="0"/>
    <x v="2"/>
    <x v="0"/>
    <x v="1"/>
    <x v="0"/>
    <s v="2019-03-14"/>
    <m/>
    <x v="0"/>
    <x v="68"/>
    <x v="0"/>
    <x v="22"/>
    <x v="128"/>
    <n v="11"/>
    <x v="3"/>
    <n v="68"/>
    <n v="9"/>
    <n v="28"/>
    <n v="16"/>
    <x v="0"/>
    <x v="2"/>
    <n v="7.4"/>
  </r>
  <r>
    <x v="129"/>
    <s v="FN131"/>
    <s v="LN131"/>
    <x v="0"/>
    <n v="45"/>
    <x v="0"/>
    <x v="2"/>
    <x v="2"/>
    <x v="2"/>
    <x v="1"/>
    <s v="2020-05-12"/>
    <s v="2025-01-27"/>
    <x v="1"/>
    <x v="5"/>
    <x v="0"/>
    <x v="14"/>
    <x v="129"/>
    <n v="18"/>
    <x v="4"/>
    <n v="86"/>
    <n v="6"/>
    <n v="7"/>
    <n v="12"/>
    <x v="0"/>
    <x v="0"/>
    <n v="6.2"/>
  </r>
  <r>
    <x v="130"/>
    <s v="FN132"/>
    <s v="LN132"/>
    <x v="1"/>
    <n v="32"/>
    <x v="5"/>
    <x v="6"/>
    <x v="0"/>
    <x v="1"/>
    <x v="1"/>
    <s v="2025-10-31"/>
    <m/>
    <x v="0"/>
    <x v="69"/>
    <x v="2"/>
    <x v="5"/>
    <x v="130"/>
    <n v="13"/>
    <x v="16"/>
    <n v="87"/>
    <n v="7"/>
    <n v="5"/>
    <n v="4"/>
    <x v="0"/>
    <x v="2"/>
    <n v="0.7"/>
  </r>
  <r>
    <x v="131"/>
    <s v="FN133"/>
    <s v="LN133"/>
    <x v="0"/>
    <n v="56"/>
    <x v="3"/>
    <x v="2"/>
    <x v="3"/>
    <x v="1"/>
    <x v="0"/>
    <s v="2021-04-23"/>
    <m/>
    <x v="0"/>
    <x v="34"/>
    <x v="2"/>
    <x v="20"/>
    <x v="131"/>
    <n v="15"/>
    <x v="2"/>
    <n v="91"/>
    <n v="12"/>
    <n v="57"/>
    <n v="25"/>
    <x v="1"/>
    <x v="2"/>
    <n v="5.3"/>
  </r>
  <r>
    <x v="132"/>
    <s v="FN134"/>
    <s v="LN134"/>
    <x v="0"/>
    <n v="40"/>
    <x v="2"/>
    <x v="5"/>
    <x v="1"/>
    <x v="0"/>
    <x v="0"/>
    <s v="2016-12-13"/>
    <m/>
    <x v="0"/>
    <x v="41"/>
    <x v="2"/>
    <x v="14"/>
    <x v="132"/>
    <n v="9"/>
    <x v="25"/>
    <n v="93"/>
    <n v="15"/>
    <n v="23"/>
    <n v="28"/>
    <x v="0"/>
    <x v="2"/>
    <n v="9.6"/>
  </r>
  <r>
    <x v="133"/>
    <s v="FN135"/>
    <s v="LN135"/>
    <x v="0"/>
    <n v="46"/>
    <x v="1"/>
    <x v="1"/>
    <x v="2"/>
    <x v="1"/>
    <x v="1"/>
    <s v="2016-07-19"/>
    <m/>
    <x v="0"/>
    <x v="34"/>
    <x v="0"/>
    <x v="31"/>
    <x v="133"/>
    <n v="10"/>
    <x v="20"/>
    <n v="56"/>
    <n v="11"/>
    <n v="19"/>
    <n v="29"/>
    <x v="0"/>
    <x v="0"/>
    <n v="10"/>
  </r>
  <r>
    <x v="134"/>
    <s v="FN136"/>
    <s v="LN136"/>
    <x v="1"/>
    <n v="47"/>
    <x v="4"/>
    <x v="9"/>
    <x v="2"/>
    <x v="0"/>
    <x v="0"/>
    <s v="2017-03-03"/>
    <m/>
    <x v="0"/>
    <x v="54"/>
    <x v="1"/>
    <x v="23"/>
    <x v="134"/>
    <n v="18"/>
    <x v="19"/>
    <n v="85"/>
    <n v="7"/>
    <n v="52"/>
    <n v="9"/>
    <x v="1"/>
    <x v="1"/>
    <n v="9.4"/>
  </r>
  <r>
    <x v="135"/>
    <s v="FN137"/>
    <s v="LN137"/>
    <x v="0"/>
    <n v="27"/>
    <x v="4"/>
    <x v="6"/>
    <x v="1"/>
    <x v="0"/>
    <x v="1"/>
    <s v="2019-08-21"/>
    <s v="2026-07-22"/>
    <x v="1"/>
    <x v="70"/>
    <x v="2"/>
    <x v="19"/>
    <x v="135"/>
    <n v="7"/>
    <x v="17"/>
    <n v="59"/>
    <n v="18"/>
    <n v="2"/>
    <n v="48"/>
    <x v="1"/>
    <x v="1"/>
    <n v="6.9"/>
  </r>
  <r>
    <x v="136"/>
    <s v="FN138"/>
    <s v="LN138"/>
    <x v="1"/>
    <n v="37"/>
    <x v="5"/>
    <x v="8"/>
    <x v="3"/>
    <x v="0"/>
    <x v="0"/>
    <s v="2023-03-27"/>
    <m/>
    <x v="0"/>
    <x v="52"/>
    <x v="0"/>
    <x v="12"/>
    <x v="136"/>
    <n v="17"/>
    <x v="23"/>
    <n v="81"/>
    <n v="6"/>
    <n v="21"/>
    <n v="44"/>
    <x v="0"/>
    <x v="2"/>
    <n v="3.3"/>
  </r>
  <r>
    <x v="137"/>
    <s v="FN139"/>
    <s v="LN139"/>
    <x v="0"/>
    <n v="34"/>
    <x v="5"/>
    <x v="2"/>
    <x v="2"/>
    <x v="0"/>
    <x v="1"/>
    <s v="2022-01-13"/>
    <m/>
    <x v="0"/>
    <x v="46"/>
    <x v="1"/>
    <x v="24"/>
    <x v="137"/>
    <n v="9"/>
    <x v="23"/>
    <n v="98"/>
    <n v="10"/>
    <n v="32"/>
    <n v="53"/>
    <x v="1"/>
    <x v="1"/>
    <n v="4.5"/>
  </r>
  <r>
    <x v="138"/>
    <s v="FN140"/>
    <s v="LN140"/>
    <x v="0"/>
    <n v="44"/>
    <x v="3"/>
    <x v="2"/>
    <x v="3"/>
    <x v="0"/>
    <x v="0"/>
    <s v="2024-01-19"/>
    <m/>
    <x v="0"/>
    <x v="43"/>
    <x v="2"/>
    <x v="21"/>
    <x v="138"/>
    <n v="22"/>
    <x v="8"/>
    <n v="59"/>
    <n v="20"/>
    <n v="25"/>
    <n v="54"/>
    <x v="0"/>
    <x v="2"/>
    <n v="2.5"/>
  </r>
  <r>
    <x v="139"/>
    <s v="FN141"/>
    <s v="LN141"/>
    <x v="0"/>
    <n v="36"/>
    <x v="3"/>
    <x v="2"/>
    <x v="3"/>
    <x v="1"/>
    <x v="0"/>
    <s v="2026-03-02"/>
    <m/>
    <x v="0"/>
    <x v="47"/>
    <x v="2"/>
    <x v="22"/>
    <x v="139"/>
    <n v="11"/>
    <x v="2"/>
    <n v="94"/>
    <n v="11"/>
    <n v="51"/>
    <n v="44"/>
    <x v="1"/>
    <x v="0"/>
    <n v="0.4"/>
  </r>
  <r>
    <x v="140"/>
    <s v="FN142"/>
    <s v="LN142"/>
    <x v="1"/>
    <n v="58"/>
    <x v="3"/>
    <x v="2"/>
    <x v="0"/>
    <x v="2"/>
    <x v="0"/>
    <s v="2016-08-12"/>
    <m/>
    <x v="0"/>
    <x v="54"/>
    <x v="2"/>
    <x v="12"/>
    <x v="140"/>
    <n v="13"/>
    <x v="5"/>
    <n v="66"/>
    <n v="5"/>
    <n v="48"/>
    <n v="44"/>
    <x v="1"/>
    <x v="0"/>
    <n v="10"/>
  </r>
  <r>
    <x v="141"/>
    <s v="FN143"/>
    <s v="LN143"/>
    <x v="0"/>
    <n v="58"/>
    <x v="5"/>
    <x v="8"/>
    <x v="0"/>
    <x v="0"/>
    <x v="0"/>
    <s v="2024-04-09"/>
    <s v="2031-12-01"/>
    <x v="1"/>
    <x v="69"/>
    <x v="2"/>
    <x v="34"/>
    <x v="141"/>
    <n v="10"/>
    <x v="13"/>
    <n v="71"/>
    <n v="3"/>
    <n v="7"/>
    <n v="41"/>
    <x v="1"/>
    <x v="1"/>
    <n v="2.2999999999999998"/>
  </r>
  <r>
    <x v="142"/>
    <s v="FN144"/>
    <s v="LN144"/>
    <x v="0"/>
    <n v="26"/>
    <x v="1"/>
    <x v="4"/>
    <x v="4"/>
    <x v="1"/>
    <x v="0"/>
    <s v="2018-02-28"/>
    <m/>
    <x v="0"/>
    <x v="58"/>
    <x v="1"/>
    <x v="17"/>
    <x v="142"/>
    <n v="5"/>
    <x v="12"/>
    <n v="66"/>
    <n v="15"/>
    <n v="35"/>
    <n v="73"/>
    <x v="0"/>
    <x v="2"/>
    <n v="8.4"/>
  </r>
  <r>
    <x v="143"/>
    <s v="FN145"/>
    <s v="LN145"/>
    <x v="1"/>
    <n v="59"/>
    <x v="3"/>
    <x v="2"/>
    <x v="3"/>
    <x v="2"/>
    <x v="1"/>
    <s v="2016-07-27"/>
    <m/>
    <x v="0"/>
    <x v="21"/>
    <x v="1"/>
    <x v="4"/>
    <x v="143"/>
    <n v="15"/>
    <x v="18"/>
    <n v="84"/>
    <n v="17"/>
    <n v="8"/>
    <n v="21"/>
    <x v="0"/>
    <x v="0"/>
    <n v="10"/>
  </r>
  <r>
    <x v="144"/>
    <s v="FN146"/>
    <s v="LN146"/>
    <x v="1"/>
    <n v="28"/>
    <x v="1"/>
    <x v="4"/>
    <x v="2"/>
    <x v="2"/>
    <x v="0"/>
    <s v="2017-08-01"/>
    <s v="2020-08-20"/>
    <x v="1"/>
    <x v="19"/>
    <x v="0"/>
    <x v="5"/>
    <x v="144"/>
    <n v="10"/>
    <x v="5"/>
    <n v="80"/>
    <n v="9"/>
    <n v="5"/>
    <n v="16"/>
    <x v="0"/>
    <x v="1"/>
    <n v="9"/>
  </r>
  <r>
    <x v="145"/>
    <s v="FN147"/>
    <s v="LN147"/>
    <x v="1"/>
    <n v="40"/>
    <x v="4"/>
    <x v="2"/>
    <x v="0"/>
    <x v="1"/>
    <x v="1"/>
    <s v="2021-10-22"/>
    <m/>
    <x v="0"/>
    <x v="71"/>
    <x v="0"/>
    <x v="11"/>
    <x v="145"/>
    <n v="9"/>
    <x v="22"/>
    <n v="90"/>
    <n v="12"/>
    <n v="6"/>
    <n v="19"/>
    <x v="0"/>
    <x v="1"/>
    <n v="4.8"/>
  </r>
  <r>
    <x v="146"/>
    <s v="FN148"/>
    <s v="LN148"/>
    <x v="1"/>
    <n v="31"/>
    <x v="0"/>
    <x v="2"/>
    <x v="4"/>
    <x v="2"/>
    <x v="0"/>
    <s v="2019-05-16"/>
    <m/>
    <x v="0"/>
    <x v="28"/>
    <x v="2"/>
    <x v="3"/>
    <x v="146"/>
    <n v="22"/>
    <x v="7"/>
    <n v="61"/>
    <n v="0"/>
    <n v="51"/>
    <n v="58"/>
    <x v="0"/>
    <x v="1"/>
    <n v="7.2"/>
  </r>
  <r>
    <x v="147"/>
    <s v="FN149"/>
    <s v="LN149"/>
    <x v="0"/>
    <n v="56"/>
    <x v="3"/>
    <x v="10"/>
    <x v="0"/>
    <x v="0"/>
    <x v="0"/>
    <s v="2023-01-28"/>
    <m/>
    <x v="0"/>
    <x v="1"/>
    <x v="2"/>
    <x v="32"/>
    <x v="147"/>
    <n v="13"/>
    <x v="14"/>
    <n v="87"/>
    <n v="10"/>
    <n v="35"/>
    <n v="71"/>
    <x v="1"/>
    <x v="1"/>
    <n v="3.5"/>
  </r>
  <r>
    <x v="148"/>
    <s v="FN150"/>
    <s v="LN150"/>
    <x v="1"/>
    <n v="42"/>
    <x v="2"/>
    <x v="5"/>
    <x v="4"/>
    <x v="0"/>
    <x v="0"/>
    <s v="2017-07-08"/>
    <m/>
    <x v="0"/>
    <x v="68"/>
    <x v="0"/>
    <x v="29"/>
    <x v="148"/>
    <n v="6"/>
    <x v="9"/>
    <n v="57"/>
    <n v="11"/>
    <n v="53"/>
    <n v="25"/>
    <x v="0"/>
    <x v="2"/>
    <n v="9.1"/>
  </r>
  <r>
    <x v="149"/>
    <s v="FN151"/>
    <s v="LN151"/>
    <x v="1"/>
    <n v="38"/>
    <x v="0"/>
    <x v="0"/>
    <x v="2"/>
    <x v="2"/>
    <x v="1"/>
    <s v="2017-08-07"/>
    <m/>
    <x v="0"/>
    <x v="24"/>
    <x v="2"/>
    <x v="28"/>
    <x v="149"/>
    <n v="12"/>
    <x v="24"/>
    <n v="67"/>
    <n v="16"/>
    <n v="5"/>
    <n v="40"/>
    <x v="0"/>
    <x v="0"/>
    <n v="9"/>
  </r>
  <r>
    <x v="150"/>
    <s v="FN152"/>
    <s v="LN152"/>
    <x v="0"/>
    <n v="45"/>
    <x v="3"/>
    <x v="2"/>
    <x v="3"/>
    <x v="0"/>
    <x v="1"/>
    <s v="2019-12-23"/>
    <m/>
    <x v="0"/>
    <x v="28"/>
    <x v="0"/>
    <x v="8"/>
    <x v="150"/>
    <n v="7"/>
    <x v="4"/>
    <n v="69"/>
    <n v="1"/>
    <n v="25"/>
    <n v="11"/>
    <x v="1"/>
    <x v="1"/>
    <n v="6.6"/>
  </r>
  <r>
    <x v="151"/>
    <s v="FN153"/>
    <s v="LN153"/>
    <x v="1"/>
    <n v="36"/>
    <x v="5"/>
    <x v="6"/>
    <x v="4"/>
    <x v="1"/>
    <x v="1"/>
    <s v="2024-02-22"/>
    <m/>
    <x v="0"/>
    <x v="8"/>
    <x v="1"/>
    <x v="18"/>
    <x v="151"/>
    <n v="15"/>
    <x v="16"/>
    <n v="52"/>
    <n v="15"/>
    <n v="52"/>
    <n v="26"/>
    <x v="1"/>
    <x v="1"/>
    <n v="2.4"/>
  </r>
  <r>
    <x v="152"/>
    <s v="FN154"/>
    <s v="LN154"/>
    <x v="1"/>
    <n v="48"/>
    <x v="5"/>
    <x v="8"/>
    <x v="1"/>
    <x v="1"/>
    <x v="1"/>
    <s v="2022-07-10"/>
    <m/>
    <x v="0"/>
    <x v="70"/>
    <x v="0"/>
    <x v="34"/>
    <x v="152"/>
    <n v="14"/>
    <x v="1"/>
    <n v="76"/>
    <n v="3"/>
    <n v="21"/>
    <n v="8"/>
    <x v="1"/>
    <x v="1"/>
    <n v="4.0999999999999996"/>
  </r>
  <r>
    <x v="153"/>
    <s v="FN155"/>
    <s v="LN155"/>
    <x v="0"/>
    <n v="38"/>
    <x v="1"/>
    <x v="4"/>
    <x v="4"/>
    <x v="2"/>
    <x v="0"/>
    <s v="2021-11-13"/>
    <m/>
    <x v="0"/>
    <x v="61"/>
    <x v="2"/>
    <x v="24"/>
    <x v="153"/>
    <n v="20"/>
    <x v="8"/>
    <n v="89"/>
    <n v="18"/>
    <n v="31"/>
    <n v="26"/>
    <x v="1"/>
    <x v="2"/>
    <n v="4.7"/>
  </r>
  <r>
    <x v="154"/>
    <s v="FN156"/>
    <s v="LN156"/>
    <x v="0"/>
    <n v="51"/>
    <x v="4"/>
    <x v="9"/>
    <x v="2"/>
    <x v="1"/>
    <x v="1"/>
    <s v="2023-10-08"/>
    <m/>
    <x v="0"/>
    <x v="56"/>
    <x v="2"/>
    <x v="24"/>
    <x v="154"/>
    <n v="21"/>
    <x v="5"/>
    <n v="76"/>
    <n v="16"/>
    <n v="20"/>
    <n v="39"/>
    <x v="0"/>
    <x v="1"/>
    <n v="2.8"/>
  </r>
  <r>
    <x v="155"/>
    <s v="FN157"/>
    <s v="LN157"/>
    <x v="1"/>
    <n v="56"/>
    <x v="4"/>
    <x v="6"/>
    <x v="4"/>
    <x v="0"/>
    <x v="1"/>
    <s v="2017-03-28"/>
    <m/>
    <x v="0"/>
    <x v="55"/>
    <x v="2"/>
    <x v="25"/>
    <x v="155"/>
    <n v="20"/>
    <x v="4"/>
    <n v="72"/>
    <n v="15"/>
    <n v="44"/>
    <n v="47"/>
    <x v="1"/>
    <x v="2"/>
    <n v="9.3000000000000007"/>
  </r>
  <r>
    <x v="156"/>
    <s v="FN158"/>
    <s v="LN158"/>
    <x v="0"/>
    <n v="38"/>
    <x v="5"/>
    <x v="8"/>
    <x v="4"/>
    <x v="1"/>
    <x v="1"/>
    <s v="2022-03-20"/>
    <m/>
    <x v="0"/>
    <x v="50"/>
    <x v="1"/>
    <x v="7"/>
    <x v="156"/>
    <n v="25"/>
    <x v="9"/>
    <n v="90"/>
    <n v="12"/>
    <n v="28"/>
    <n v="43"/>
    <x v="1"/>
    <x v="2"/>
    <n v="4.4000000000000004"/>
  </r>
  <r>
    <x v="157"/>
    <s v="FN159"/>
    <s v="LN159"/>
    <x v="0"/>
    <n v="43"/>
    <x v="5"/>
    <x v="6"/>
    <x v="4"/>
    <x v="1"/>
    <x v="1"/>
    <s v="2022-11-10"/>
    <m/>
    <x v="0"/>
    <x v="32"/>
    <x v="2"/>
    <x v="0"/>
    <x v="157"/>
    <n v="20"/>
    <x v="25"/>
    <n v="92"/>
    <n v="0"/>
    <n v="54"/>
    <n v="36"/>
    <x v="0"/>
    <x v="1"/>
    <n v="3.7"/>
  </r>
  <r>
    <x v="158"/>
    <s v="FN160"/>
    <s v="LN160"/>
    <x v="1"/>
    <n v="24"/>
    <x v="1"/>
    <x v="1"/>
    <x v="2"/>
    <x v="2"/>
    <x v="0"/>
    <s v="2024-01-27"/>
    <m/>
    <x v="0"/>
    <x v="2"/>
    <x v="0"/>
    <x v="32"/>
    <x v="158"/>
    <n v="18"/>
    <x v="6"/>
    <n v="84"/>
    <n v="17"/>
    <n v="28"/>
    <n v="26"/>
    <x v="0"/>
    <x v="0"/>
    <n v="2.5"/>
  </r>
  <r>
    <x v="159"/>
    <s v="FN161"/>
    <s v="LN161"/>
    <x v="1"/>
    <n v="28"/>
    <x v="4"/>
    <x v="9"/>
    <x v="4"/>
    <x v="2"/>
    <x v="0"/>
    <s v="2018-05-04"/>
    <s v="2021-02-28"/>
    <x v="1"/>
    <x v="53"/>
    <x v="1"/>
    <x v="6"/>
    <x v="159"/>
    <n v="24"/>
    <x v="8"/>
    <n v="83"/>
    <n v="6"/>
    <n v="19"/>
    <n v="4"/>
    <x v="0"/>
    <x v="2"/>
    <n v="8.1999999999999993"/>
  </r>
  <r>
    <x v="160"/>
    <s v="FN162"/>
    <s v="LN162"/>
    <x v="0"/>
    <n v="22"/>
    <x v="4"/>
    <x v="2"/>
    <x v="2"/>
    <x v="1"/>
    <x v="1"/>
    <s v="2022-03-14"/>
    <m/>
    <x v="0"/>
    <x v="18"/>
    <x v="1"/>
    <x v="22"/>
    <x v="160"/>
    <n v="7"/>
    <x v="14"/>
    <n v="62"/>
    <n v="2"/>
    <n v="29"/>
    <n v="10"/>
    <x v="0"/>
    <x v="2"/>
    <n v="4.4000000000000004"/>
  </r>
  <r>
    <x v="161"/>
    <s v="FN163"/>
    <s v="LN163"/>
    <x v="1"/>
    <n v="57"/>
    <x v="3"/>
    <x v="2"/>
    <x v="4"/>
    <x v="2"/>
    <x v="1"/>
    <s v="2022-11-17"/>
    <m/>
    <x v="0"/>
    <x v="49"/>
    <x v="1"/>
    <x v="7"/>
    <x v="161"/>
    <n v="9"/>
    <x v="14"/>
    <n v="92"/>
    <n v="9"/>
    <n v="38"/>
    <n v="20"/>
    <x v="1"/>
    <x v="1"/>
    <n v="3.7"/>
  </r>
  <r>
    <x v="162"/>
    <s v="FN164"/>
    <s v="LN164"/>
    <x v="1"/>
    <n v="57"/>
    <x v="3"/>
    <x v="10"/>
    <x v="2"/>
    <x v="1"/>
    <x v="0"/>
    <s v="2020-02-09"/>
    <m/>
    <x v="0"/>
    <x v="52"/>
    <x v="2"/>
    <x v="3"/>
    <x v="162"/>
    <n v="18"/>
    <x v="6"/>
    <n v="83"/>
    <n v="6"/>
    <n v="19"/>
    <n v="51"/>
    <x v="1"/>
    <x v="1"/>
    <n v="6.5"/>
  </r>
  <r>
    <x v="163"/>
    <s v="FN165"/>
    <s v="LN165"/>
    <x v="0"/>
    <n v="23"/>
    <x v="1"/>
    <x v="1"/>
    <x v="3"/>
    <x v="1"/>
    <x v="1"/>
    <s v="2022-04-22"/>
    <m/>
    <x v="0"/>
    <x v="6"/>
    <x v="2"/>
    <x v="23"/>
    <x v="163"/>
    <n v="10"/>
    <x v="18"/>
    <n v="78"/>
    <n v="0"/>
    <n v="18"/>
    <n v="19"/>
    <x v="0"/>
    <x v="1"/>
    <n v="4.3"/>
  </r>
  <r>
    <x v="164"/>
    <s v="FN166"/>
    <s v="LN166"/>
    <x v="0"/>
    <n v="23"/>
    <x v="0"/>
    <x v="0"/>
    <x v="2"/>
    <x v="1"/>
    <x v="0"/>
    <s v="2021-11-12"/>
    <m/>
    <x v="0"/>
    <x v="63"/>
    <x v="1"/>
    <x v="27"/>
    <x v="164"/>
    <n v="23"/>
    <x v="2"/>
    <n v="56"/>
    <n v="13"/>
    <n v="42"/>
    <n v="11"/>
    <x v="0"/>
    <x v="0"/>
    <n v="4.7"/>
  </r>
  <r>
    <x v="165"/>
    <s v="FN167"/>
    <s v="LN167"/>
    <x v="1"/>
    <n v="40"/>
    <x v="4"/>
    <x v="2"/>
    <x v="3"/>
    <x v="1"/>
    <x v="0"/>
    <s v="2018-02-16"/>
    <m/>
    <x v="0"/>
    <x v="20"/>
    <x v="0"/>
    <x v="22"/>
    <x v="165"/>
    <n v="23"/>
    <x v="24"/>
    <n v="75"/>
    <n v="7"/>
    <n v="12"/>
    <n v="36"/>
    <x v="1"/>
    <x v="1"/>
    <n v="8.5"/>
  </r>
  <r>
    <x v="166"/>
    <s v="FN168"/>
    <s v="LN168"/>
    <x v="0"/>
    <n v="45"/>
    <x v="5"/>
    <x v="2"/>
    <x v="0"/>
    <x v="2"/>
    <x v="0"/>
    <s v="2021-05-05"/>
    <m/>
    <x v="0"/>
    <x v="57"/>
    <x v="1"/>
    <x v="12"/>
    <x v="166"/>
    <n v="10"/>
    <x v="5"/>
    <n v="70"/>
    <n v="8"/>
    <n v="38"/>
    <n v="46"/>
    <x v="1"/>
    <x v="1"/>
    <n v="5.2"/>
  </r>
  <r>
    <x v="167"/>
    <s v="FN169"/>
    <s v="LN169"/>
    <x v="0"/>
    <n v="35"/>
    <x v="5"/>
    <x v="2"/>
    <x v="2"/>
    <x v="1"/>
    <x v="0"/>
    <s v="2019-03-20"/>
    <s v="2026-06-02"/>
    <x v="1"/>
    <x v="39"/>
    <x v="1"/>
    <x v="4"/>
    <x v="167"/>
    <n v="15"/>
    <x v="12"/>
    <n v="56"/>
    <n v="0"/>
    <n v="9"/>
    <n v="33"/>
    <x v="1"/>
    <x v="0"/>
    <n v="7.4"/>
  </r>
  <r>
    <x v="168"/>
    <s v="FN170"/>
    <s v="LN170"/>
    <x v="0"/>
    <n v="56"/>
    <x v="3"/>
    <x v="2"/>
    <x v="3"/>
    <x v="1"/>
    <x v="1"/>
    <s v="2019-01-18"/>
    <m/>
    <x v="0"/>
    <x v="33"/>
    <x v="1"/>
    <x v="25"/>
    <x v="168"/>
    <n v="7"/>
    <x v="22"/>
    <n v="60"/>
    <n v="15"/>
    <n v="57"/>
    <n v="7"/>
    <x v="0"/>
    <x v="2"/>
    <n v="7.5"/>
  </r>
  <r>
    <x v="169"/>
    <s v="FN171"/>
    <s v="LN171"/>
    <x v="0"/>
    <n v="27"/>
    <x v="3"/>
    <x v="2"/>
    <x v="0"/>
    <x v="2"/>
    <x v="0"/>
    <s v="2016-08-09"/>
    <m/>
    <x v="0"/>
    <x v="16"/>
    <x v="2"/>
    <x v="0"/>
    <x v="169"/>
    <n v="5"/>
    <x v="5"/>
    <n v="63"/>
    <n v="8"/>
    <n v="33"/>
    <n v="74"/>
    <x v="1"/>
    <x v="2"/>
    <n v="10"/>
  </r>
  <r>
    <x v="170"/>
    <s v="FN172"/>
    <s v="LN172"/>
    <x v="0"/>
    <n v="38"/>
    <x v="0"/>
    <x v="2"/>
    <x v="3"/>
    <x v="0"/>
    <x v="0"/>
    <s v="2017-04-17"/>
    <m/>
    <x v="0"/>
    <x v="4"/>
    <x v="0"/>
    <x v="8"/>
    <x v="170"/>
    <n v="8"/>
    <x v="16"/>
    <n v="70"/>
    <n v="0"/>
    <n v="16"/>
    <n v="6"/>
    <x v="1"/>
    <x v="1"/>
    <n v="9.3000000000000007"/>
  </r>
  <r>
    <x v="171"/>
    <s v="FN173"/>
    <s v="LN173"/>
    <x v="0"/>
    <n v="58"/>
    <x v="1"/>
    <x v="4"/>
    <x v="2"/>
    <x v="2"/>
    <x v="1"/>
    <s v="2016-10-01"/>
    <m/>
    <x v="0"/>
    <x v="17"/>
    <x v="0"/>
    <x v="23"/>
    <x v="171"/>
    <n v="7"/>
    <x v="11"/>
    <n v="100"/>
    <n v="13"/>
    <n v="30"/>
    <n v="40"/>
    <x v="1"/>
    <x v="0"/>
    <n v="9.8000000000000007"/>
  </r>
  <r>
    <x v="172"/>
    <s v="FN174"/>
    <s v="LN174"/>
    <x v="0"/>
    <n v="26"/>
    <x v="3"/>
    <x v="10"/>
    <x v="0"/>
    <x v="2"/>
    <x v="1"/>
    <s v="2019-11-08"/>
    <m/>
    <x v="0"/>
    <x v="45"/>
    <x v="1"/>
    <x v="26"/>
    <x v="172"/>
    <n v="9"/>
    <x v="3"/>
    <n v="64"/>
    <n v="11"/>
    <n v="17"/>
    <n v="17"/>
    <x v="1"/>
    <x v="0"/>
    <n v="6.7"/>
  </r>
  <r>
    <x v="173"/>
    <s v="FN175"/>
    <s v="LN175"/>
    <x v="1"/>
    <n v="54"/>
    <x v="5"/>
    <x v="8"/>
    <x v="3"/>
    <x v="2"/>
    <x v="1"/>
    <s v="2024-03-19"/>
    <m/>
    <x v="0"/>
    <x v="67"/>
    <x v="0"/>
    <x v="15"/>
    <x v="173"/>
    <n v="6"/>
    <x v="7"/>
    <n v="89"/>
    <n v="19"/>
    <n v="26"/>
    <n v="78"/>
    <x v="1"/>
    <x v="2"/>
    <n v="2.4"/>
  </r>
  <r>
    <x v="174"/>
    <s v="FN176"/>
    <s v="LN176"/>
    <x v="0"/>
    <n v="45"/>
    <x v="0"/>
    <x v="2"/>
    <x v="1"/>
    <x v="2"/>
    <x v="1"/>
    <s v="2025-09-09"/>
    <m/>
    <x v="0"/>
    <x v="49"/>
    <x v="2"/>
    <x v="34"/>
    <x v="174"/>
    <n v="10"/>
    <x v="20"/>
    <n v="81"/>
    <n v="20"/>
    <n v="42"/>
    <n v="55"/>
    <x v="1"/>
    <x v="2"/>
    <n v="0.9"/>
  </r>
  <r>
    <x v="175"/>
    <s v="FN177"/>
    <s v="LN177"/>
    <x v="1"/>
    <n v="42"/>
    <x v="4"/>
    <x v="2"/>
    <x v="1"/>
    <x v="2"/>
    <x v="1"/>
    <s v="2016-10-03"/>
    <m/>
    <x v="0"/>
    <x v="8"/>
    <x v="0"/>
    <x v="31"/>
    <x v="175"/>
    <n v="24"/>
    <x v="12"/>
    <n v="85"/>
    <n v="18"/>
    <n v="27"/>
    <n v="2"/>
    <x v="0"/>
    <x v="0"/>
    <n v="9.8000000000000007"/>
  </r>
  <r>
    <x v="176"/>
    <s v="FN178"/>
    <s v="LN178"/>
    <x v="0"/>
    <n v="50"/>
    <x v="0"/>
    <x v="0"/>
    <x v="2"/>
    <x v="1"/>
    <x v="0"/>
    <s v="2022-12-27"/>
    <m/>
    <x v="0"/>
    <x v="72"/>
    <x v="0"/>
    <x v="5"/>
    <x v="176"/>
    <n v="20"/>
    <x v="13"/>
    <n v="58"/>
    <n v="18"/>
    <n v="3"/>
    <n v="71"/>
    <x v="1"/>
    <x v="2"/>
    <n v="3.6"/>
  </r>
  <r>
    <x v="177"/>
    <s v="FN179"/>
    <s v="LN179"/>
    <x v="0"/>
    <n v="31"/>
    <x v="1"/>
    <x v="4"/>
    <x v="2"/>
    <x v="1"/>
    <x v="0"/>
    <s v="2021-08-05"/>
    <m/>
    <x v="0"/>
    <x v="59"/>
    <x v="2"/>
    <x v="2"/>
    <x v="177"/>
    <n v="14"/>
    <x v="9"/>
    <n v="82"/>
    <n v="7"/>
    <n v="44"/>
    <n v="16"/>
    <x v="0"/>
    <x v="2"/>
    <n v="5"/>
  </r>
  <r>
    <x v="178"/>
    <s v="FN180"/>
    <s v="LN180"/>
    <x v="1"/>
    <n v="34"/>
    <x v="3"/>
    <x v="2"/>
    <x v="2"/>
    <x v="1"/>
    <x v="0"/>
    <s v="2022-01-23"/>
    <m/>
    <x v="0"/>
    <x v="12"/>
    <x v="0"/>
    <x v="34"/>
    <x v="178"/>
    <n v="17"/>
    <x v="4"/>
    <n v="73"/>
    <n v="9"/>
    <n v="45"/>
    <n v="65"/>
    <x v="0"/>
    <x v="2"/>
    <n v="4.5"/>
  </r>
  <r>
    <x v="179"/>
    <s v="FN181"/>
    <s v="LN181"/>
    <x v="1"/>
    <n v="21"/>
    <x v="1"/>
    <x v="4"/>
    <x v="0"/>
    <x v="2"/>
    <x v="1"/>
    <s v="2016-04-01"/>
    <m/>
    <x v="0"/>
    <x v="36"/>
    <x v="1"/>
    <x v="25"/>
    <x v="179"/>
    <n v="19"/>
    <x v="20"/>
    <n v="50"/>
    <n v="2"/>
    <n v="21"/>
    <n v="57"/>
    <x v="1"/>
    <x v="2"/>
    <n v="10.3"/>
  </r>
  <r>
    <x v="180"/>
    <s v="FN182"/>
    <s v="LN182"/>
    <x v="0"/>
    <n v="24"/>
    <x v="4"/>
    <x v="6"/>
    <x v="4"/>
    <x v="0"/>
    <x v="1"/>
    <s v="2021-06-02"/>
    <m/>
    <x v="0"/>
    <x v="33"/>
    <x v="0"/>
    <x v="27"/>
    <x v="180"/>
    <n v="17"/>
    <x v="13"/>
    <n v="58"/>
    <n v="9"/>
    <n v="8"/>
    <n v="57"/>
    <x v="0"/>
    <x v="2"/>
    <n v="5.2"/>
  </r>
  <r>
    <x v="181"/>
    <s v="FN183"/>
    <s v="LN183"/>
    <x v="1"/>
    <n v="25"/>
    <x v="2"/>
    <x v="5"/>
    <x v="1"/>
    <x v="1"/>
    <x v="1"/>
    <s v="2024-03-06"/>
    <m/>
    <x v="0"/>
    <x v="11"/>
    <x v="0"/>
    <x v="30"/>
    <x v="181"/>
    <n v="20"/>
    <x v="9"/>
    <n v="68"/>
    <n v="16"/>
    <n v="44"/>
    <n v="29"/>
    <x v="0"/>
    <x v="1"/>
    <n v="2.4"/>
  </r>
  <r>
    <x v="182"/>
    <s v="FN184"/>
    <s v="LN184"/>
    <x v="0"/>
    <n v="31"/>
    <x v="3"/>
    <x v="10"/>
    <x v="2"/>
    <x v="0"/>
    <x v="1"/>
    <s v="2023-10-30"/>
    <m/>
    <x v="0"/>
    <x v="54"/>
    <x v="0"/>
    <x v="29"/>
    <x v="182"/>
    <n v="21"/>
    <x v="23"/>
    <n v="52"/>
    <n v="17"/>
    <n v="20"/>
    <n v="31"/>
    <x v="1"/>
    <x v="0"/>
    <n v="2.7"/>
  </r>
  <r>
    <x v="183"/>
    <s v="FN185"/>
    <s v="LN185"/>
    <x v="0"/>
    <n v="27"/>
    <x v="3"/>
    <x v="2"/>
    <x v="3"/>
    <x v="2"/>
    <x v="0"/>
    <s v="2025-07-22"/>
    <m/>
    <x v="0"/>
    <x v="2"/>
    <x v="1"/>
    <x v="24"/>
    <x v="183"/>
    <n v="17"/>
    <x v="3"/>
    <n v="59"/>
    <n v="19"/>
    <n v="30"/>
    <n v="73"/>
    <x v="1"/>
    <x v="1"/>
    <n v="1"/>
  </r>
  <r>
    <x v="184"/>
    <s v="FN186"/>
    <s v="LN186"/>
    <x v="0"/>
    <n v="47"/>
    <x v="0"/>
    <x v="2"/>
    <x v="4"/>
    <x v="0"/>
    <x v="1"/>
    <s v="2016-02-22"/>
    <s v="2017-07-14"/>
    <x v="1"/>
    <x v="69"/>
    <x v="2"/>
    <x v="0"/>
    <x v="184"/>
    <n v="25"/>
    <x v="23"/>
    <n v="98"/>
    <n v="18"/>
    <n v="21"/>
    <n v="53"/>
    <x v="1"/>
    <x v="2"/>
    <n v="10.4"/>
  </r>
  <r>
    <x v="185"/>
    <s v="FN187"/>
    <s v="LN187"/>
    <x v="1"/>
    <n v="23"/>
    <x v="3"/>
    <x v="2"/>
    <x v="0"/>
    <x v="1"/>
    <x v="0"/>
    <s v="2018-02-20"/>
    <m/>
    <x v="0"/>
    <x v="73"/>
    <x v="2"/>
    <x v="1"/>
    <x v="185"/>
    <n v="10"/>
    <x v="5"/>
    <n v="73"/>
    <n v="16"/>
    <n v="15"/>
    <n v="80"/>
    <x v="1"/>
    <x v="0"/>
    <n v="8.4"/>
  </r>
  <r>
    <x v="186"/>
    <s v="FN188"/>
    <s v="LN188"/>
    <x v="1"/>
    <n v="21"/>
    <x v="5"/>
    <x v="6"/>
    <x v="0"/>
    <x v="1"/>
    <x v="0"/>
    <s v="2018-02-07"/>
    <m/>
    <x v="0"/>
    <x v="15"/>
    <x v="2"/>
    <x v="7"/>
    <x v="186"/>
    <n v="24"/>
    <x v="7"/>
    <n v="51"/>
    <n v="6"/>
    <n v="57"/>
    <n v="7"/>
    <x v="1"/>
    <x v="1"/>
    <n v="8.5"/>
  </r>
  <r>
    <x v="187"/>
    <s v="FN189"/>
    <s v="LN189"/>
    <x v="1"/>
    <n v="49"/>
    <x v="5"/>
    <x v="8"/>
    <x v="4"/>
    <x v="1"/>
    <x v="0"/>
    <s v="2020-07-18"/>
    <m/>
    <x v="0"/>
    <x v="59"/>
    <x v="0"/>
    <x v="32"/>
    <x v="187"/>
    <n v="9"/>
    <x v="1"/>
    <n v="91"/>
    <n v="19"/>
    <n v="54"/>
    <n v="21"/>
    <x v="1"/>
    <x v="0"/>
    <n v="6"/>
  </r>
  <r>
    <x v="188"/>
    <s v="FN190"/>
    <s v="LN190"/>
    <x v="0"/>
    <n v="25"/>
    <x v="2"/>
    <x v="7"/>
    <x v="4"/>
    <x v="0"/>
    <x v="1"/>
    <s v="2020-07-30"/>
    <m/>
    <x v="0"/>
    <x v="29"/>
    <x v="1"/>
    <x v="26"/>
    <x v="188"/>
    <n v="14"/>
    <x v="5"/>
    <n v="77"/>
    <n v="3"/>
    <n v="6"/>
    <n v="73"/>
    <x v="0"/>
    <x v="1"/>
    <n v="6"/>
  </r>
  <r>
    <x v="189"/>
    <s v="FN191"/>
    <s v="LN191"/>
    <x v="0"/>
    <n v="23"/>
    <x v="2"/>
    <x v="7"/>
    <x v="2"/>
    <x v="1"/>
    <x v="0"/>
    <s v="2017-08-10"/>
    <m/>
    <x v="0"/>
    <x v="20"/>
    <x v="1"/>
    <x v="11"/>
    <x v="189"/>
    <n v="18"/>
    <x v="8"/>
    <n v="74"/>
    <n v="20"/>
    <n v="60"/>
    <n v="53"/>
    <x v="0"/>
    <x v="1"/>
    <n v="9"/>
  </r>
  <r>
    <x v="190"/>
    <s v="FN192"/>
    <s v="LN192"/>
    <x v="0"/>
    <n v="24"/>
    <x v="0"/>
    <x v="0"/>
    <x v="1"/>
    <x v="0"/>
    <x v="0"/>
    <s v="2017-09-14"/>
    <m/>
    <x v="0"/>
    <x v="51"/>
    <x v="1"/>
    <x v="4"/>
    <x v="190"/>
    <n v="22"/>
    <x v="12"/>
    <n v="99"/>
    <n v="6"/>
    <n v="56"/>
    <n v="50"/>
    <x v="0"/>
    <x v="2"/>
    <n v="8.9"/>
  </r>
  <r>
    <x v="191"/>
    <s v="FN193"/>
    <s v="LN193"/>
    <x v="1"/>
    <n v="46"/>
    <x v="1"/>
    <x v="1"/>
    <x v="3"/>
    <x v="0"/>
    <x v="0"/>
    <s v="2018-02-28"/>
    <m/>
    <x v="0"/>
    <x v="37"/>
    <x v="1"/>
    <x v="17"/>
    <x v="191"/>
    <n v="18"/>
    <x v="17"/>
    <n v="79"/>
    <n v="13"/>
    <n v="9"/>
    <n v="36"/>
    <x v="0"/>
    <x v="2"/>
    <n v="8.4"/>
  </r>
  <r>
    <x v="192"/>
    <s v="FN194"/>
    <s v="LN194"/>
    <x v="0"/>
    <n v="40"/>
    <x v="0"/>
    <x v="0"/>
    <x v="4"/>
    <x v="1"/>
    <x v="0"/>
    <s v="2025-08-25"/>
    <m/>
    <x v="0"/>
    <x v="57"/>
    <x v="0"/>
    <x v="4"/>
    <x v="192"/>
    <n v="15"/>
    <x v="2"/>
    <n v="73"/>
    <n v="6"/>
    <n v="14"/>
    <n v="11"/>
    <x v="1"/>
    <x v="2"/>
    <n v="0.9"/>
  </r>
  <r>
    <x v="193"/>
    <s v="FN195"/>
    <s v="LN195"/>
    <x v="0"/>
    <n v="43"/>
    <x v="2"/>
    <x v="5"/>
    <x v="0"/>
    <x v="2"/>
    <x v="1"/>
    <s v="2017-06-08"/>
    <m/>
    <x v="0"/>
    <x v="37"/>
    <x v="1"/>
    <x v="11"/>
    <x v="193"/>
    <n v="20"/>
    <x v="19"/>
    <n v="92"/>
    <n v="14"/>
    <n v="16"/>
    <n v="38"/>
    <x v="0"/>
    <x v="0"/>
    <n v="9.1"/>
  </r>
  <r>
    <x v="194"/>
    <s v="FN196"/>
    <s v="LN196"/>
    <x v="0"/>
    <n v="46"/>
    <x v="3"/>
    <x v="2"/>
    <x v="3"/>
    <x v="0"/>
    <x v="1"/>
    <s v="2019-11-21"/>
    <m/>
    <x v="0"/>
    <x v="4"/>
    <x v="0"/>
    <x v="20"/>
    <x v="194"/>
    <n v="10"/>
    <x v="24"/>
    <n v="64"/>
    <n v="5"/>
    <n v="25"/>
    <n v="77"/>
    <x v="0"/>
    <x v="2"/>
    <n v="6.7"/>
  </r>
  <r>
    <x v="195"/>
    <s v="FN197"/>
    <s v="LN197"/>
    <x v="0"/>
    <n v="43"/>
    <x v="4"/>
    <x v="6"/>
    <x v="0"/>
    <x v="2"/>
    <x v="1"/>
    <s v="2022-06-05"/>
    <m/>
    <x v="0"/>
    <x v="55"/>
    <x v="2"/>
    <x v="16"/>
    <x v="195"/>
    <n v="5"/>
    <x v="25"/>
    <n v="84"/>
    <n v="19"/>
    <n v="14"/>
    <n v="47"/>
    <x v="0"/>
    <x v="1"/>
    <n v="4.2"/>
  </r>
  <r>
    <x v="196"/>
    <s v="FN198"/>
    <s v="LN198"/>
    <x v="0"/>
    <n v="32"/>
    <x v="5"/>
    <x v="2"/>
    <x v="4"/>
    <x v="2"/>
    <x v="1"/>
    <s v="2021-06-21"/>
    <m/>
    <x v="0"/>
    <x v="62"/>
    <x v="1"/>
    <x v="34"/>
    <x v="196"/>
    <n v="7"/>
    <x v="3"/>
    <n v="88"/>
    <n v="20"/>
    <n v="33"/>
    <n v="20"/>
    <x v="0"/>
    <x v="1"/>
    <n v="5.0999999999999996"/>
  </r>
  <r>
    <x v="197"/>
    <s v="FN199"/>
    <s v="LN199"/>
    <x v="1"/>
    <n v="35"/>
    <x v="1"/>
    <x v="4"/>
    <x v="4"/>
    <x v="2"/>
    <x v="0"/>
    <s v="2020-03-14"/>
    <m/>
    <x v="0"/>
    <x v="41"/>
    <x v="2"/>
    <x v="18"/>
    <x v="197"/>
    <n v="6"/>
    <x v="17"/>
    <n v="99"/>
    <n v="12"/>
    <n v="21"/>
    <n v="80"/>
    <x v="0"/>
    <x v="2"/>
    <n v="6.4"/>
  </r>
  <r>
    <x v="198"/>
    <s v="FN200"/>
    <s v="LN200"/>
    <x v="1"/>
    <n v="27"/>
    <x v="2"/>
    <x v="3"/>
    <x v="4"/>
    <x v="1"/>
    <x v="0"/>
    <s v="2018-04-05"/>
    <s v="2025-11-12"/>
    <x v="1"/>
    <x v="26"/>
    <x v="0"/>
    <x v="5"/>
    <x v="198"/>
    <n v="22"/>
    <x v="22"/>
    <n v="62"/>
    <n v="10"/>
    <n v="56"/>
    <n v="48"/>
    <x v="1"/>
    <x v="0"/>
    <n v="8.3000000000000007"/>
  </r>
  <r>
    <x v="199"/>
    <s v="FN201"/>
    <s v="LN201"/>
    <x v="1"/>
    <n v="56"/>
    <x v="4"/>
    <x v="2"/>
    <x v="0"/>
    <x v="2"/>
    <x v="0"/>
    <s v="2026-05-16"/>
    <m/>
    <x v="0"/>
    <x v="35"/>
    <x v="1"/>
    <x v="15"/>
    <x v="199"/>
    <n v="22"/>
    <x v="8"/>
    <n v="61"/>
    <n v="13"/>
    <n v="29"/>
    <n v="33"/>
    <x v="1"/>
    <x v="0"/>
    <n v="0.2"/>
  </r>
  <r>
    <x v="200"/>
    <s v="FN202"/>
    <s v="LN202"/>
    <x v="1"/>
    <n v="54"/>
    <x v="4"/>
    <x v="2"/>
    <x v="1"/>
    <x v="1"/>
    <x v="0"/>
    <s v="2021-10-11"/>
    <m/>
    <x v="0"/>
    <x v="51"/>
    <x v="1"/>
    <x v="8"/>
    <x v="200"/>
    <n v="22"/>
    <x v="25"/>
    <n v="73"/>
    <n v="7"/>
    <n v="45"/>
    <n v="76"/>
    <x v="0"/>
    <x v="1"/>
    <n v="4.8"/>
  </r>
  <r>
    <x v="201"/>
    <s v="FN203"/>
    <s v="LN203"/>
    <x v="1"/>
    <n v="41"/>
    <x v="1"/>
    <x v="1"/>
    <x v="1"/>
    <x v="0"/>
    <x v="1"/>
    <s v="2024-01-03"/>
    <m/>
    <x v="0"/>
    <x v="38"/>
    <x v="1"/>
    <x v="2"/>
    <x v="201"/>
    <n v="24"/>
    <x v="1"/>
    <n v="94"/>
    <n v="15"/>
    <n v="50"/>
    <n v="5"/>
    <x v="1"/>
    <x v="0"/>
    <n v="2.6"/>
  </r>
  <r>
    <x v="202"/>
    <s v="FN204"/>
    <s v="LN204"/>
    <x v="0"/>
    <n v="24"/>
    <x v="3"/>
    <x v="10"/>
    <x v="3"/>
    <x v="1"/>
    <x v="1"/>
    <s v="2021-05-12"/>
    <m/>
    <x v="0"/>
    <x v="3"/>
    <x v="1"/>
    <x v="17"/>
    <x v="202"/>
    <n v="15"/>
    <x v="13"/>
    <n v="74"/>
    <n v="20"/>
    <n v="51"/>
    <n v="59"/>
    <x v="1"/>
    <x v="1"/>
    <n v="5.2"/>
  </r>
  <r>
    <x v="203"/>
    <s v="FN205"/>
    <s v="LN205"/>
    <x v="1"/>
    <n v="30"/>
    <x v="2"/>
    <x v="5"/>
    <x v="2"/>
    <x v="0"/>
    <x v="1"/>
    <s v="2019-03-04"/>
    <m/>
    <x v="0"/>
    <x v="42"/>
    <x v="1"/>
    <x v="26"/>
    <x v="203"/>
    <n v="20"/>
    <x v="19"/>
    <n v="59"/>
    <n v="7"/>
    <n v="47"/>
    <n v="14"/>
    <x v="0"/>
    <x v="0"/>
    <n v="7.4"/>
  </r>
  <r>
    <x v="204"/>
    <s v="FN206"/>
    <s v="LN206"/>
    <x v="1"/>
    <n v="51"/>
    <x v="5"/>
    <x v="2"/>
    <x v="4"/>
    <x v="2"/>
    <x v="1"/>
    <s v="2024-01-30"/>
    <m/>
    <x v="0"/>
    <x v="13"/>
    <x v="2"/>
    <x v="19"/>
    <x v="204"/>
    <n v="19"/>
    <x v="25"/>
    <n v="72"/>
    <n v="13"/>
    <n v="46"/>
    <n v="0"/>
    <x v="1"/>
    <x v="0"/>
    <n v="2.5"/>
  </r>
  <r>
    <x v="205"/>
    <s v="FN207"/>
    <s v="LN207"/>
    <x v="0"/>
    <n v="23"/>
    <x v="2"/>
    <x v="7"/>
    <x v="4"/>
    <x v="0"/>
    <x v="1"/>
    <s v="2021-12-06"/>
    <m/>
    <x v="0"/>
    <x v="19"/>
    <x v="2"/>
    <x v="11"/>
    <x v="205"/>
    <n v="9"/>
    <x v="1"/>
    <n v="55"/>
    <n v="17"/>
    <n v="45"/>
    <n v="24"/>
    <x v="0"/>
    <x v="2"/>
    <n v="4.5999999999999996"/>
  </r>
  <r>
    <x v="206"/>
    <s v="FN208"/>
    <s v="LN208"/>
    <x v="1"/>
    <n v="40"/>
    <x v="4"/>
    <x v="9"/>
    <x v="4"/>
    <x v="1"/>
    <x v="0"/>
    <s v="2025-10-28"/>
    <s v="2032-06-24"/>
    <x v="1"/>
    <x v="26"/>
    <x v="1"/>
    <x v="11"/>
    <x v="206"/>
    <n v="11"/>
    <x v="0"/>
    <n v="64"/>
    <n v="4"/>
    <n v="28"/>
    <n v="8"/>
    <x v="1"/>
    <x v="0"/>
    <n v="0.8"/>
  </r>
  <r>
    <x v="207"/>
    <s v="FN209"/>
    <s v="LN209"/>
    <x v="1"/>
    <n v="36"/>
    <x v="2"/>
    <x v="3"/>
    <x v="2"/>
    <x v="1"/>
    <x v="1"/>
    <s v="2019-01-11"/>
    <m/>
    <x v="0"/>
    <x v="67"/>
    <x v="0"/>
    <x v="26"/>
    <x v="207"/>
    <n v="11"/>
    <x v="25"/>
    <n v="52"/>
    <n v="3"/>
    <n v="27"/>
    <n v="14"/>
    <x v="0"/>
    <x v="1"/>
    <n v="7.6"/>
  </r>
  <r>
    <x v="208"/>
    <s v="FN210"/>
    <s v="LN210"/>
    <x v="0"/>
    <n v="37"/>
    <x v="0"/>
    <x v="0"/>
    <x v="4"/>
    <x v="2"/>
    <x v="0"/>
    <s v="2018-03-20"/>
    <m/>
    <x v="0"/>
    <x v="68"/>
    <x v="2"/>
    <x v="13"/>
    <x v="208"/>
    <n v="25"/>
    <x v="16"/>
    <n v="61"/>
    <n v="7"/>
    <n v="58"/>
    <n v="17"/>
    <x v="0"/>
    <x v="0"/>
    <n v="8.4"/>
  </r>
  <r>
    <x v="209"/>
    <s v="FN211"/>
    <s v="LN211"/>
    <x v="0"/>
    <n v="45"/>
    <x v="0"/>
    <x v="0"/>
    <x v="1"/>
    <x v="2"/>
    <x v="1"/>
    <s v="2024-08-29"/>
    <m/>
    <x v="0"/>
    <x v="37"/>
    <x v="2"/>
    <x v="22"/>
    <x v="209"/>
    <n v="11"/>
    <x v="6"/>
    <n v="60"/>
    <n v="10"/>
    <n v="53"/>
    <n v="28"/>
    <x v="1"/>
    <x v="0"/>
    <n v="1.9"/>
  </r>
  <r>
    <x v="210"/>
    <s v="FN212"/>
    <s v="LN212"/>
    <x v="0"/>
    <n v="46"/>
    <x v="2"/>
    <x v="5"/>
    <x v="1"/>
    <x v="2"/>
    <x v="0"/>
    <s v="2016-10-24"/>
    <s v="2021-07-15"/>
    <x v="1"/>
    <x v="45"/>
    <x v="2"/>
    <x v="26"/>
    <x v="210"/>
    <n v="13"/>
    <x v="15"/>
    <n v="88"/>
    <n v="5"/>
    <n v="33"/>
    <n v="30"/>
    <x v="0"/>
    <x v="2"/>
    <n v="9.8000000000000007"/>
  </r>
  <r>
    <x v="211"/>
    <s v="FN213"/>
    <s v="LN213"/>
    <x v="1"/>
    <n v="33"/>
    <x v="2"/>
    <x v="3"/>
    <x v="3"/>
    <x v="0"/>
    <x v="1"/>
    <s v="2022-06-09"/>
    <m/>
    <x v="0"/>
    <x v="46"/>
    <x v="1"/>
    <x v="29"/>
    <x v="211"/>
    <n v="16"/>
    <x v="23"/>
    <n v="52"/>
    <n v="20"/>
    <n v="23"/>
    <n v="19"/>
    <x v="0"/>
    <x v="0"/>
    <n v="4.0999999999999996"/>
  </r>
  <r>
    <x v="212"/>
    <s v="FN214"/>
    <s v="LN214"/>
    <x v="0"/>
    <n v="24"/>
    <x v="3"/>
    <x v="2"/>
    <x v="4"/>
    <x v="0"/>
    <x v="1"/>
    <s v="2022-11-09"/>
    <m/>
    <x v="0"/>
    <x v="69"/>
    <x v="0"/>
    <x v="17"/>
    <x v="212"/>
    <n v="21"/>
    <x v="25"/>
    <n v="53"/>
    <n v="19"/>
    <n v="19"/>
    <n v="53"/>
    <x v="1"/>
    <x v="0"/>
    <n v="3.7"/>
  </r>
  <r>
    <x v="213"/>
    <s v="FN215"/>
    <s v="LN215"/>
    <x v="1"/>
    <n v="44"/>
    <x v="5"/>
    <x v="2"/>
    <x v="4"/>
    <x v="2"/>
    <x v="0"/>
    <s v="2023-08-27"/>
    <m/>
    <x v="0"/>
    <x v="2"/>
    <x v="0"/>
    <x v="1"/>
    <x v="213"/>
    <n v="14"/>
    <x v="0"/>
    <n v="99"/>
    <n v="14"/>
    <n v="42"/>
    <n v="34"/>
    <x v="0"/>
    <x v="1"/>
    <n v="2.9"/>
  </r>
  <r>
    <x v="214"/>
    <s v="FN216"/>
    <s v="LN216"/>
    <x v="0"/>
    <n v="55"/>
    <x v="1"/>
    <x v="4"/>
    <x v="2"/>
    <x v="2"/>
    <x v="1"/>
    <s v="2024-01-05"/>
    <m/>
    <x v="0"/>
    <x v="27"/>
    <x v="2"/>
    <x v="8"/>
    <x v="214"/>
    <n v="14"/>
    <x v="24"/>
    <n v="77"/>
    <n v="5"/>
    <n v="24"/>
    <n v="49"/>
    <x v="1"/>
    <x v="0"/>
    <n v="2.6"/>
  </r>
  <r>
    <x v="215"/>
    <s v="FN217"/>
    <s v="LN217"/>
    <x v="0"/>
    <n v="22"/>
    <x v="0"/>
    <x v="0"/>
    <x v="2"/>
    <x v="2"/>
    <x v="0"/>
    <s v="2023-11-07"/>
    <m/>
    <x v="0"/>
    <x v="57"/>
    <x v="2"/>
    <x v="31"/>
    <x v="215"/>
    <n v="14"/>
    <x v="6"/>
    <n v="96"/>
    <n v="18"/>
    <n v="0"/>
    <n v="24"/>
    <x v="0"/>
    <x v="1"/>
    <n v="2.7"/>
  </r>
  <r>
    <x v="216"/>
    <s v="FN218"/>
    <s v="LN218"/>
    <x v="0"/>
    <n v="57"/>
    <x v="3"/>
    <x v="2"/>
    <x v="4"/>
    <x v="2"/>
    <x v="0"/>
    <s v="2019-04-03"/>
    <m/>
    <x v="0"/>
    <x v="31"/>
    <x v="2"/>
    <x v="22"/>
    <x v="216"/>
    <n v="15"/>
    <x v="2"/>
    <n v="73"/>
    <n v="0"/>
    <n v="20"/>
    <n v="59"/>
    <x v="1"/>
    <x v="0"/>
    <n v="7.3"/>
  </r>
  <r>
    <x v="217"/>
    <s v="FN219"/>
    <s v="LN219"/>
    <x v="1"/>
    <n v="35"/>
    <x v="0"/>
    <x v="2"/>
    <x v="0"/>
    <x v="2"/>
    <x v="1"/>
    <s v="2023-05-13"/>
    <m/>
    <x v="0"/>
    <x v="66"/>
    <x v="2"/>
    <x v="23"/>
    <x v="217"/>
    <n v="22"/>
    <x v="23"/>
    <n v="63"/>
    <n v="1"/>
    <n v="3"/>
    <n v="62"/>
    <x v="0"/>
    <x v="1"/>
    <n v="3.2"/>
  </r>
  <r>
    <x v="218"/>
    <s v="FN220"/>
    <s v="LN220"/>
    <x v="0"/>
    <n v="29"/>
    <x v="5"/>
    <x v="8"/>
    <x v="0"/>
    <x v="1"/>
    <x v="1"/>
    <s v="2022-10-29"/>
    <m/>
    <x v="0"/>
    <x v="58"/>
    <x v="1"/>
    <x v="0"/>
    <x v="218"/>
    <n v="18"/>
    <x v="10"/>
    <n v="96"/>
    <n v="8"/>
    <n v="9"/>
    <n v="9"/>
    <x v="1"/>
    <x v="0"/>
    <n v="3.8"/>
  </r>
  <r>
    <x v="219"/>
    <s v="FN221"/>
    <s v="LN221"/>
    <x v="0"/>
    <n v="21"/>
    <x v="1"/>
    <x v="1"/>
    <x v="0"/>
    <x v="1"/>
    <x v="0"/>
    <s v="2016-12-26"/>
    <s v="2020-11-17"/>
    <x v="1"/>
    <x v="30"/>
    <x v="1"/>
    <x v="6"/>
    <x v="219"/>
    <n v="13"/>
    <x v="1"/>
    <n v="65"/>
    <n v="17"/>
    <n v="44"/>
    <n v="37"/>
    <x v="1"/>
    <x v="2"/>
    <n v="9.6"/>
  </r>
  <r>
    <x v="220"/>
    <s v="FN222"/>
    <s v="LN222"/>
    <x v="0"/>
    <n v="47"/>
    <x v="5"/>
    <x v="6"/>
    <x v="4"/>
    <x v="1"/>
    <x v="0"/>
    <s v="2022-09-03"/>
    <m/>
    <x v="0"/>
    <x v="67"/>
    <x v="2"/>
    <x v="29"/>
    <x v="220"/>
    <n v="20"/>
    <x v="22"/>
    <n v="98"/>
    <n v="11"/>
    <n v="31"/>
    <n v="42"/>
    <x v="1"/>
    <x v="2"/>
    <n v="3.9"/>
  </r>
  <r>
    <x v="221"/>
    <s v="FN223"/>
    <s v="LN223"/>
    <x v="0"/>
    <n v="56"/>
    <x v="3"/>
    <x v="10"/>
    <x v="2"/>
    <x v="1"/>
    <x v="0"/>
    <s v="2017-06-25"/>
    <s v="2018-07-13"/>
    <x v="1"/>
    <x v="27"/>
    <x v="1"/>
    <x v="15"/>
    <x v="221"/>
    <n v="15"/>
    <x v="1"/>
    <n v="95"/>
    <n v="6"/>
    <n v="46"/>
    <n v="1"/>
    <x v="0"/>
    <x v="1"/>
    <n v="9.1"/>
  </r>
  <r>
    <x v="222"/>
    <s v="FN224"/>
    <s v="LN224"/>
    <x v="0"/>
    <n v="31"/>
    <x v="5"/>
    <x v="2"/>
    <x v="3"/>
    <x v="1"/>
    <x v="0"/>
    <s v="2020-09-16"/>
    <m/>
    <x v="0"/>
    <x v="72"/>
    <x v="0"/>
    <x v="34"/>
    <x v="222"/>
    <n v="25"/>
    <x v="10"/>
    <n v="76"/>
    <n v="14"/>
    <n v="55"/>
    <n v="72"/>
    <x v="1"/>
    <x v="2"/>
    <n v="5.9"/>
  </r>
  <r>
    <x v="223"/>
    <s v="FN225"/>
    <s v="LN225"/>
    <x v="0"/>
    <n v="36"/>
    <x v="0"/>
    <x v="0"/>
    <x v="3"/>
    <x v="0"/>
    <x v="0"/>
    <s v="2016-11-12"/>
    <m/>
    <x v="0"/>
    <x v="43"/>
    <x v="0"/>
    <x v="34"/>
    <x v="223"/>
    <n v="24"/>
    <x v="7"/>
    <n v="66"/>
    <n v="15"/>
    <n v="30"/>
    <n v="25"/>
    <x v="0"/>
    <x v="1"/>
    <n v="9.6999999999999993"/>
  </r>
  <r>
    <x v="224"/>
    <s v="FN226"/>
    <s v="LN226"/>
    <x v="1"/>
    <n v="22"/>
    <x v="0"/>
    <x v="2"/>
    <x v="1"/>
    <x v="2"/>
    <x v="0"/>
    <s v="2024-05-28"/>
    <m/>
    <x v="0"/>
    <x v="17"/>
    <x v="0"/>
    <x v="27"/>
    <x v="224"/>
    <n v="12"/>
    <x v="3"/>
    <n v="68"/>
    <n v="18"/>
    <n v="31"/>
    <n v="57"/>
    <x v="0"/>
    <x v="1"/>
    <n v="2.2000000000000002"/>
  </r>
  <r>
    <x v="225"/>
    <s v="FN227"/>
    <s v="LN227"/>
    <x v="0"/>
    <n v="26"/>
    <x v="0"/>
    <x v="2"/>
    <x v="0"/>
    <x v="0"/>
    <x v="0"/>
    <s v="2023-07-04"/>
    <m/>
    <x v="0"/>
    <x v="46"/>
    <x v="1"/>
    <x v="11"/>
    <x v="225"/>
    <n v="6"/>
    <x v="14"/>
    <n v="83"/>
    <n v="15"/>
    <n v="20"/>
    <n v="34"/>
    <x v="0"/>
    <x v="1"/>
    <n v="3.1"/>
  </r>
  <r>
    <x v="226"/>
    <s v="FN228"/>
    <s v="LN228"/>
    <x v="1"/>
    <n v="40"/>
    <x v="4"/>
    <x v="2"/>
    <x v="0"/>
    <x v="1"/>
    <x v="0"/>
    <s v="2023-07-02"/>
    <m/>
    <x v="0"/>
    <x v="54"/>
    <x v="0"/>
    <x v="3"/>
    <x v="226"/>
    <n v="21"/>
    <x v="23"/>
    <n v="87"/>
    <n v="15"/>
    <n v="12"/>
    <n v="5"/>
    <x v="1"/>
    <x v="2"/>
    <n v="3.1"/>
  </r>
  <r>
    <x v="227"/>
    <s v="FN229"/>
    <s v="LN229"/>
    <x v="0"/>
    <n v="38"/>
    <x v="5"/>
    <x v="6"/>
    <x v="4"/>
    <x v="1"/>
    <x v="0"/>
    <s v="2020-11-13"/>
    <m/>
    <x v="0"/>
    <x v="48"/>
    <x v="0"/>
    <x v="23"/>
    <x v="227"/>
    <n v="9"/>
    <x v="2"/>
    <n v="99"/>
    <n v="1"/>
    <n v="4"/>
    <n v="12"/>
    <x v="1"/>
    <x v="2"/>
    <n v="5.7"/>
  </r>
  <r>
    <x v="228"/>
    <s v="FN230"/>
    <s v="LN230"/>
    <x v="1"/>
    <n v="46"/>
    <x v="2"/>
    <x v="7"/>
    <x v="1"/>
    <x v="0"/>
    <x v="1"/>
    <s v="2017-09-06"/>
    <m/>
    <x v="0"/>
    <x v="74"/>
    <x v="0"/>
    <x v="12"/>
    <x v="228"/>
    <n v="11"/>
    <x v="9"/>
    <n v="71"/>
    <n v="12"/>
    <n v="13"/>
    <n v="18"/>
    <x v="1"/>
    <x v="2"/>
    <n v="8.9"/>
  </r>
  <r>
    <x v="229"/>
    <s v="FN231"/>
    <s v="LN231"/>
    <x v="0"/>
    <n v="42"/>
    <x v="5"/>
    <x v="6"/>
    <x v="4"/>
    <x v="2"/>
    <x v="0"/>
    <s v="2021-03-04"/>
    <m/>
    <x v="0"/>
    <x v="45"/>
    <x v="0"/>
    <x v="32"/>
    <x v="229"/>
    <n v="7"/>
    <x v="7"/>
    <n v="97"/>
    <n v="17"/>
    <n v="22"/>
    <n v="55"/>
    <x v="1"/>
    <x v="0"/>
    <n v="5.4"/>
  </r>
  <r>
    <x v="230"/>
    <s v="FN232"/>
    <s v="LN232"/>
    <x v="1"/>
    <n v="25"/>
    <x v="3"/>
    <x v="10"/>
    <x v="2"/>
    <x v="2"/>
    <x v="1"/>
    <s v="2021-07-05"/>
    <m/>
    <x v="0"/>
    <x v="62"/>
    <x v="2"/>
    <x v="7"/>
    <x v="230"/>
    <n v="23"/>
    <x v="19"/>
    <n v="59"/>
    <n v="15"/>
    <n v="29"/>
    <n v="10"/>
    <x v="1"/>
    <x v="0"/>
    <n v="5.0999999999999996"/>
  </r>
  <r>
    <x v="231"/>
    <s v="FN233"/>
    <s v="LN233"/>
    <x v="1"/>
    <n v="31"/>
    <x v="4"/>
    <x v="9"/>
    <x v="4"/>
    <x v="1"/>
    <x v="1"/>
    <s v="2018-11-20"/>
    <m/>
    <x v="0"/>
    <x v="27"/>
    <x v="1"/>
    <x v="18"/>
    <x v="231"/>
    <n v="12"/>
    <x v="0"/>
    <n v="99"/>
    <n v="8"/>
    <n v="50"/>
    <n v="21"/>
    <x v="0"/>
    <x v="2"/>
    <n v="7.7"/>
  </r>
  <r>
    <x v="232"/>
    <s v="FN234"/>
    <s v="LN234"/>
    <x v="0"/>
    <n v="28"/>
    <x v="5"/>
    <x v="2"/>
    <x v="2"/>
    <x v="0"/>
    <x v="0"/>
    <s v="2023-07-11"/>
    <m/>
    <x v="0"/>
    <x v="53"/>
    <x v="2"/>
    <x v="23"/>
    <x v="232"/>
    <n v="10"/>
    <x v="22"/>
    <n v="50"/>
    <n v="2"/>
    <n v="1"/>
    <n v="68"/>
    <x v="0"/>
    <x v="2"/>
    <n v="3.1"/>
  </r>
  <r>
    <x v="233"/>
    <s v="FN235"/>
    <s v="LN235"/>
    <x v="1"/>
    <n v="48"/>
    <x v="0"/>
    <x v="0"/>
    <x v="1"/>
    <x v="2"/>
    <x v="1"/>
    <s v="2021-08-27"/>
    <m/>
    <x v="0"/>
    <x v="2"/>
    <x v="2"/>
    <x v="5"/>
    <x v="233"/>
    <n v="23"/>
    <x v="1"/>
    <n v="72"/>
    <n v="2"/>
    <n v="13"/>
    <n v="2"/>
    <x v="0"/>
    <x v="1"/>
    <n v="4.9000000000000004"/>
  </r>
  <r>
    <x v="234"/>
    <s v="FN236"/>
    <s v="LN236"/>
    <x v="1"/>
    <n v="39"/>
    <x v="5"/>
    <x v="8"/>
    <x v="4"/>
    <x v="0"/>
    <x v="1"/>
    <s v="2025-06-10"/>
    <m/>
    <x v="0"/>
    <x v="8"/>
    <x v="1"/>
    <x v="3"/>
    <x v="234"/>
    <n v="22"/>
    <x v="23"/>
    <n v="96"/>
    <n v="13"/>
    <n v="51"/>
    <n v="24"/>
    <x v="1"/>
    <x v="0"/>
    <n v="1.1000000000000001"/>
  </r>
  <r>
    <x v="235"/>
    <s v="FN237"/>
    <s v="LN237"/>
    <x v="1"/>
    <n v="29"/>
    <x v="5"/>
    <x v="6"/>
    <x v="2"/>
    <x v="1"/>
    <x v="0"/>
    <s v="2022-05-19"/>
    <m/>
    <x v="0"/>
    <x v="21"/>
    <x v="0"/>
    <x v="14"/>
    <x v="235"/>
    <n v="17"/>
    <x v="17"/>
    <n v="94"/>
    <n v="20"/>
    <n v="39"/>
    <n v="52"/>
    <x v="1"/>
    <x v="0"/>
    <n v="4.2"/>
  </r>
  <r>
    <x v="236"/>
    <s v="FN238"/>
    <s v="LN238"/>
    <x v="1"/>
    <n v="53"/>
    <x v="0"/>
    <x v="0"/>
    <x v="1"/>
    <x v="2"/>
    <x v="0"/>
    <s v="2016-02-10"/>
    <m/>
    <x v="0"/>
    <x v="36"/>
    <x v="2"/>
    <x v="13"/>
    <x v="236"/>
    <n v="14"/>
    <x v="15"/>
    <n v="83"/>
    <n v="7"/>
    <n v="40"/>
    <n v="18"/>
    <x v="0"/>
    <x v="1"/>
    <n v="10.5"/>
  </r>
  <r>
    <x v="237"/>
    <s v="FN239"/>
    <s v="LN239"/>
    <x v="1"/>
    <n v="23"/>
    <x v="4"/>
    <x v="6"/>
    <x v="0"/>
    <x v="1"/>
    <x v="0"/>
    <s v="2025-05-31"/>
    <m/>
    <x v="0"/>
    <x v="21"/>
    <x v="1"/>
    <x v="21"/>
    <x v="237"/>
    <n v="13"/>
    <x v="8"/>
    <n v="55"/>
    <n v="14"/>
    <n v="36"/>
    <n v="63"/>
    <x v="1"/>
    <x v="1"/>
    <n v="1.2"/>
  </r>
  <r>
    <x v="238"/>
    <s v="FN240"/>
    <s v="LN240"/>
    <x v="1"/>
    <n v="22"/>
    <x v="0"/>
    <x v="0"/>
    <x v="1"/>
    <x v="0"/>
    <x v="0"/>
    <s v="2024-03-06"/>
    <m/>
    <x v="0"/>
    <x v="23"/>
    <x v="1"/>
    <x v="20"/>
    <x v="238"/>
    <n v="9"/>
    <x v="14"/>
    <n v="93"/>
    <n v="10"/>
    <n v="0"/>
    <n v="63"/>
    <x v="0"/>
    <x v="2"/>
    <n v="2.4"/>
  </r>
  <r>
    <x v="239"/>
    <s v="FN241"/>
    <s v="LN241"/>
    <x v="0"/>
    <n v="31"/>
    <x v="2"/>
    <x v="7"/>
    <x v="4"/>
    <x v="0"/>
    <x v="1"/>
    <s v="2020-05-11"/>
    <s v="2021-08-21"/>
    <x v="1"/>
    <x v="23"/>
    <x v="2"/>
    <x v="27"/>
    <x v="239"/>
    <n v="17"/>
    <x v="9"/>
    <n v="55"/>
    <n v="11"/>
    <n v="33"/>
    <n v="43"/>
    <x v="1"/>
    <x v="1"/>
    <n v="6.2"/>
  </r>
  <r>
    <x v="240"/>
    <s v="FN242"/>
    <s v="LN242"/>
    <x v="0"/>
    <n v="31"/>
    <x v="2"/>
    <x v="7"/>
    <x v="3"/>
    <x v="2"/>
    <x v="0"/>
    <s v="2016-09-12"/>
    <m/>
    <x v="0"/>
    <x v="63"/>
    <x v="0"/>
    <x v="32"/>
    <x v="240"/>
    <n v="14"/>
    <x v="25"/>
    <n v="68"/>
    <n v="3"/>
    <n v="35"/>
    <n v="15"/>
    <x v="1"/>
    <x v="2"/>
    <n v="9.9"/>
  </r>
  <r>
    <x v="241"/>
    <s v="FN243"/>
    <s v="LN243"/>
    <x v="1"/>
    <n v="23"/>
    <x v="3"/>
    <x v="10"/>
    <x v="0"/>
    <x v="2"/>
    <x v="1"/>
    <s v="2021-09-14"/>
    <m/>
    <x v="0"/>
    <x v="25"/>
    <x v="2"/>
    <x v="34"/>
    <x v="241"/>
    <n v="16"/>
    <x v="17"/>
    <n v="53"/>
    <n v="6"/>
    <n v="18"/>
    <n v="11"/>
    <x v="1"/>
    <x v="2"/>
    <n v="4.9000000000000004"/>
  </r>
  <r>
    <x v="242"/>
    <s v="FN244"/>
    <s v="LN244"/>
    <x v="0"/>
    <n v="26"/>
    <x v="4"/>
    <x v="2"/>
    <x v="3"/>
    <x v="0"/>
    <x v="0"/>
    <s v="2023-11-10"/>
    <s v="2027-01-04"/>
    <x v="1"/>
    <x v="65"/>
    <x v="2"/>
    <x v="28"/>
    <x v="242"/>
    <n v="11"/>
    <x v="4"/>
    <n v="83"/>
    <n v="5"/>
    <n v="18"/>
    <n v="40"/>
    <x v="1"/>
    <x v="0"/>
    <n v="2.7"/>
  </r>
  <r>
    <x v="243"/>
    <s v="FN245"/>
    <s v="LN245"/>
    <x v="1"/>
    <n v="28"/>
    <x v="0"/>
    <x v="2"/>
    <x v="2"/>
    <x v="0"/>
    <x v="0"/>
    <s v="2017-03-21"/>
    <m/>
    <x v="0"/>
    <x v="64"/>
    <x v="0"/>
    <x v="0"/>
    <x v="243"/>
    <n v="11"/>
    <x v="6"/>
    <n v="55"/>
    <n v="11"/>
    <n v="20"/>
    <n v="49"/>
    <x v="0"/>
    <x v="0"/>
    <n v="9.4"/>
  </r>
  <r>
    <x v="244"/>
    <s v="FN246"/>
    <s v="LN246"/>
    <x v="1"/>
    <n v="54"/>
    <x v="2"/>
    <x v="5"/>
    <x v="1"/>
    <x v="1"/>
    <x v="1"/>
    <s v="2023-12-06"/>
    <s v="2027-05-11"/>
    <x v="1"/>
    <x v="47"/>
    <x v="0"/>
    <x v="3"/>
    <x v="244"/>
    <n v="14"/>
    <x v="25"/>
    <n v="95"/>
    <n v="9"/>
    <n v="16"/>
    <n v="9"/>
    <x v="0"/>
    <x v="0"/>
    <n v="2.6"/>
  </r>
  <r>
    <x v="245"/>
    <s v="FN247"/>
    <s v="LN247"/>
    <x v="0"/>
    <n v="29"/>
    <x v="5"/>
    <x v="8"/>
    <x v="1"/>
    <x v="2"/>
    <x v="1"/>
    <s v="2026-03-29"/>
    <s v="2029-09-15"/>
    <x v="1"/>
    <x v="34"/>
    <x v="0"/>
    <x v="33"/>
    <x v="245"/>
    <n v="12"/>
    <x v="12"/>
    <n v="85"/>
    <n v="5"/>
    <n v="1"/>
    <n v="31"/>
    <x v="1"/>
    <x v="2"/>
    <n v="0.3"/>
  </r>
  <r>
    <x v="246"/>
    <s v="FN248"/>
    <s v="LN248"/>
    <x v="0"/>
    <n v="43"/>
    <x v="0"/>
    <x v="2"/>
    <x v="1"/>
    <x v="0"/>
    <x v="1"/>
    <s v="2021-08-04"/>
    <m/>
    <x v="0"/>
    <x v="34"/>
    <x v="1"/>
    <x v="35"/>
    <x v="246"/>
    <n v="20"/>
    <x v="19"/>
    <n v="50"/>
    <n v="11"/>
    <n v="26"/>
    <n v="70"/>
    <x v="1"/>
    <x v="1"/>
    <n v="5"/>
  </r>
  <r>
    <x v="247"/>
    <s v="FN249"/>
    <s v="LN249"/>
    <x v="0"/>
    <n v="52"/>
    <x v="3"/>
    <x v="10"/>
    <x v="0"/>
    <x v="0"/>
    <x v="1"/>
    <s v="2017-11-30"/>
    <m/>
    <x v="0"/>
    <x v="46"/>
    <x v="0"/>
    <x v="30"/>
    <x v="247"/>
    <n v="18"/>
    <x v="0"/>
    <n v="70"/>
    <n v="7"/>
    <n v="1"/>
    <n v="57"/>
    <x v="0"/>
    <x v="2"/>
    <n v="8.6999999999999993"/>
  </r>
  <r>
    <x v="248"/>
    <s v="FN250"/>
    <s v="LN250"/>
    <x v="0"/>
    <n v="59"/>
    <x v="4"/>
    <x v="9"/>
    <x v="2"/>
    <x v="0"/>
    <x v="1"/>
    <s v="2020-10-13"/>
    <m/>
    <x v="0"/>
    <x v="62"/>
    <x v="1"/>
    <x v="27"/>
    <x v="248"/>
    <n v="6"/>
    <x v="2"/>
    <n v="97"/>
    <n v="11"/>
    <n v="55"/>
    <n v="64"/>
    <x v="1"/>
    <x v="0"/>
    <n v="5.8"/>
  </r>
  <r>
    <x v="249"/>
    <s v="FN251"/>
    <s v="LN251"/>
    <x v="0"/>
    <n v="26"/>
    <x v="0"/>
    <x v="2"/>
    <x v="3"/>
    <x v="2"/>
    <x v="1"/>
    <s v="2022-03-25"/>
    <s v="2028-04-12"/>
    <x v="1"/>
    <x v="63"/>
    <x v="1"/>
    <x v="5"/>
    <x v="249"/>
    <n v="16"/>
    <x v="18"/>
    <n v="70"/>
    <n v="10"/>
    <n v="5"/>
    <n v="71"/>
    <x v="1"/>
    <x v="0"/>
    <n v="4.3"/>
  </r>
  <r>
    <x v="250"/>
    <s v="FN252"/>
    <s v="LN252"/>
    <x v="1"/>
    <n v="37"/>
    <x v="3"/>
    <x v="10"/>
    <x v="3"/>
    <x v="0"/>
    <x v="0"/>
    <s v="2016-10-19"/>
    <m/>
    <x v="0"/>
    <x v="66"/>
    <x v="1"/>
    <x v="25"/>
    <x v="250"/>
    <n v="11"/>
    <x v="13"/>
    <n v="65"/>
    <n v="2"/>
    <n v="22"/>
    <n v="56"/>
    <x v="1"/>
    <x v="1"/>
    <n v="9.8000000000000007"/>
  </r>
  <r>
    <x v="251"/>
    <s v="FN253"/>
    <s v="LN253"/>
    <x v="0"/>
    <n v="41"/>
    <x v="1"/>
    <x v="4"/>
    <x v="4"/>
    <x v="2"/>
    <x v="1"/>
    <s v="2020-12-13"/>
    <m/>
    <x v="0"/>
    <x v="53"/>
    <x v="0"/>
    <x v="15"/>
    <x v="251"/>
    <n v="5"/>
    <x v="1"/>
    <n v="90"/>
    <n v="16"/>
    <n v="54"/>
    <n v="76"/>
    <x v="0"/>
    <x v="0"/>
    <n v="5.6"/>
  </r>
  <r>
    <x v="252"/>
    <s v="FN254"/>
    <s v="LN254"/>
    <x v="1"/>
    <n v="56"/>
    <x v="4"/>
    <x v="2"/>
    <x v="4"/>
    <x v="2"/>
    <x v="0"/>
    <s v="2023-03-26"/>
    <m/>
    <x v="0"/>
    <x v="24"/>
    <x v="1"/>
    <x v="9"/>
    <x v="252"/>
    <n v="13"/>
    <x v="3"/>
    <n v="66"/>
    <n v="0"/>
    <n v="19"/>
    <n v="72"/>
    <x v="0"/>
    <x v="2"/>
    <n v="3.3"/>
  </r>
  <r>
    <x v="253"/>
    <s v="FN255"/>
    <s v="LN255"/>
    <x v="0"/>
    <n v="55"/>
    <x v="5"/>
    <x v="2"/>
    <x v="1"/>
    <x v="1"/>
    <x v="1"/>
    <s v="2025-03-15"/>
    <m/>
    <x v="0"/>
    <x v="35"/>
    <x v="2"/>
    <x v="7"/>
    <x v="253"/>
    <n v="12"/>
    <x v="5"/>
    <n v="51"/>
    <n v="6"/>
    <n v="46"/>
    <n v="59"/>
    <x v="0"/>
    <x v="1"/>
    <n v="1.4"/>
  </r>
  <r>
    <x v="254"/>
    <s v="FN256"/>
    <s v="LN256"/>
    <x v="0"/>
    <n v="33"/>
    <x v="2"/>
    <x v="5"/>
    <x v="0"/>
    <x v="0"/>
    <x v="0"/>
    <s v="2021-06-14"/>
    <s v="2025-04-11"/>
    <x v="1"/>
    <x v="18"/>
    <x v="2"/>
    <x v="13"/>
    <x v="254"/>
    <n v="21"/>
    <x v="21"/>
    <n v="92"/>
    <n v="18"/>
    <n v="17"/>
    <n v="1"/>
    <x v="0"/>
    <x v="0"/>
    <n v="5.0999999999999996"/>
  </r>
  <r>
    <x v="255"/>
    <s v="FN257"/>
    <s v="LN257"/>
    <x v="0"/>
    <n v="24"/>
    <x v="1"/>
    <x v="4"/>
    <x v="3"/>
    <x v="1"/>
    <x v="1"/>
    <s v="2023-09-04"/>
    <m/>
    <x v="0"/>
    <x v="58"/>
    <x v="1"/>
    <x v="22"/>
    <x v="255"/>
    <n v="8"/>
    <x v="8"/>
    <n v="58"/>
    <n v="14"/>
    <n v="31"/>
    <n v="12"/>
    <x v="1"/>
    <x v="1"/>
    <n v="2.9"/>
  </r>
  <r>
    <x v="256"/>
    <s v="FN258"/>
    <s v="LN258"/>
    <x v="1"/>
    <n v="37"/>
    <x v="1"/>
    <x v="4"/>
    <x v="4"/>
    <x v="1"/>
    <x v="1"/>
    <s v="2025-05-18"/>
    <m/>
    <x v="0"/>
    <x v="41"/>
    <x v="1"/>
    <x v="2"/>
    <x v="256"/>
    <n v="11"/>
    <x v="17"/>
    <n v="54"/>
    <n v="2"/>
    <n v="46"/>
    <n v="22"/>
    <x v="0"/>
    <x v="0"/>
    <n v="1.2"/>
  </r>
  <r>
    <x v="257"/>
    <s v="FN259"/>
    <s v="LN259"/>
    <x v="1"/>
    <n v="53"/>
    <x v="1"/>
    <x v="4"/>
    <x v="1"/>
    <x v="0"/>
    <x v="1"/>
    <s v="2017-01-27"/>
    <m/>
    <x v="0"/>
    <x v="30"/>
    <x v="0"/>
    <x v="2"/>
    <x v="257"/>
    <n v="19"/>
    <x v="12"/>
    <n v="56"/>
    <n v="16"/>
    <n v="23"/>
    <n v="44"/>
    <x v="0"/>
    <x v="0"/>
    <n v="9.5"/>
  </r>
  <r>
    <x v="258"/>
    <s v="FN260"/>
    <s v="LN260"/>
    <x v="0"/>
    <n v="26"/>
    <x v="0"/>
    <x v="2"/>
    <x v="0"/>
    <x v="0"/>
    <x v="1"/>
    <s v="2020-10-13"/>
    <s v="2021-08-25"/>
    <x v="1"/>
    <x v="10"/>
    <x v="2"/>
    <x v="19"/>
    <x v="258"/>
    <n v="23"/>
    <x v="21"/>
    <n v="83"/>
    <n v="0"/>
    <n v="56"/>
    <n v="21"/>
    <x v="1"/>
    <x v="0"/>
    <n v="5.8"/>
  </r>
  <r>
    <x v="259"/>
    <s v="FN261"/>
    <s v="LN261"/>
    <x v="1"/>
    <n v="52"/>
    <x v="5"/>
    <x v="8"/>
    <x v="2"/>
    <x v="0"/>
    <x v="0"/>
    <s v="2018-01-18"/>
    <m/>
    <x v="0"/>
    <x v="23"/>
    <x v="2"/>
    <x v="28"/>
    <x v="259"/>
    <n v="5"/>
    <x v="11"/>
    <n v="55"/>
    <n v="12"/>
    <n v="6"/>
    <n v="0"/>
    <x v="1"/>
    <x v="1"/>
    <n v="8.5"/>
  </r>
  <r>
    <x v="260"/>
    <s v="FN262"/>
    <s v="LN262"/>
    <x v="0"/>
    <n v="60"/>
    <x v="3"/>
    <x v="2"/>
    <x v="3"/>
    <x v="0"/>
    <x v="0"/>
    <s v="2024-01-09"/>
    <m/>
    <x v="0"/>
    <x v="68"/>
    <x v="1"/>
    <x v="32"/>
    <x v="260"/>
    <n v="15"/>
    <x v="22"/>
    <n v="80"/>
    <n v="14"/>
    <n v="0"/>
    <n v="55"/>
    <x v="0"/>
    <x v="2"/>
    <n v="2.6"/>
  </r>
  <r>
    <x v="261"/>
    <s v="FN263"/>
    <s v="LN263"/>
    <x v="0"/>
    <n v="54"/>
    <x v="2"/>
    <x v="3"/>
    <x v="1"/>
    <x v="0"/>
    <x v="1"/>
    <s v="2024-04-06"/>
    <s v="2031-10-21"/>
    <x v="1"/>
    <x v="50"/>
    <x v="0"/>
    <x v="31"/>
    <x v="261"/>
    <n v="25"/>
    <x v="7"/>
    <n v="77"/>
    <n v="18"/>
    <n v="31"/>
    <n v="31"/>
    <x v="1"/>
    <x v="2"/>
    <n v="2.2999999999999998"/>
  </r>
  <r>
    <x v="262"/>
    <s v="FN264"/>
    <s v="LN264"/>
    <x v="0"/>
    <n v="53"/>
    <x v="2"/>
    <x v="5"/>
    <x v="2"/>
    <x v="0"/>
    <x v="1"/>
    <s v="2019-09-25"/>
    <m/>
    <x v="0"/>
    <x v="39"/>
    <x v="2"/>
    <x v="32"/>
    <x v="262"/>
    <n v="20"/>
    <x v="11"/>
    <n v="93"/>
    <n v="2"/>
    <n v="25"/>
    <n v="7"/>
    <x v="0"/>
    <x v="2"/>
    <n v="6.8"/>
  </r>
  <r>
    <x v="263"/>
    <s v="FN265"/>
    <s v="LN265"/>
    <x v="0"/>
    <n v="39"/>
    <x v="2"/>
    <x v="3"/>
    <x v="0"/>
    <x v="2"/>
    <x v="0"/>
    <s v="2018-12-23"/>
    <m/>
    <x v="0"/>
    <x v="13"/>
    <x v="2"/>
    <x v="8"/>
    <x v="263"/>
    <n v="21"/>
    <x v="11"/>
    <n v="96"/>
    <n v="10"/>
    <n v="59"/>
    <n v="7"/>
    <x v="1"/>
    <x v="2"/>
    <n v="7.6"/>
  </r>
  <r>
    <x v="264"/>
    <s v="FN266"/>
    <s v="LN266"/>
    <x v="1"/>
    <n v="49"/>
    <x v="3"/>
    <x v="2"/>
    <x v="4"/>
    <x v="2"/>
    <x v="1"/>
    <s v="2020-08-15"/>
    <m/>
    <x v="0"/>
    <x v="63"/>
    <x v="2"/>
    <x v="11"/>
    <x v="264"/>
    <n v="10"/>
    <x v="2"/>
    <n v="66"/>
    <n v="8"/>
    <n v="46"/>
    <n v="38"/>
    <x v="1"/>
    <x v="1"/>
    <n v="6"/>
  </r>
  <r>
    <x v="265"/>
    <s v="FN267"/>
    <s v="LN267"/>
    <x v="0"/>
    <n v="45"/>
    <x v="5"/>
    <x v="8"/>
    <x v="0"/>
    <x v="2"/>
    <x v="0"/>
    <s v="2020-05-01"/>
    <m/>
    <x v="0"/>
    <x v="18"/>
    <x v="0"/>
    <x v="19"/>
    <x v="265"/>
    <n v="24"/>
    <x v="10"/>
    <n v="98"/>
    <n v="15"/>
    <n v="17"/>
    <n v="74"/>
    <x v="1"/>
    <x v="1"/>
    <n v="6.2"/>
  </r>
  <r>
    <x v="266"/>
    <s v="FN268"/>
    <s v="LN268"/>
    <x v="1"/>
    <n v="40"/>
    <x v="0"/>
    <x v="2"/>
    <x v="4"/>
    <x v="2"/>
    <x v="0"/>
    <s v="2016-03-06"/>
    <m/>
    <x v="0"/>
    <x v="30"/>
    <x v="2"/>
    <x v="22"/>
    <x v="266"/>
    <n v="12"/>
    <x v="14"/>
    <n v="53"/>
    <n v="19"/>
    <n v="24"/>
    <n v="44"/>
    <x v="0"/>
    <x v="2"/>
    <n v="10.4"/>
  </r>
  <r>
    <x v="267"/>
    <s v="FN269"/>
    <s v="LN269"/>
    <x v="0"/>
    <n v="50"/>
    <x v="1"/>
    <x v="1"/>
    <x v="4"/>
    <x v="2"/>
    <x v="1"/>
    <s v="2020-01-12"/>
    <s v="2021-07-06"/>
    <x v="1"/>
    <x v="53"/>
    <x v="1"/>
    <x v="21"/>
    <x v="267"/>
    <n v="20"/>
    <x v="21"/>
    <n v="79"/>
    <n v="10"/>
    <n v="43"/>
    <n v="37"/>
    <x v="1"/>
    <x v="1"/>
    <n v="6.5"/>
  </r>
  <r>
    <x v="268"/>
    <s v="FN270"/>
    <s v="LN270"/>
    <x v="0"/>
    <n v="60"/>
    <x v="5"/>
    <x v="2"/>
    <x v="2"/>
    <x v="0"/>
    <x v="1"/>
    <s v="2019-02-05"/>
    <s v="2019-12-25"/>
    <x v="1"/>
    <x v="75"/>
    <x v="1"/>
    <x v="33"/>
    <x v="268"/>
    <n v="21"/>
    <x v="4"/>
    <n v="100"/>
    <n v="6"/>
    <n v="23"/>
    <n v="56"/>
    <x v="1"/>
    <x v="1"/>
    <n v="7.5"/>
  </r>
  <r>
    <x v="269"/>
    <s v="FN271"/>
    <s v="LN271"/>
    <x v="0"/>
    <n v="31"/>
    <x v="0"/>
    <x v="2"/>
    <x v="2"/>
    <x v="1"/>
    <x v="0"/>
    <s v="2021-08-26"/>
    <s v="2026-06-13"/>
    <x v="1"/>
    <x v="3"/>
    <x v="1"/>
    <x v="17"/>
    <x v="269"/>
    <n v="23"/>
    <x v="8"/>
    <n v="65"/>
    <n v="15"/>
    <n v="9"/>
    <n v="74"/>
    <x v="0"/>
    <x v="1"/>
    <n v="4.9000000000000004"/>
  </r>
  <r>
    <x v="270"/>
    <s v="FN272"/>
    <s v="LN272"/>
    <x v="0"/>
    <n v="57"/>
    <x v="2"/>
    <x v="3"/>
    <x v="0"/>
    <x v="0"/>
    <x v="0"/>
    <s v="2019-07-22"/>
    <m/>
    <x v="0"/>
    <x v="34"/>
    <x v="0"/>
    <x v="6"/>
    <x v="270"/>
    <n v="21"/>
    <x v="10"/>
    <n v="94"/>
    <n v="13"/>
    <n v="13"/>
    <n v="76"/>
    <x v="0"/>
    <x v="1"/>
    <n v="7"/>
  </r>
  <r>
    <x v="271"/>
    <s v="FN273"/>
    <s v="LN273"/>
    <x v="0"/>
    <n v="26"/>
    <x v="1"/>
    <x v="1"/>
    <x v="0"/>
    <x v="0"/>
    <x v="0"/>
    <s v="2022-04-05"/>
    <m/>
    <x v="0"/>
    <x v="56"/>
    <x v="0"/>
    <x v="3"/>
    <x v="271"/>
    <n v="17"/>
    <x v="16"/>
    <n v="62"/>
    <n v="10"/>
    <n v="35"/>
    <n v="27"/>
    <x v="0"/>
    <x v="1"/>
    <n v="4.3"/>
  </r>
  <r>
    <x v="272"/>
    <s v="FN274"/>
    <s v="LN274"/>
    <x v="0"/>
    <n v="35"/>
    <x v="4"/>
    <x v="2"/>
    <x v="2"/>
    <x v="0"/>
    <x v="1"/>
    <s v="2018-11-28"/>
    <m/>
    <x v="0"/>
    <x v="1"/>
    <x v="0"/>
    <x v="27"/>
    <x v="272"/>
    <n v="21"/>
    <x v="2"/>
    <n v="57"/>
    <n v="19"/>
    <n v="38"/>
    <n v="66"/>
    <x v="0"/>
    <x v="2"/>
    <n v="7.7"/>
  </r>
  <r>
    <x v="273"/>
    <s v="FN275"/>
    <s v="LN275"/>
    <x v="1"/>
    <n v="39"/>
    <x v="1"/>
    <x v="1"/>
    <x v="2"/>
    <x v="0"/>
    <x v="1"/>
    <s v="2026-04-13"/>
    <m/>
    <x v="0"/>
    <x v="75"/>
    <x v="2"/>
    <x v="26"/>
    <x v="273"/>
    <n v="21"/>
    <x v="8"/>
    <n v="55"/>
    <n v="20"/>
    <n v="56"/>
    <n v="3"/>
    <x v="0"/>
    <x v="2"/>
    <n v="0.3"/>
  </r>
  <r>
    <x v="274"/>
    <s v="FN276"/>
    <s v="LN276"/>
    <x v="0"/>
    <n v="27"/>
    <x v="5"/>
    <x v="8"/>
    <x v="4"/>
    <x v="0"/>
    <x v="1"/>
    <s v="2016-02-25"/>
    <s v="2021-12-02"/>
    <x v="1"/>
    <x v="2"/>
    <x v="1"/>
    <x v="32"/>
    <x v="274"/>
    <n v="22"/>
    <x v="21"/>
    <n v="91"/>
    <n v="18"/>
    <n v="26"/>
    <n v="57"/>
    <x v="1"/>
    <x v="0"/>
    <n v="10.4"/>
  </r>
  <r>
    <x v="275"/>
    <s v="FN277"/>
    <s v="LN277"/>
    <x v="0"/>
    <n v="24"/>
    <x v="4"/>
    <x v="9"/>
    <x v="3"/>
    <x v="0"/>
    <x v="1"/>
    <s v="2020-01-06"/>
    <s v="2027-03-09"/>
    <x v="1"/>
    <x v="67"/>
    <x v="1"/>
    <x v="12"/>
    <x v="275"/>
    <n v="21"/>
    <x v="21"/>
    <n v="60"/>
    <n v="1"/>
    <n v="52"/>
    <n v="11"/>
    <x v="0"/>
    <x v="0"/>
    <n v="6.6"/>
  </r>
  <r>
    <x v="276"/>
    <s v="FN278"/>
    <s v="LN278"/>
    <x v="0"/>
    <n v="22"/>
    <x v="5"/>
    <x v="8"/>
    <x v="2"/>
    <x v="2"/>
    <x v="1"/>
    <s v="2021-11-19"/>
    <m/>
    <x v="0"/>
    <x v="23"/>
    <x v="0"/>
    <x v="25"/>
    <x v="276"/>
    <n v="9"/>
    <x v="22"/>
    <n v="73"/>
    <n v="12"/>
    <n v="42"/>
    <n v="5"/>
    <x v="1"/>
    <x v="0"/>
    <n v="4.7"/>
  </r>
  <r>
    <x v="277"/>
    <s v="FN279"/>
    <s v="LN279"/>
    <x v="1"/>
    <n v="59"/>
    <x v="4"/>
    <x v="6"/>
    <x v="2"/>
    <x v="1"/>
    <x v="1"/>
    <s v="2016-01-20"/>
    <m/>
    <x v="0"/>
    <x v="45"/>
    <x v="2"/>
    <x v="31"/>
    <x v="277"/>
    <n v="17"/>
    <x v="25"/>
    <n v="78"/>
    <n v="0"/>
    <n v="42"/>
    <n v="41"/>
    <x v="0"/>
    <x v="1"/>
    <n v="10.5"/>
  </r>
  <r>
    <x v="278"/>
    <s v="FN280"/>
    <s v="LN280"/>
    <x v="0"/>
    <n v="30"/>
    <x v="2"/>
    <x v="3"/>
    <x v="0"/>
    <x v="1"/>
    <x v="1"/>
    <s v="2025-02-02"/>
    <m/>
    <x v="0"/>
    <x v="32"/>
    <x v="2"/>
    <x v="34"/>
    <x v="278"/>
    <n v="7"/>
    <x v="7"/>
    <n v="85"/>
    <n v="16"/>
    <n v="7"/>
    <n v="60"/>
    <x v="1"/>
    <x v="0"/>
    <n v="1.5"/>
  </r>
  <r>
    <x v="279"/>
    <s v="FN281"/>
    <s v="LN281"/>
    <x v="0"/>
    <n v="31"/>
    <x v="5"/>
    <x v="8"/>
    <x v="0"/>
    <x v="2"/>
    <x v="0"/>
    <s v="2018-09-18"/>
    <m/>
    <x v="0"/>
    <x v="9"/>
    <x v="1"/>
    <x v="26"/>
    <x v="279"/>
    <n v="11"/>
    <x v="23"/>
    <n v="54"/>
    <n v="15"/>
    <n v="53"/>
    <n v="50"/>
    <x v="0"/>
    <x v="0"/>
    <n v="7.9"/>
  </r>
  <r>
    <x v="280"/>
    <s v="FN282"/>
    <s v="LN282"/>
    <x v="0"/>
    <n v="36"/>
    <x v="2"/>
    <x v="5"/>
    <x v="3"/>
    <x v="1"/>
    <x v="0"/>
    <s v="2023-10-25"/>
    <m/>
    <x v="0"/>
    <x v="56"/>
    <x v="2"/>
    <x v="17"/>
    <x v="280"/>
    <n v="21"/>
    <x v="7"/>
    <n v="85"/>
    <n v="4"/>
    <n v="0"/>
    <n v="11"/>
    <x v="0"/>
    <x v="2"/>
    <n v="2.8"/>
  </r>
  <r>
    <x v="281"/>
    <s v="FN283"/>
    <s v="LN283"/>
    <x v="0"/>
    <n v="40"/>
    <x v="3"/>
    <x v="2"/>
    <x v="1"/>
    <x v="2"/>
    <x v="1"/>
    <s v="2017-12-27"/>
    <m/>
    <x v="0"/>
    <x v="75"/>
    <x v="1"/>
    <x v="2"/>
    <x v="281"/>
    <n v="8"/>
    <x v="12"/>
    <n v="84"/>
    <n v="15"/>
    <n v="48"/>
    <n v="27"/>
    <x v="0"/>
    <x v="2"/>
    <n v="8.6"/>
  </r>
  <r>
    <x v="282"/>
    <s v="FN284"/>
    <s v="LN284"/>
    <x v="0"/>
    <n v="36"/>
    <x v="2"/>
    <x v="5"/>
    <x v="4"/>
    <x v="2"/>
    <x v="0"/>
    <s v="2026-03-18"/>
    <m/>
    <x v="0"/>
    <x v="76"/>
    <x v="2"/>
    <x v="31"/>
    <x v="282"/>
    <n v="13"/>
    <x v="2"/>
    <n v="66"/>
    <n v="5"/>
    <n v="7"/>
    <n v="61"/>
    <x v="0"/>
    <x v="1"/>
    <n v="0.4"/>
  </r>
  <r>
    <x v="283"/>
    <s v="FN285"/>
    <s v="LN285"/>
    <x v="0"/>
    <n v="45"/>
    <x v="4"/>
    <x v="9"/>
    <x v="1"/>
    <x v="0"/>
    <x v="1"/>
    <s v="2018-01-15"/>
    <m/>
    <x v="0"/>
    <x v="19"/>
    <x v="2"/>
    <x v="16"/>
    <x v="283"/>
    <n v="20"/>
    <x v="10"/>
    <n v="69"/>
    <n v="1"/>
    <n v="55"/>
    <n v="77"/>
    <x v="0"/>
    <x v="0"/>
    <n v="8.5"/>
  </r>
  <r>
    <x v="284"/>
    <s v="FN286"/>
    <s v="LN286"/>
    <x v="1"/>
    <n v="50"/>
    <x v="4"/>
    <x v="6"/>
    <x v="1"/>
    <x v="0"/>
    <x v="0"/>
    <s v="2017-07-26"/>
    <m/>
    <x v="0"/>
    <x v="62"/>
    <x v="0"/>
    <x v="33"/>
    <x v="284"/>
    <n v="25"/>
    <x v="25"/>
    <n v="62"/>
    <n v="16"/>
    <n v="5"/>
    <n v="69"/>
    <x v="1"/>
    <x v="2"/>
    <n v="9"/>
  </r>
  <r>
    <x v="285"/>
    <s v="FN287"/>
    <s v="LN287"/>
    <x v="0"/>
    <n v="60"/>
    <x v="1"/>
    <x v="4"/>
    <x v="2"/>
    <x v="0"/>
    <x v="1"/>
    <s v="2024-01-24"/>
    <m/>
    <x v="0"/>
    <x v="49"/>
    <x v="2"/>
    <x v="4"/>
    <x v="285"/>
    <n v="11"/>
    <x v="21"/>
    <n v="66"/>
    <n v="14"/>
    <n v="53"/>
    <n v="4"/>
    <x v="0"/>
    <x v="2"/>
    <n v="2.5"/>
  </r>
  <r>
    <x v="286"/>
    <s v="FN288"/>
    <s v="LN288"/>
    <x v="1"/>
    <n v="49"/>
    <x v="0"/>
    <x v="0"/>
    <x v="3"/>
    <x v="0"/>
    <x v="1"/>
    <s v="2018-11-20"/>
    <m/>
    <x v="0"/>
    <x v="45"/>
    <x v="2"/>
    <x v="32"/>
    <x v="286"/>
    <n v="14"/>
    <x v="8"/>
    <n v="78"/>
    <n v="11"/>
    <n v="38"/>
    <n v="59"/>
    <x v="1"/>
    <x v="1"/>
    <n v="7.7"/>
  </r>
  <r>
    <x v="287"/>
    <s v="FN289"/>
    <s v="LN289"/>
    <x v="1"/>
    <n v="33"/>
    <x v="1"/>
    <x v="4"/>
    <x v="2"/>
    <x v="0"/>
    <x v="1"/>
    <s v="2018-01-31"/>
    <m/>
    <x v="0"/>
    <x v="0"/>
    <x v="2"/>
    <x v="27"/>
    <x v="287"/>
    <n v="17"/>
    <x v="6"/>
    <n v="96"/>
    <n v="9"/>
    <n v="4"/>
    <n v="8"/>
    <x v="1"/>
    <x v="2"/>
    <n v="8.5"/>
  </r>
  <r>
    <x v="288"/>
    <s v="FN290"/>
    <s v="LN290"/>
    <x v="0"/>
    <n v="28"/>
    <x v="4"/>
    <x v="2"/>
    <x v="3"/>
    <x v="0"/>
    <x v="1"/>
    <s v="2021-02-20"/>
    <m/>
    <x v="0"/>
    <x v="36"/>
    <x v="0"/>
    <x v="30"/>
    <x v="288"/>
    <n v="15"/>
    <x v="18"/>
    <n v="84"/>
    <n v="18"/>
    <n v="21"/>
    <n v="49"/>
    <x v="0"/>
    <x v="1"/>
    <n v="5.4"/>
  </r>
  <r>
    <x v="289"/>
    <s v="FN291"/>
    <s v="LN291"/>
    <x v="0"/>
    <n v="22"/>
    <x v="3"/>
    <x v="10"/>
    <x v="1"/>
    <x v="2"/>
    <x v="1"/>
    <s v="2019-08-12"/>
    <m/>
    <x v="0"/>
    <x v="18"/>
    <x v="2"/>
    <x v="1"/>
    <x v="289"/>
    <n v="6"/>
    <x v="21"/>
    <n v="95"/>
    <n v="11"/>
    <n v="54"/>
    <n v="12"/>
    <x v="1"/>
    <x v="1"/>
    <n v="7"/>
  </r>
  <r>
    <x v="290"/>
    <s v="FN292"/>
    <s v="LN292"/>
    <x v="1"/>
    <n v="51"/>
    <x v="1"/>
    <x v="1"/>
    <x v="4"/>
    <x v="1"/>
    <x v="1"/>
    <s v="2019-12-17"/>
    <m/>
    <x v="0"/>
    <x v="40"/>
    <x v="1"/>
    <x v="6"/>
    <x v="290"/>
    <n v="23"/>
    <x v="16"/>
    <n v="73"/>
    <n v="12"/>
    <n v="9"/>
    <n v="56"/>
    <x v="0"/>
    <x v="1"/>
    <n v="6.6"/>
  </r>
  <r>
    <x v="291"/>
    <s v="FN293"/>
    <s v="LN293"/>
    <x v="1"/>
    <n v="41"/>
    <x v="2"/>
    <x v="5"/>
    <x v="1"/>
    <x v="2"/>
    <x v="1"/>
    <s v="2023-05-07"/>
    <m/>
    <x v="0"/>
    <x v="22"/>
    <x v="0"/>
    <x v="13"/>
    <x v="291"/>
    <n v="23"/>
    <x v="5"/>
    <n v="78"/>
    <n v="15"/>
    <n v="36"/>
    <n v="61"/>
    <x v="1"/>
    <x v="2"/>
    <n v="3.2"/>
  </r>
  <r>
    <x v="292"/>
    <s v="FN294"/>
    <s v="LN294"/>
    <x v="0"/>
    <n v="41"/>
    <x v="0"/>
    <x v="0"/>
    <x v="4"/>
    <x v="1"/>
    <x v="1"/>
    <s v="2022-01-03"/>
    <m/>
    <x v="0"/>
    <x v="51"/>
    <x v="2"/>
    <x v="31"/>
    <x v="292"/>
    <n v="16"/>
    <x v="7"/>
    <n v="67"/>
    <n v="0"/>
    <n v="32"/>
    <n v="47"/>
    <x v="0"/>
    <x v="1"/>
    <n v="4.5999999999999996"/>
  </r>
  <r>
    <x v="293"/>
    <s v="FN295"/>
    <s v="LN295"/>
    <x v="0"/>
    <n v="21"/>
    <x v="0"/>
    <x v="2"/>
    <x v="1"/>
    <x v="1"/>
    <x v="1"/>
    <s v="2021-10-14"/>
    <m/>
    <x v="0"/>
    <x v="15"/>
    <x v="0"/>
    <x v="23"/>
    <x v="293"/>
    <n v="24"/>
    <x v="0"/>
    <n v="94"/>
    <n v="3"/>
    <n v="54"/>
    <n v="51"/>
    <x v="1"/>
    <x v="2"/>
    <n v="4.8"/>
  </r>
  <r>
    <x v="294"/>
    <s v="FN296"/>
    <s v="LN296"/>
    <x v="0"/>
    <n v="22"/>
    <x v="3"/>
    <x v="2"/>
    <x v="1"/>
    <x v="1"/>
    <x v="1"/>
    <s v="2025-12-26"/>
    <s v="2034-02-23"/>
    <x v="1"/>
    <x v="18"/>
    <x v="2"/>
    <x v="31"/>
    <x v="294"/>
    <n v="13"/>
    <x v="6"/>
    <n v="77"/>
    <n v="2"/>
    <n v="25"/>
    <n v="42"/>
    <x v="1"/>
    <x v="2"/>
    <n v="0.6"/>
  </r>
  <r>
    <x v="295"/>
    <s v="FN297"/>
    <s v="LN297"/>
    <x v="1"/>
    <n v="22"/>
    <x v="4"/>
    <x v="9"/>
    <x v="3"/>
    <x v="0"/>
    <x v="1"/>
    <s v="2018-11-19"/>
    <m/>
    <x v="0"/>
    <x v="68"/>
    <x v="1"/>
    <x v="9"/>
    <x v="295"/>
    <n v="17"/>
    <x v="21"/>
    <n v="76"/>
    <n v="16"/>
    <n v="10"/>
    <n v="4"/>
    <x v="1"/>
    <x v="1"/>
    <n v="7.7"/>
  </r>
  <r>
    <x v="296"/>
    <s v="FN298"/>
    <s v="LN298"/>
    <x v="0"/>
    <n v="54"/>
    <x v="1"/>
    <x v="4"/>
    <x v="2"/>
    <x v="2"/>
    <x v="1"/>
    <s v="2018-11-16"/>
    <m/>
    <x v="0"/>
    <x v="70"/>
    <x v="1"/>
    <x v="35"/>
    <x v="296"/>
    <n v="11"/>
    <x v="10"/>
    <n v="97"/>
    <n v="17"/>
    <n v="9"/>
    <n v="13"/>
    <x v="0"/>
    <x v="1"/>
    <n v="7.7"/>
  </r>
  <r>
    <x v="297"/>
    <s v="FN299"/>
    <s v="LN299"/>
    <x v="0"/>
    <n v="21"/>
    <x v="4"/>
    <x v="6"/>
    <x v="2"/>
    <x v="0"/>
    <x v="1"/>
    <s v="2023-10-06"/>
    <m/>
    <x v="0"/>
    <x v="38"/>
    <x v="1"/>
    <x v="28"/>
    <x v="297"/>
    <n v="20"/>
    <x v="23"/>
    <n v="84"/>
    <n v="1"/>
    <n v="20"/>
    <n v="36"/>
    <x v="0"/>
    <x v="1"/>
    <n v="2.8"/>
  </r>
  <r>
    <x v="298"/>
    <s v="FN300"/>
    <s v="LN300"/>
    <x v="1"/>
    <n v="24"/>
    <x v="0"/>
    <x v="2"/>
    <x v="3"/>
    <x v="0"/>
    <x v="0"/>
    <s v="2019-07-09"/>
    <m/>
    <x v="0"/>
    <x v="47"/>
    <x v="2"/>
    <x v="3"/>
    <x v="298"/>
    <n v="14"/>
    <x v="2"/>
    <n v="95"/>
    <n v="14"/>
    <n v="20"/>
    <n v="25"/>
    <x v="1"/>
    <x v="0"/>
    <n v="7.1"/>
  </r>
  <r>
    <x v="299"/>
    <s v="FN301"/>
    <s v="LN301"/>
    <x v="1"/>
    <n v="56"/>
    <x v="4"/>
    <x v="2"/>
    <x v="3"/>
    <x v="1"/>
    <x v="0"/>
    <s v="2017-05-24"/>
    <m/>
    <x v="0"/>
    <x v="15"/>
    <x v="0"/>
    <x v="6"/>
    <x v="299"/>
    <n v="23"/>
    <x v="4"/>
    <n v="91"/>
    <n v="18"/>
    <n v="51"/>
    <n v="22"/>
    <x v="0"/>
    <x v="2"/>
    <n v="9.1999999999999993"/>
  </r>
  <r>
    <x v="300"/>
    <s v="FN302"/>
    <s v="LN302"/>
    <x v="0"/>
    <n v="50"/>
    <x v="3"/>
    <x v="10"/>
    <x v="2"/>
    <x v="2"/>
    <x v="0"/>
    <s v="2018-05-02"/>
    <s v="2021-06-13"/>
    <x v="1"/>
    <x v="40"/>
    <x v="2"/>
    <x v="11"/>
    <x v="300"/>
    <n v="15"/>
    <x v="22"/>
    <n v="77"/>
    <n v="18"/>
    <n v="8"/>
    <n v="23"/>
    <x v="1"/>
    <x v="0"/>
    <n v="8.1999999999999993"/>
  </r>
  <r>
    <x v="301"/>
    <s v="FN303"/>
    <s v="LN303"/>
    <x v="1"/>
    <n v="21"/>
    <x v="5"/>
    <x v="2"/>
    <x v="2"/>
    <x v="2"/>
    <x v="0"/>
    <s v="2020-06-14"/>
    <m/>
    <x v="0"/>
    <x v="40"/>
    <x v="2"/>
    <x v="2"/>
    <x v="301"/>
    <n v="14"/>
    <x v="3"/>
    <n v="56"/>
    <n v="18"/>
    <n v="18"/>
    <n v="27"/>
    <x v="1"/>
    <x v="0"/>
    <n v="6.1"/>
  </r>
  <r>
    <x v="302"/>
    <s v="FN304"/>
    <s v="LN304"/>
    <x v="0"/>
    <n v="26"/>
    <x v="1"/>
    <x v="1"/>
    <x v="3"/>
    <x v="2"/>
    <x v="0"/>
    <s v="2018-02-07"/>
    <m/>
    <x v="0"/>
    <x v="74"/>
    <x v="2"/>
    <x v="20"/>
    <x v="302"/>
    <n v="20"/>
    <x v="2"/>
    <n v="74"/>
    <n v="3"/>
    <n v="17"/>
    <n v="75"/>
    <x v="0"/>
    <x v="2"/>
    <n v="8.5"/>
  </r>
  <r>
    <x v="303"/>
    <s v="FN305"/>
    <s v="LN305"/>
    <x v="1"/>
    <n v="55"/>
    <x v="4"/>
    <x v="9"/>
    <x v="3"/>
    <x v="2"/>
    <x v="0"/>
    <s v="2021-09-19"/>
    <m/>
    <x v="0"/>
    <x v="38"/>
    <x v="2"/>
    <x v="9"/>
    <x v="303"/>
    <n v="17"/>
    <x v="7"/>
    <n v="64"/>
    <n v="16"/>
    <n v="20"/>
    <n v="65"/>
    <x v="1"/>
    <x v="0"/>
    <n v="4.9000000000000004"/>
  </r>
  <r>
    <x v="304"/>
    <s v="FN306"/>
    <s v="LN306"/>
    <x v="0"/>
    <n v="33"/>
    <x v="5"/>
    <x v="8"/>
    <x v="0"/>
    <x v="0"/>
    <x v="0"/>
    <s v="2017-04-12"/>
    <m/>
    <x v="0"/>
    <x v="5"/>
    <x v="2"/>
    <x v="20"/>
    <x v="304"/>
    <n v="14"/>
    <x v="23"/>
    <n v="88"/>
    <n v="6"/>
    <n v="53"/>
    <n v="68"/>
    <x v="0"/>
    <x v="1"/>
    <n v="9.3000000000000007"/>
  </r>
  <r>
    <x v="305"/>
    <s v="FN307"/>
    <s v="LN307"/>
    <x v="1"/>
    <n v="37"/>
    <x v="1"/>
    <x v="1"/>
    <x v="4"/>
    <x v="2"/>
    <x v="1"/>
    <s v="2016-04-12"/>
    <m/>
    <x v="0"/>
    <x v="52"/>
    <x v="0"/>
    <x v="8"/>
    <x v="305"/>
    <n v="12"/>
    <x v="1"/>
    <n v="56"/>
    <n v="3"/>
    <n v="33"/>
    <n v="18"/>
    <x v="1"/>
    <x v="0"/>
    <n v="10.3"/>
  </r>
  <r>
    <x v="306"/>
    <s v="FN308"/>
    <s v="LN308"/>
    <x v="1"/>
    <n v="46"/>
    <x v="2"/>
    <x v="3"/>
    <x v="1"/>
    <x v="2"/>
    <x v="1"/>
    <s v="2022-11-01"/>
    <m/>
    <x v="0"/>
    <x v="53"/>
    <x v="2"/>
    <x v="5"/>
    <x v="306"/>
    <n v="24"/>
    <x v="23"/>
    <n v="68"/>
    <n v="0"/>
    <n v="35"/>
    <n v="65"/>
    <x v="1"/>
    <x v="0"/>
    <n v="3.7"/>
  </r>
  <r>
    <x v="307"/>
    <s v="FN309"/>
    <s v="LN309"/>
    <x v="0"/>
    <n v="25"/>
    <x v="3"/>
    <x v="10"/>
    <x v="1"/>
    <x v="1"/>
    <x v="0"/>
    <s v="2026-04-28"/>
    <m/>
    <x v="0"/>
    <x v="35"/>
    <x v="0"/>
    <x v="15"/>
    <x v="307"/>
    <n v="15"/>
    <x v="19"/>
    <n v="93"/>
    <n v="2"/>
    <n v="28"/>
    <n v="70"/>
    <x v="1"/>
    <x v="0"/>
    <n v="0.3"/>
  </r>
  <r>
    <x v="308"/>
    <s v="FN310"/>
    <s v="LN310"/>
    <x v="1"/>
    <n v="50"/>
    <x v="1"/>
    <x v="1"/>
    <x v="0"/>
    <x v="0"/>
    <x v="0"/>
    <s v="2024-02-17"/>
    <m/>
    <x v="0"/>
    <x v="54"/>
    <x v="0"/>
    <x v="8"/>
    <x v="308"/>
    <n v="11"/>
    <x v="0"/>
    <n v="85"/>
    <n v="9"/>
    <n v="19"/>
    <n v="3"/>
    <x v="0"/>
    <x v="0"/>
    <n v="2.4"/>
  </r>
  <r>
    <x v="309"/>
    <s v="FN311"/>
    <s v="LN311"/>
    <x v="0"/>
    <n v="28"/>
    <x v="2"/>
    <x v="3"/>
    <x v="1"/>
    <x v="2"/>
    <x v="0"/>
    <s v="2026-04-12"/>
    <m/>
    <x v="0"/>
    <x v="1"/>
    <x v="2"/>
    <x v="24"/>
    <x v="309"/>
    <n v="9"/>
    <x v="25"/>
    <n v="76"/>
    <n v="19"/>
    <n v="31"/>
    <n v="62"/>
    <x v="1"/>
    <x v="0"/>
    <n v="0.3"/>
  </r>
  <r>
    <x v="310"/>
    <s v="FN312"/>
    <s v="LN312"/>
    <x v="0"/>
    <n v="56"/>
    <x v="5"/>
    <x v="6"/>
    <x v="4"/>
    <x v="0"/>
    <x v="0"/>
    <s v="2020-12-29"/>
    <m/>
    <x v="0"/>
    <x v="16"/>
    <x v="1"/>
    <x v="2"/>
    <x v="310"/>
    <n v="20"/>
    <x v="4"/>
    <n v="62"/>
    <n v="13"/>
    <n v="22"/>
    <n v="8"/>
    <x v="0"/>
    <x v="0"/>
    <n v="5.6"/>
  </r>
  <r>
    <x v="311"/>
    <s v="FN313"/>
    <s v="LN313"/>
    <x v="0"/>
    <n v="21"/>
    <x v="0"/>
    <x v="2"/>
    <x v="0"/>
    <x v="2"/>
    <x v="0"/>
    <s v="2023-07-09"/>
    <m/>
    <x v="0"/>
    <x v="28"/>
    <x v="1"/>
    <x v="24"/>
    <x v="311"/>
    <n v="8"/>
    <x v="4"/>
    <n v="97"/>
    <n v="2"/>
    <n v="14"/>
    <n v="19"/>
    <x v="0"/>
    <x v="0"/>
    <n v="3.1"/>
  </r>
  <r>
    <x v="312"/>
    <s v="FN314"/>
    <s v="LN314"/>
    <x v="0"/>
    <n v="43"/>
    <x v="0"/>
    <x v="2"/>
    <x v="4"/>
    <x v="0"/>
    <x v="1"/>
    <s v="2024-12-13"/>
    <m/>
    <x v="0"/>
    <x v="28"/>
    <x v="1"/>
    <x v="35"/>
    <x v="312"/>
    <n v="8"/>
    <x v="12"/>
    <n v="100"/>
    <n v="6"/>
    <n v="30"/>
    <n v="24"/>
    <x v="1"/>
    <x v="2"/>
    <n v="1.6"/>
  </r>
  <r>
    <x v="313"/>
    <s v="FN315"/>
    <s v="LN315"/>
    <x v="1"/>
    <n v="54"/>
    <x v="5"/>
    <x v="2"/>
    <x v="3"/>
    <x v="1"/>
    <x v="1"/>
    <s v="2017-09-03"/>
    <m/>
    <x v="0"/>
    <x v="0"/>
    <x v="2"/>
    <x v="0"/>
    <x v="313"/>
    <n v="17"/>
    <x v="12"/>
    <n v="91"/>
    <n v="12"/>
    <n v="29"/>
    <n v="22"/>
    <x v="0"/>
    <x v="1"/>
    <n v="8.9"/>
  </r>
  <r>
    <x v="314"/>
    <s v="FN316"/>
    <s v="LN316"/>
    <x v="0"/>
    <n v="43"/>
    <x v="0"/>
    <x v="0"/>
    <x v="3"/>
    <x v="1"/>
    <x v="1"/>
    <s v="2016-06-21"/>
    <m/>
    <x v="0"/>
    <x v="59"/>
    <x v="1"/>
    <x v="0"/>
    <x v="314"/>
    <n v="25"/>
    <x v="9"/>
    <n v="79"/>
    <n v="0"/>
    <n v="22"/>
    <n v="75"/>
    <x v="1"/>
    <x v="2"/>
    <n v="10.1"/>
  </r>
  <r>
    <x v="315"/>
    <s v="FN317"/>
    <s v="LN317"/>
    <x v="0"/>
    <n v="29"/>
    <x v="1"/>
    <x v="4"/>
    <x v="3"/>
    <x v="0"/>
    <x v="0"/>
    <s v="2018-01-08"/>
    <m/>
    <x v="0"/>
    <x v="44"/>
    <x v="0"/>
    <x v="0"/>
    <x v="315"/>
    <n v="22"/>
    <x v="20"/>
    <n v="63"/>
    <n v="4"/>
    <n v="55"/>
    <n v="35"/>
    <x v="1"/>
    <x v="0"/>
    <n v="8.6"/>
  </r>
  <r>
    <x v="316"/>
    <s v="FN318"/>
    <s v="LN318"/>
    <x v="0"/>
    <n v="45"/>
    <x v="2"/>
    <x v="3"/>
    <x v="2"/>
    <x v="1"/>
    <x v="0"/>
    <s v="2024-02-28"/>
    <m/>
    <x v="0"/>
    <x v="58"/>
    <x v="1"/>
    <x v="21"/>
    <x v="316"/>
    <n v="9"/>
    <x v="15"/>
    <n v="54"/>
    <n v="9"/>
    <n v="1"/>
    <n v="73"/>
    <x v="1"/>
    <x v="1"/>
    <n v="2.4"/>
  </r>
  <r>
    <x v="317"/>
    <s v="FN319"/>
    <s v="LN319"/>
    <x v="1"/>
    <n v="40"/>
    <x v="2"/>
    <x v="7"/>
    <x v="2"/>
    <x v="1"/>
    <x v="1"/>
    <s v="2017-03-11"/>
    <m/>
    <x v="0"/>
    <x v="3"/>
    <x v="0"/>
    <x v="4"/>
    <x v="317"/>
    <n v="20"/>
    <x v="8"/>
    <n v="65"/>
    <n v="15"/>
    <n v="52"/>
    <n v="53"/>
    <x v="1"/>
    <x v="0"/>
    <n v="9.4"/>
  </r>
  <r>
    <x v="318"/>
    <s v="FN320"/>
    <s v="LN320"/>
    <x v="0"/>
    <n v="42"/>
    <x v="2"/>
    <x v="3"/>
    <x v="2"/>
    <x v="0"/>
    <x v="1"/>
    <s v="2018-09-09"/>
    <m/>
    <x v="0"/>
    <x v="29"/>
    <x v="1"/>
    <x v="26"/>
    <x v="318"/>
    <n v="24"/>
    <x v="8"/>
    <n v="92"/>
    <n v="16"/>
    <n v="9"/>
    <n v="42"/>
    <x v="1"/>
    <x v="0"/>
    <n v="7.9"/>
  </r>
  <r>
    <x v="319"/>
    <s v="FN321"/>
    <s v="LN321"/>
    <x v="1"/>
    <n v="42"/>
    <x v="3"/>
    <x v="10"/>
    <x v="4"/>
    <x v="1"/>
    <x v="0"/>
    <s v="2021-06-27"/>
    <m/>
    <x v="0"/>
    <x v="22"/>
    <x v="0"/>
    <x v="10"/>
    <x v="319"/>
    <n v="21"/>
    <x v="1"/>
    <n v="93"/>
    <n v="6"/>
    <n v="37"/>
    <n v="32"/>
    <x v="1"/>
    <x v="0"/>
    <n v="5.0999999999999996"/>
  </r>
  <r>
    <x v="320"/>
    <s v="FN322"/>
    <s v="LN322"/>
    <x v="0"/>
    <n v="58"/>
    <x v="2"/>
    <x v="7"/>
    <x v="4"/>
    <x v="0"/>
    <x v="0"/>
    <s v="2024-05-12"/>
    <m/>
    <x v="0"/>
    <x v="70"/>
    <x v="2"/>
    <x v="27"/>
    <x v="320"/>
    <n v="5"/>
    <x v="21"/>
    <n v="61"/>
    <n v="6"/>
    <n v="7"/>
    <n v="26"/>
    <x v="0"/>
    <x v="0"/>
    <n v="2.2000000000000002"/>
  </r>
  <r>
    <x v="321"/>
    <s v="FN323"/>
    <s v="LN323"/>
    <x v="0"/>
    <n v="54"/>
    <x v="3"/>
    <x v="2"/>
    <x v="2"/>
    <x v="2"/>
    <x v="0"/>
    <s v="2021-03-23"/>
    <m/>
    <x v="0"/>
    <x v="48"/>
    <x v="1"/>
    <x v="35"/>
    <x v="321"/>
    <n v="12"/>
    <x v="3"/>
    <n v="70"/>
    <n v="0"/>
    <n v="15"/>
    <n v="17"/>
    <x v="1"/>
    <x v="0"/>
    <n v="5.4"/>
  </r>
  <r>
    <x v="322"/>
    <s v="FN324"/>
    <s v="LN324"/>
    <x v="0"/>
    <n v="38"/>
    <x v="4"/>
    <x v="9"/>
    <x v="4"/>
    <x v="0"/>
    <x v="1"/>
    <s v="2017-01-28"/>
    <m/>
    <x v="0"/>
    <x v="72"/>
    <x v="0"/>
    <x v="25"/>
    <x v="322"/>
    <n v="22"/>
    <x v="0"/>
    <n v="94"/>
    <n v="18"/>
    <n v="48"/>
    <n v="51"/>
    <x v="0"/>
    <x v="1"/>
    <n v="9.5"/>
  </r>
  <r>
    <x v="323"/>
    <s v="FN325"/>
    <s v="LN325"/>
    <x v="0"/>
    <n v="33"/>
    <x v="4"/>
    <x v="6"/>
    <x v="2"/>
    <x v="1"/>
    <x v="1"/>
    <s v="2017-04-16"/>
    <m/>
    <x v="0"/>
    <x v="71"/>
    <x v="2"/>
    <x v="13"/>
    <x v="323"/>
    <n v="22"/>
    <x v="19"/>
    <n v="59"/>
    <n v="9"/>
    <n v="52"/>
    <n v="33"/>
    <x v="0"/>
    <x v="0"/>
    <n v="9.3000000000000007"/>
  </r>
  <r>
    <x v="324"/>
    <s v="FN326"/>
    <s v="LN326"/>
    <x v="0"/>
    <n v="32"/>
    <x v="2"/>
    <x v="3"/>
    <x v="3"/>
    <x v="0"/>
    <x v="0"/>
    <s v="2024-01-05"/>
    <m/>
    <x v="0"/>
    <x v="31"/>
    <x v="2"/>
    <x v="26"/>
    <x v="324"/>
    <n v="20"/>
    <x v="9"/>
    <n v="74"/>
    <n v="2"/>
    <n v="31"/>
    <n v="67"/>
    <x v="0"/>
    <x v="2"/>
    <n v="2.6"/>
  </r>
  <r>
    <x v="325"/>
    <s v="FN327"/>
    <s v="LN327"/>
    <x v="0"/>
    <n v="40"/>
    <x v="5"/>
    <x v="6"/>
    <x v="4"/>
    <x v="2"/>
    <x v="0"/>
    <s v="2026-02-04"/>
    <m/>
    <x v="0"/>
    <x v="49"/>
    <x v="2"/>
    <x v="19"/>
    <x v="325"/>
    <n v="11"/>
    <x v="21"/>
    <n v="100"/>
    <n v="20"/>
    <n v="39"/>
    <n v="76"/>
    <x v="0"/>
    <x v="2"/>
    <n v="0.5"/>
  </r>
  <r>
    <x v="326"/>
    <s v="FN328"/>
    <s v="LN328"/>
    <x v="1"/>
    <n v="41"/>
    <x v="0"/>
    <x v="0"/>
    <x v="1"/>
    <x v="1"/>
    <x v="0"/>
    <s v="2022-01-13"/>
    <s v="2026-08-28"/>
    <x v="1"/>
    <x v="69"/>
    <x v="1"/>
    <x v="9"/>
    <x v="326"/>
    <n v="20"/>
    <x v="17"/>
    <n v="92"/>
    <n v="17"/>
    <n v="22"/>
    <n v="71"/>
    <x v="0"/>
    <x v="0"/>
    <n v="4.5"/>
  </r>
  <r>
    <x v="327"/>
    <s v="FN329"/>
    <s v="LN329"/>
    <x v="1"/>
    <n v="40"/>
    <x v="5"/>
    <x v="2"/>
    <x v="2"/>
    <x v="1"/>
    <x v="0"/>
    <s v="2019-01-10"/>
    <m/>
    <x v="0"/>
    <x v="69"/>
    <x v="2"/>
    <x v="18"/>
    <x v="327"/>
    <n v="25"/>
    <x v="15"/>
    <n v="51"/>
    <n v="8"/>
    <n v="44"/>
    <n v="78"/>
    <x v="0"/>
    <x v="2"/>
    <n v="7.6"/>
  </r>
  <r>
    <x v="328"/>
    <s v="FN330"/>
    <s v="LN330"/>
    <x v="0"/>
    <n v="47"/>
    <x v="5"/>
    <x v="2"/>
    <x v="2"/>
    <x v="0"/>
    <x v="0"/>
    <s v="2019-07-19"/>
    <s v="2024-04-21"/>
    <x v="1"/>
    <x v="71"/>
    <x v="0"/>
    <x v="3"/>
    <x v="328"/>
    <n v="24"/>
    <x v="7"/>
    <n v="97"/>
    <n v="8"/>
    <n v="59"/>
    <n v="75"/>
    <x v="1"/>
    <x v="1"/>
    <n v="7"/>
  </r>
  <r>
    <x v="329"/>
    <s v="FN331"/>
    <s v="LN331"/>
    <x v="0"/>
    <n v="58"/>
    <x v="4"/>
    <x v="9"/>
    <x v="3"/>
    <x v="0"/>
    <x v="1"/>
    <s v="2016-10-09"/>
    <m/>
    <x v="0"/>
    <x v="11"/>
    <x v="2"/>
    <x v="26"/>
    <x v="329"/>
    <n v="13"/>
    <x v="5"/>
    <n v="99"/>
    <n v="9"/>
    <n v="32"/>
    <n v="37"/>
    <x v="0"/>
    <x v="0"/>
    <n v="9.8000000000000007"/>
  </r>
  <r>
    <x v="330"/>
    <s v="FN332"/>
    <s v="LN332"/>
    <x v="0"/>
    <n v="53"/>
    <x v="3"/>
    <x v="2"/>
    <x v="2"/>
    <x v="2"/>
    <x v="1"/>
    <s v="2020-09-24"/>
    <m/>
    <x v="0"/>
    <x v="72"/>
    <x v="1"/>
    <x v="26"/>
    <x v="330"/>
    <n v="15"/>
    <x v="4"/>
    <n v="82"/>
    <n v="5"/>
    <n v="8"/>
    <n v="1"/>
    <x v="0"/>
    <x v="0"/>
    <n v="5.8"/>
  </r>
  <r>
    <x v="331"/>
    <s v="FN333"/>
    <s v="LN333"/>
    <x v="1"/>
    <n v="22"/>
    <x v="0"/>
    <x v="0"/>
    <x v="4"/>
    <x v="0"/>
    <x v="0"/>
    <s v="2020-04-13"/>
    <m/>
    <x v="0"/>
    <x v="39"/>
    <x v="0"/>
    <x v="24"/>
    <x v="331"/>
    <n v="23"/>
    <x v="16"/>
    <n v="84"/>
    <n v="0"/>
    <n v="16"/>
    <n v="21"/>
    <x v="0"/>
    <x v="2"/>
    <n v="6.3"/>
  </r>
  <r>
    <x v="332"/>
    <s v="FN334"/>
    <s v="LN334"/>
    <x v="1"/>
    <n v="36"/>
    <x v="5"/>
    <x v="8"/>
    <x v="4"/>
    <x v="1"/>
    <x v="1"/>
    <s v="2022-06-03"/>
    <m/>
    <x v="0"/>
    <x v="8"/>
    <x v="2"/>
    <x v="32"/>
    <x v="332"/>
    <n v="7"/>
    <x v="20"/>
    <n v="56"/>
    <n v="15"/>
    <n v="37"/>
    <n v="62"/>
    <x v="0"/>
    <x v="2"/>
    <n v="4.2"/>
  </r>
  <r>
    <x v="333"/>
    <s v="FN335"/>
    <s v="LN335"/>
    <x v="1"/>
    <n v="58"/>
    <x v="4"/>
    <x v="9"/>
    <x v="4"/>
    <x v="1"/>
    <x v="0"/>
    <s v="2024-01-24"/>
    <m/>
    <x v="0"/>
    <x v="60"/>
    <x v="1"/>
    <x v="13"/>
    <x v="333"/>
    <n v="10"/>
    <x v="25"/>
    <n v="70"/>
    <n v="8"/>
    <n v="58"/>
    <n v="77"/>
    <x v="1"/>
    <x v="2"/>
    <n v="2.5"/>
  </r>
  <r>
    <x v="334"/>
    <s v="FN336"/>
    <s v="LN336"/>
    <x v="0"/>
    <n v="30"/>
    <x v="5"/>
    <x v="2"/>
    <x v="3"/>
    <x v="0"/>
    <x v="0"/>
    <s v="2021-07-25"/>
    <s v="2027-01-03"/>
    <x v="1"/>
    <x v="10"/>
    <x v="2"/>
    <x v="23"/>
    <x v="334"/>
    <n v="5"/>
    <x v="18"/>
    <n v="86"/>
    <n v="12"/>
    <n v="2"/>
    <n v="58"/>
    <x v="1"/>
    <x v="1"/>
    <n v="5"/>
  </r>
  <r>
    <x v="335"/>
    <s v="FN337"/>
    <s v="LN337"/>
    <x v="1"/>
    <n v="45"/>
    <x v="4"/>
    <x v="6"/>
    <x v="4"/>
    <x v="0"/>
    <x v="0"/>
    <s v="2018-09-05"/>
    <m/>
    <x v="0"/>
    <x v="20"/>
    <x v="0"/>
    <x v="32"/>
    <x v="335"/>
    <n v="21"/>
    <x v="25"/>
    <n v="74"/>
    <n v="6"/>
    <n v="40"/>
    <n v="53"/>
    <x v="1"/>
    <x v="2"/>
    <n v="7.9"/>
  </r>
  <r>
    <x v="336"/>
    <s v="FN338"/>
    <s v="LN338"/>
    <x v="1"/>
    <n v="21"/>
    <x v="4"/>
    <x v="9"/>
    <x v="4"/>
    <x v="1"/>
    <x v="0"/>
    <s v="2023-08-18"/>
    <m/>
    <x v="0"/>
    <x v="38"/>
    <x v="0"/>
    <x v="0"/>
    <x v="336"/>
    <n v="21"/>
    <x v="8"/>
    <n v="52"/>
    <n v="18"/>
    <n v="44"/>
    <n v="71"/>
    <x v="1"/>
    <x v="0"/>
    <n v="2.9"/>
  </r>
  <r>
    <x v="337"/>
    <s v="FN339"/>
    <s v="LN339"/>
    <x v="1"/>
    <n v="54"/>
    <x v="3"/>
    <x v="2"/>
    <x v="2"/>
    <x v="1"/>
    <x v="0"/>
    <s v="2019-12-17"/>
    <m/>
    <x v="0"/>
    <x v="37"/>
    <x v="1"/>
    <x v="30"/>
    <x v="337"/>
    <n v="11"/>
    <x v="8"/>
    <n v="87"/>
    <n v="3"/>
    <n v="11"/>
    <n v="53"/>
    <x v="0"/>
    <x v="0"/>
    <n v="6.6"/>
  </r>
  <r>
    <x v="338"/>
    <s v="FN340"/>
    <s v="LN340"/>
    <x v="1"/>
    <n v="42"/>
    <x v="5"/>
    <x v="6"/>
    <x v="4"/>
    <x v="2"/>
    <x v="1"/>
    <s v="2017-06-25"/>
    <m/>
    <x v="0"/>
    <x v="66"/>
    <x v="1"/>
    <x v="8"/>
    <x v="338"/>
    <n v="21"/>
    <x v="24"/>
    <n v="98"/>
    <n v="19"/>
    <n v="21"/>
    <n v="16"/>
    <x v="0"/>
    <x v="0"/>
    <n v="9.1"/>
  </r>
  <r>
    <x v="339"/>
    <s v="FN341"/>
    <s v="LN341"/>
    <x v="1"/>
    <n v="52"/>
    <x v="3"/>
    <x v="2"/>
    <x v="1"/>
    <x v="0"/>
    <x v="0"/>
    <s v="2021-08-04"/>
    <m/>
    <x v="0"/>
    <x v="72"/>
    <x v="1"/>
    <x v="22"/>
    <x v="339"/>
    <n v="11"/>
    <x v="21"/>
    <n v="63"/>
    <n v="0"/>
    <n v="21"/>
    <n v="51"/>
    <x v="1"/>
    <x v="1"/>
    <n v="5"/>
  </r>
  <r>
    <x v="340"/>
    <s v="FN342"/>
    <s v="LN342"/>
    <x v="1"/>
    <n v="22"/>
    <x v="0"/>
    <x v="0"/>
    <x v="3"/>
    <x v="2"/>
    <x v="0"/>
    <s v="2016-03-06"/>
    <m/>
    <x v="0"/>
    <x v="30"/>
    <x v="1"/>
    <x v="30"/>
    <x v="340"/>
    <n v="6"/>
    <x v="1"/>
    <n v="62"/>
    <n v="7"/>
    <n v="19"/>
    <n v="10"/>
    <x v="1"/>
    <x v="1"/>
    <n v="10.4"/>
  </r>
  <r>
    <x v="341"/>
    <s v="FN343"/>
    <s v="LN343"/>
    <x v="1"/>
    <n v="25"/>
    <x v="3"/>
    <x v="10"/>
    <x v="4"/>
    <x v="2"/>
    <x v="0"/>
    <s v="2021-12-24"/>
    <m/>
    <x v="0"/>
    <x v="36"/>
    <x v="1"/>
    <x v="4"/>
    <x v="341"/>
    <n v="7"/>
    <x v="25"/>
    <n v="50"/>
    <n v="17"/>
    <n v="16"/>
    <n v="67"/>
    <x v="1"/>
    <x v="1"/>
    <n v="4.5999999999999996"/>
  </r>
  <r>
    <x v="342"/>
    <s v="FN344"/>
    <s v="LN344"/>
    <x v="1"/>
    <n v="26"/>
    <x v="4"/>
    <x v="2"/>
    <x v="4"/>
    <x v="2"/>
    <x v="1"/>
    <s v="2019-03-01"/>
    <m/>
    <x v="0"/>
    <x v="39"/>
    <x v="1"/>
    <x v="23"/>
    <x v="342"/>
    <n v="22"/>
    <x v="8"/>
    <n v="97"/>
    <n v="13"/>
    <n v="6"/>
    <n v="58"/>
    <x v="0"/>
    <x v="0"/>
    <n v="7.4"/>
  </r>
  <r>
    <x v="343"/>
    <s v="FN345"/>
    <s v="LN345"/>
    <x v="1"/>
    <n v="26"/>
    <x v="1"/>
    <x v="4"/>
    <x v="1"/>
    <x v="0"/>
    <x v="1"/>
    <s v="2022-10-21"/>
    <m/>
    <x v="0"/>
    <x v="76"/>
    <x v="1"/>
    <x v="2"/>
    <x v="343"/>
    <n v="24"/>
    <x v="1"/>
    <n v="57"/>
    <n v="4"/>
    <n v="22"/>
    <n v="72"/>
    <x v="0"/>
    <x v="2"/>
    <n v="3.8"/>
  </r>
  <r>
    <x v="344"/>
    <s v="FN346"/>
    <s v="LN346"/>
    <x v="1"/>
    <n v="50"/>
    <x v="0"/>
    <x v="2"/>
    <x v="1"/>
    <x v="1"/>
    <x v="0"/>
    <s v="2023-08-21"/>
    <m/>
    <x v="0"/>
    <x v="10"/>
    <x v="1"/>
    <x v="22"/>
    <x v="344"/>
    <n v="22"/>
    <x v="21"/>
    <n v="61"/>
    <n v="6"/>
    <n v="11"/>
    <n v="44"/>
    <x v="1"/>
    <x v="1"/>
    <n v="2.9"/>
  </r>
  <r>
    <x v="345"/>
    <s v="FN347"/>
    <s v="LN347"/>
    <x v="1"/>
    <n v="24"/>
    <x v="2"/>
    <x v="5"/>
    <x v="1"/>
    <x v="1"/>
    <x v="0"/>
    <s v="2025-06-02"/>
    <m/>
    <x v="0"/>
    <x v="69"/>
    <x v="0"/>
    <x v="7"/>
    <x v="345"/>
    <n v="19"/>
    <x v="15"/>
    <n v="84"/>
    <n v="10"/>
    <n v="11"/>
    <n v="29"/>
    <x v="0"/>
    <x v="1"/>
    <n v="1.2"/>
  </r>
  <r>
    <x v="346"/>
    <s v="FN348"/>
    <s v="LN348"/>
    <x v="0"/>
    <n v="21"/>
    <x v="1"/>
    <x v="1"/>
    <x v="2"/>
    <x v="1"/>
    <x v="0"/>
    <s v="2024-12-09"/>
    <m/>
    <x v="0"/>
    <x v="40"/>
    <x v="1"/>
    <x v="3"/>
    <x v="346"/>
    <n v="25"/>
    <x v="12"/>
    <n v="92"/>
    <n v="1"/>
    <n v="26"/>
    <n v="41"/>
    <x v="0"/>
    <x v="0"/>
    <n v="1.6"/>
  </r>
  <r>
    <x v="347"/>
    <s v="FN349"/>
    <s v="LN349"/>
    <x v="1"/>
    <n v="33"/>
    <x v="5"/>
    <x v="8"/>
    <x v="1"/>
    <x v="2"/>
    <x v="0"/>
    <s v="2018-07-21"/>
    <m/>
    <x v="0"/>
    <x v="20"/>
    <x v="2"/>
    <x v="7"/>
    <x v="347"/>
    <n v="9"/>
    <x v="1"/>
    <n v="53"/>
    <n v="14"/>
    <n v="11"/>
    <n v="58"/>
    <x v="1"/>
    <x v="1"/>
    <n v="8"/>
  </r>
  <r>
    <x v="348"/>
    <s v="FN350"/>
    <s v="LN350"/>
    <x v="0"/>
    <n v="24"/>
    <x v="4"/>
    <x v="6"/>
    <x v="2"/>
    <x v="0"/>
    <x v="1"/>
    <s v="2025-07-21"/>
    <m/>
    <x v="0"/>
    <x v="65"/>
    <x v="1"/>
    <x v="5"/>
    <x v="348"/>
    <n v="24"/>
    <x v="25"/>
    <n v="59"/>
    <n v="6"/>
    <n v="59"/>
    <n v="19"/>
    <x v="0"/>
    <x v="0"/>
    <n v="1"/>
  </r>
  <r>
    <x v="349"/>
    <s v="FN351"/>
    <s v="LN351"/>
    <x v="0"/>
    <n v="32"/>
    <x v="5"/>
    <x v="8"/>
    <x v="4"/>
    <x v="1"/>
    <x v="1"/>
    <s v="2025-04-04"/>
    <m/>
    <x v="0"/>
    <x v="73"/>
    <x v="2"/>
    <x v="0"/>
    <x v="349"/>
    <n v="22"/>
    <x v="8"/>
    <n v="58"/>
    <n v="5"/>
    <n v="17"/>
    <n v="53"/>
    <x v="0"/>
    <x v="0"/>
    <n v="1.3"/>
  </r>
  <r>
    <x v="350"/>
    <s v="FN352"/>
    <s v="LN352"/>
    <x v="1"/>
    <n v="48"/>
    <x v="4"/>
    <x v="9"/>
    <x v="1"/>
    <x v="1"/>
    <x v="0"/>
    <s v="2016-11-02"/>
    <m/>
    <x v="0"/>
    <x v="6"/>
    <x v="2"/>
    <x v="16"/>
    <x v="350"/>
    <n v="16"/>
    <x v="11"/>
    <n v="98"/>
    <n v="14"/>
    <n v="20"/>
    <n v="73"/>
    <x v="0"/>
    <x v="0"/>
    <n v="9.6999999999999993"/>
  </r>
  <r>
    <x v="351"/>
    <s v="FN353"/>
    <s v="LN353"/>
    <x v="1"/>
    <n v="38"/>
    <x v="0"/>
    <x v="2"/>
    <x v="1"/>
    <x v="0"/>
    <x v="0"/>
    <s v="2020-01-05"/>
    <s v="2023-06-12"/>
    <x v="1"/>
    <x v="47"/>
    <x v="0"/>
    <x v="13"/>
    <x v="351"/>
    <n v="24"/>
    <x v="12"/>
    <n v="73"/>
    <n v="9"/>
    <n v="43"/>
    <n v="34"/>
    <x v="1"/>
    <x v="1"/>
    <n v="6.6"/>
  </r>
  <r>
    <x v="352"/>
    <s v="FN354"/>
    <s v="LN354"/>
    <x v="0"/>
    <n v="40"/>
    <x v="1"/>
    <x v="1"/>
    <x v="0"/>
    <x v="2"/>
    <x v="0"/>
    <s v="2020-07-20"/>
    <m/>
    <x v="0"/>
    <x v="15"/>
    <x v="1"/>
    <x v="32"/>
    <x v="352"/>
    <n v="14"/>
    <x v="0"/>
    <n v="91"/>
    <n v="4"/>
    <n v="59"/>
    <n v="19"/>
    <x v="1"/>
    <x v="0"/>
    <n v="6"/>
  </r>
  <r>
    <x v="353"/>
    <s v="FN355"/>
    <s v="LN355"/>
    <x v="1"/>
    <n v="54"/>
    <x v="2"/>
    <x v="7"/>
    <x v="0"/>
    <x v="1"/>
    <x v="1"/>
    <s v="2026-01-31"/>
    <m/>
    <x v="0"/>
    <x v="17"/>
    <x v="1"/>
    <x v="8"/>
    <x v="353"/>
    <n v="11"/>
    <x v="11"/>
    <n v="60"/>
    <n v="12"/>
    <n v="27"/>
    <n v="71"/>
    <x v="1"/>
    <x v="1"/>
    <n v="0.5"/>
  </r>
  <r>
    <x v="354"/>
    <s v="FN356"/>
    <s v="LN356"/>
    <x v="1"/>
    <n v="35"/>
    <x v="2"/>
    <x v="3"/>
    <x v="4"/>
    <x v="0"/>
    <x v="0"/>
    <s v="2018-04-28"/>
    <s v="2021-04-21"/>
    <x v="1"/>
    <x v="33"/>
    <x v="2"/>
    <x v="23"/>
    <x v="354"/>
    <n v="7"/>
    <x v="4"/>
    <n v="76"/>
    <n v="15"/>
    <n v="32"/>
    <n v="40"/>
    <x v="0"/>
    <x v="2"/>
    <n v="8.3000000000000007"/>
  </r>
  <r>
    <x v="355"/>
    <s v="FN357"/>
    <s v="LN357"/>
    <x v="1"/>
    <n v="56"/>
    <x v="4"/>
    <x v="2"/>
    <x v="2"/>
    <x v="2"/>
    <x v="0"/>
    <s v="2022-02-21"/>
    <m/>
    <x v="0"/>
    <x v="23"/>
    <x v="1"/>
    <x v="24"/>
    <x v="355"/>
    <n v="12"/>
    <x v="9"/>
    <n v="57"/>
    <n v="8"/>
    <n v="36"/>
    <n v="41"/>
    <x v="1"/>
    <x v="2"/>
    <n v="4.4000000000000004"/>
  </r>
  <r>
    <x v="356"/>
    <s v="FN358"/>
    <s v="LN358"/>
    <x v="0"/>
    <n v="38"/>
    <x v="1"/>
    <x v="1"/>
    <x v="0"/>
    <x v="1"/>
    <x v="1"/>
    <s v="2018-05-09"/>
    <m/>
    <x v="0"/>
    <x v="62"/>
    <x v="2"/>
    <x v="22"/>
    <x v="356"/>
    <n v="5"/>
    <x v="3"/>
    <n v="59"/>
    <n v="7"/>
    <n v="30"/>
    <n v="3"/>
    <x v="0"/>
    <x v="2"/>
    <n v="8.1999999999999993"/>
  </r>
  <r>
    <x v="357"/>
    <s v="FN359"/>
    <s v="LN359"/>
    <x v="0"/>
    <n v="45"/>
    <x v="0"/>
    <x v="2"/>
    <x v="4"/>
    <x v="2"/>
    <x v="0"/>
    <s v="2020-01-21"/>
    <m/>
    <x v="0"/>
    <x v="46"/>
    <x v="2"/>
    <x v="24"/>
    <x v="357"/>
    <n v="11"/>
    <x v="14"/>
    <n v="75"/>
    <n v="12"/>
    <n v="4"/>
    <n v="74"/>
    <x v="0"/>
    <x v="0"/>
    <n v="6.5"/>
  </r>
  <r>
    <x v="358"/>
    <s v="FN360"/>
    <s v="LN360"/>
    <x v="1"/>
    <n v="60"/>
    <x v="5"/>
    <x v="2"/>
    <x v="2"/>
    <x v="0"/>
    <x v="1"/>
    <s v="2016-09-16"/>
    <s v="2022-05-07"/>
    <x v="1"/>
    <x v="49"/>
    <x v="1"/>
    <x v="18"/>
    <x v="358"/>
    <n v="21"/>
    <x v="15"/>
    <n v="72"/>
    <n v="15"/>
    <n v="54"/>
    <n v="54"/>
    <x v="1"/>
    <x v="1"/>
    <n v="9.9"/>
  </r>
  <r>
    <x v="359"/>
    <s v="FN361"/>
    <s v="LN361"/>
    <x v="1"/>
    <n v="25"/>
    <x v="5"/>
    <x v="2"/>
    <x v="4"/>
    <x v="2"/>
    <x v="1"/>
    <s v="2018-07-26"/>
    <m/>
    <x v="0"/>
    <x v="68"/>
    <x v="1"/>
    <x v="34"/>
    <x v="359"/>
    <n v="21"/>
    <x v="2"/>
    <n v="69"/>
    <n v="2"/>
    <n v="48"/>
    <n v="0"/>
    <x v="0"/>
    <x v="2"/>
    <n v="8"/>
  </r>
  <r>
    <x v="360"/>
    <s v="FN362"/>
    <s v="LN362"/>
    <x v="0"/>
    <n v="23"/>
    <x v="0"/>
    <x v="0"/>
    <x v="0"/>
    <x v="0"/>
    <x v="0"/>
    <s v="2017-07-25"/>
    <s v="2019-12-16"/>
    <x v="1"/>
    <x v="34"/>
    <x v="0"/>
    <x v="21"/>
    <x v="360"/>
    <n v="8"/>
    <x v="8"/>
    <n v="99"/>
    <n v="18"/>
    <n v="12"/>
    <n v="35"/>
    <x v="1"/>
    <x v="2"/>
    <n v="9"/>
  </r>
  <r>
    <x v="361"/>
    <s v="FN363"/>
    <s v="LN363"/>
    <x v="1"/>
    <n v="45"/>
    <x v="2"/>
    <x v="7"/>
    <x v="3"/>
    <x v="0"/>
    <x v="1"/>
    <s v="2022-12-30"/>
    <m/>
    <x v="0"/>
    <x v="69"/>
    <x v="2"/>
    <x v="3"/>
    <x v="361"/>
    <n v="13"/>
    <x v="16"/>
    <n v="67"/>
    <n v="2"/>
    <n v="53"/>
    <n v="73"/>
    <x v="0"/>
    <x v="0"/>
    <n v="3.6"/>
  </r>
  <r>
    <x v="362"/>
    <s v="FN364"/>
    <s v="LN364"/>
    <x v="0"/>
    <n v="57"/>
    <x v="1"/>
    <x v="4"/>
    <x v="0"/>
    <x v="2"/>
    <x v="0"/>
    <s v="2020-05-22"/>
    <m/>
    <x v="0"/>
    <x v="63"/>
    <x v="0"/>
    <x v="22"/>
    <x v="362"/>
    <n v="7"/>
    <x v="1"/>
    <n v="56"/>
    <n v="2"/>
    <n v="56"/>
    <n v="18"/>
    <x v="0"/>
    <x v="2"/>
    <n v="6.2"/>
  </r>
  <r>
    <x v="363"/>
    <s v="FN365"/>
    <s v="LN365"/>
    <x v="1"/>
    <n v="50"/>
    <x v="4"/>
    <x v="2"/>
    <x v="3"/>
    <x v="0"/>
    <x v="1"/>
    <s v="2017-10-24"/>
    <m/>
    <x v="0"/>
    <x v="10"/>
    <x v="1"/>
    <x v="14"/>
    <x v="363"/>
    <n v="8"/>
    <x v="0"/>
    <n v="69"/>
    <n v="15"/>
    <n v="21"/>
    <n v="38"/>
    <x v="1"/>
    <x v="0"/>
    <n v="8.8000000000000007"/>
  </r>
  <r>
    <x v="364"/>
    <s v="FN366"/>
    <s v="LN366"/>
    <x v="1"/>
    <n v="52"/>
    <x v="0"/>
    <x v="2"/>
    <x v="3"/>
    <x v="2"/>
    <x v="1"/>
    <s v="2017-01-13"/>
    <m/>
    <x v="0"/>
    <x v="40"/>
    <x v="1"/>
    <x v="5"/>
    <x v="364"/>
    <n v="21"/>
    <x v="25"/>
    <n v="70"/>
    <n v="14"/>
    <n v="1"/>
    <n v="41"/>
    <x v="0"/>
    <x v="2"/>
    <n v="9.5"/>
  </r>
  <r>
    <x v="365"/>
    <s v="FN367"/>
    <s v="LN367"/>
    <x v="0"/>
    <n v="29"/>
    <x v="1"/>
    <x v="1"/>
    <x v="4"/>
    <x v="2"/>
    <x v="1"/>
    <s v="2016-07-03"/>
    <m/>
    <x v="0"/>
    <x v="61"/>
    <x v="0"/>
    <x v="24"/>
    <x v="365"/>
    <n v="5"/>
    <x v="20"/>
    <n v="72"/>
    <n v="3"/>
    <n v="19"/>
    <n v="41"/>
    <x v="1"/>
    <x v="1"/>
    <n v="10.1"/>
  </r>
  <r>
    <x v="366"/>
    <s v="FN368"/>
    <s v="LN368"/>
    <x v="1"/>
    <n v="36"/>
    <x v="5"/>
    <x v="6"/>
    <x v="1"/>
    <x v="1"/>
    <x v="1"/>
    <s v="2016-11-20"/>
    <s v="2025-02-03"/>
    <x v="1"/>
    <x v="62"/>
    <x v="1"/>
    <x v="14"/>
    <x v="366"/>
    <n v="10"/>
    <x v="3"/>
    <n v="61"/>
    <n v="20"/>
    <n v="15"/>
    <n v="76"/>
    <x v="1"/>
    <x v="0"/>
    <n v="9.6999999999999993"/>
  </r>
  <r>
    <x v="367"/>
    <s v="FN369"/>
    <s v="LN369"/>
    <x v="0"/>
    <n v="38"/>
    <x v="0"/>
    <x v="2"/>
    <x v="1"/>
    <x v="1"/>
    <x v="0"/>
    <s v="2019-11-02"/>
    <m/>
    <x v="0"/>
    <x v="14"/>
    <x v="1"/>
    <x v="2"/>
    <x v="367"/>
    <n v="15"/>
    <x v="6"/>
    <n v="59"/>
    <n v="12"/>
    <n v="47"/>
    <n v="23"/>
    <x v="1"/>
    <x v="1"/>
    <n v="6.7"/>
  </r>
  <r>
    <x v="368"/>
    <s v="FN370"/>
    <s v="LN370"/>
    <x v="1"/>
    <n v="26"/>
    <x v="4"/>
    <x v="6"/>
    <x v="2"/>
    <x v="2"/>
    <x v="1"/>
    <s v="2019-12-02"/>
    <s v="2025-04-02"/>
    <x v="1"/>
    <x v="5"/>
    <x v="2"/>
    <x v="22"/>
    <x v="368"/>
    <n v="16"/>
    <x v="5"/>
    <n v="69"/>
    <n v="8"/>
    <n v="38"/>
    <n v="44"/>
    <x v="1"/>
    <x v="0"/>
    <n v="6.7"/>
  </r>
  <r>
    <x v="369"/>
    <s v="FN371"/>
    <s v="LN371"/>
    <x v="1"/>
    <n v="56"/>
    <x v="1"/>
    <x v="4"/>
    <x v="0"/>
    <x v="0"/>
    <x v="1"/>
    <s v="2023-09-18"/>
    <m/>
    <x v="0"/>
    <x v="73"/>
    <x v="1"/>
    <x v="32"/>
    <x v="369"/>
    <n v="5"/>
    <x v="20"/>
    <n v="73"/>
    <n v="3"/>
    <n v="26"/>
    <n v="6"/>
    <x v="0"/>
    <x v="1"/>
    <n v="2.9"/>
  </r>
  <r>
    <x v="370"/>
    <s v="FN372"/>
    <s v="LN372"/>
    <x v="0"/>
    <n v="27"/>
    <x v="3"/>
    <x v="2"/>
    <x v="2"/>
    <x v="1"/>
    <x v="0"/>
    <s v="2020-12-21"/>
    <m/>
    <x v="0"/>
    <x v="27"/>
    <x v="0"/>
    <x v="14"/>
    <x v="370"/>
    <n v="12"/>
    <x v="11"/>
    <n v="51"/>
    <n v="4"/>
    <n v="40"/>
    <n v="64"/>
    <x v="1"/>
    <x v="1"/>
    <n v="5.6"/>
  </r>
  <r>
    <x v="371"/>
    <s v="FN373"/>
    <s v="LN373"/>
    <x v="1"/>
    <n v="24"/>
    <x v="4"/>
    <x v="9"/>
    <x v="0"/>
    <x v="1"/>
    <x v="1"/>
    <s v="2023-07-22"/>
    <m/>
    <x v="0"/>
    <x v="65"/>
    <x v="1"/>
    <x v="2"/>
    <x v="371"/>
    <n v="20"/>
    <x v="6"/>
    <n v="66"/>
    <n v="6"/>
    <n v="3"/>
    <n v="10"/>
    <x v="1"/>
    <x v="0"/>
    <n v="3"/>
  </r>
  <r>
    <x v="372"/>
    <s v="FN374"/>
    <s v="LN374"/>
    <x v="1"/>
    <n v="40"/>
    <x v="4"/>
    <x v="2"/>
    <x v="4"/>
    <x v="0"/>
    <x v="0"/>
    <s v="2024-11-03"/>
    <s v="2027-01-31"/>
    <x v="1"/>
    <x v="2"/>
    <x v="0"/>
    <x v="28"/>
    <x v="372"/>
    <n v="25"/>
    <x v="17"/>
    <n v="93"/>
    <n v="3"/>
    <n v="58"/>
    <n v="50"/>
    <x v="1"/>
    <x v="0"/>
    <n v="1.7"/>
  </r>
  <r>
    <x v="373"/>
    <s v="FN375"/>
    <s v="LN375"/>
    <x v="0"/>
    <n v="23"/>
    <x v="1"/>
    <x v="4"/>
    <x v="3"/>
    <x v="0"/>
    <x v="0"/>
    <s v="2025-07-21"/>
    <m/>
    <x v="0"/>
    <x v="28"/>
    <x v="0"/>
    <x v="0"/>
    <x v="373"/>
    <n v="12"/>
    <x v="0"/>
    <n v="62"/>
    <n v="12"/>
    <n v="48"/>
    <n v="6"/>
    <x v="0"/>
    <x v="1"/>
    <n v="1"/>
  </r>
  <r>
    <x v="374"/>
    <s v="FN376"/>
    <s v="LN376"/>
    <x v="1"/>
    <n v="39"/>
    <x v="2"/>
    <x v="5"/>
    <x v="1"/>
    <x v="1"/>
    <x v="1"/>
    <s v="2026-02-28"/>
    <m/>
    <x v="0"/>
    <x v="16"/>
    <x v="0"/>
    <x v="35"/>
    <x v="374"/>
    <n v="14"/>
    <x v="18"/>
    <n v="92"/>
    <n v="13"/>
    <n v="24"/>
    <n v="61"/>
    <x v="0"/>
    <x v="1"/>
    <n v="0.4"/>
  </r>
  <r>
    <x v="375"/>
    <s v="FN377"/>
    <s v="LN377"/>
    <x v="1"/>
    <n v="60"/>
    <x v="4"/>
    <x v="6"/>
    <x v="3"/>
    <x v="1"/>
    <x v="1"/>
    <s v="2023-12-27"/>
    <m/>
    <x v="0"/>
    <x v="39"/>
    <x v="2"/>
    <x v="25"/>
    <x v="375"/>
    <n v="21"/>
    <x v="22"/>
    <n v="73"/>
    <n v="7"/>
    <n v="0"/>
    <n v="3"/>
    <x v="1"/>
    <x v="1"/>
    <n v="2.6"/>
  </r>
  <r>
    <x v="376"/>
    <s v="FN378"/>
    <s v="LN378"/>
    <x v="1"/>
    <n v="51"/>
    <x v="5"/>
    <x v="6"/>
    <x v="2"/>
    <x v="2"/>
    <x v="0"/>
    <s v="2020-09-19"/>
    <m/>
    <x v="0"/>
    <x v="49"/>
    <x v="1"/>
    <x v="28"/>
    <x v="376"/>
    <n v="18"/>
    <x v="4"/>
    <n v="58"/>
    <n v="7"/>
    <n v="44"/>
    <n v="26"/>
    <x v="0"/>
    <x v="2"/>
    <n v="5.9"/>
  </r>
  <r>
    <x v="377"/>
    <s v="FN379"/>
    <s v="LN379"/>
    <x v="0"/>
    <n v="21"/>
    <x v="2"/>
    <x v="3"/>
    <x v="1"/>
    <x v="2"/>
    <x v="0"/>
    <s v="2026-04-09"/>
    <s v="2030-06-11"/>
    <x v="1"/>
    <x v="18"/>
    <x v="1"/>
    <x v="0"/>
    <x v="377"/>
    <n v="23"/>
    <x v="2"/>
    <n v="73"/>
    <n v="18"/>
    <n v="1"/>
    <n v="69"/>
    <x v="0"/>
    <x v="2"/>
    <n v="0.3"/>
  </r>
  <r>
    <x v="378"/>
    <s v="FN380"/>
    <s v="LN380"/>
    <x v="0"/>
    <n v="53"/>
    <x v="1"/>
    <x v="4"/>
    <x v="1"/>
    <x v="1"/>
    <x v="1"/>
    <s v="2024-08-08"/>
    <m/>
    <x v="0"/>
    <x v="18"/>
    <x v="2"/>
    <x v="23"/>
    <x v="378"/>
    <n v="13"/>
    <x v="2"/>
    <n v="83"/>
    <n v="7"/>
    <n v="54"/>
    <n v="61"/>
    <x v="0"/>
    <x v="0"/>
    <n v="2"/>
  </r>
  <r>
    <x v="379"/>
    <s v="FN381"/>
    <s v="LN381"/>
    <x v="1"/>
    <n v="37"/>
    <x v="2"/>
    <x v="7"/>
    <x v="1"/>
    <x v="0"/>
    <x v="1"/>
    <s v="2022-06-25"/>
    <m/>
    <x v="0"/>
    <x v="11"/>
    <x v="1"/>
    <x v="13"/>
    <x v="379"/>
    <n v="12"/>
    <x v="17"/>
    <n v="91"/>
    <n v="11"/>
    <n v="57"/>
    <n v="62"/>
    <x v="0"/>
    <x v="2"/>
    <n v="4.0999999999999996"/>
  </r>
  <r>
    <x v="380"/>
    <s v="FN382"/>
    <s v="LN382"/>
    <x v="0"/>
    <n v="57"/>
    <x v="3"/>
    <x v="10"/>
    <x v="1"/>
    <x v="2"/>
    <x v="1"/>
    <s v="2022-03-25"/>
    <m/>
    <x v="0"/>
    <x v="24"/>
    <x v="2"/>
    <x v="11"/>
    <x v="380"/>
    <n v="16"/>
    <x v="23"/>
    <n v="83"/>
    <n v="18"/>
    <n v="10"/>
    <n v="49"/>
    <x v="1"/>
    <x v="2"/>
    <n v="4.3"/>
  </r>
  <r>
    <x v="381"/>
    <s v="FN383"/>
    <s v="LN383"/>
    <x v="1"/>
    <n v="53"/>
    <x v="2"/>
    <x v="5"/>
    <x v="4"/>
    <x v="0"/>
    <x v="1"/>
    <s v="2022-08-09"/>
    <m/>
    <x v="0"/>
    <x v="77"/>
    <x v="0"/>
    <x v="32"/>
    <x v="381"/>
    <n v="20"/>
    <x v="25"/>
    <n v="89"/>
    <n v="10"/>
    <n v="20"/>
    <n v="22"/>
    <x v="1"/>
    <x v="2"/>
    <n v="4"/>
  </r>
  <r>
    <x v="382"/>
    <s v="FN384"/>
    <s v="LN384"/>
    <x v="0"/>
    <n v="44"/>
    <x v="1"/>
    <x v="4"/>
    <x v="0"/>
    <x v="1"/>
    <x v="0"/>
    <s v="2022-09-24"/>
    <m/>
    <x v="0"/>
    <x v="46"/>
    <x v="0"/>
    <x v="25"/>
    <x v="382"/>
    <n v="17"/>
    <x v="8"/>
    <n v="79"/>
    <n v="20"/>
    <n v="0"/>
    <n v="46"/>
    <x v="0"/>
    <x v="1"/>
    <n v="3.8"/>
  </r>
  <r>
    <x v="383"/>
    <s v="FN385"/>
    <s v="LN385"/>
    <x v="0"/>
    <n v="56"/>
    <x v="5"/>
    <x v="6"/>
    <x v="2"/>
    <x v="1"/>
    <x v="1"/>
    <s v="2023-12-20"/>
    <m/>
    <x v="0"/>
    <x v="62"/>
    <x v="0"/>
    <x v="11"/>
    <x v="383"/>
    <n v="23"/>
    <x v="7"/>
    <n v="62"/>
    <n v="11"/>
    <n v="28"/>
    <n v="55"/>
    <x v="1"/>
    <x v="1"/>
    <n v="2.6"/>
  </r>
  <r>
    <x v="384"/>
    <s v="FN386"/>
    <s v="LN386"/>
    <x v="1"/>
    <n v="34"/>
    <x v="0"/>
    <x v="0"/>
    <x v="3"/>
    <x v="0"/>
    <x v="1"/>
    <s v="2019-12-30"/>
    <m/>
    <x v="0"/>
    <x v="14"/>
    <x v="1"/>
    <x v="27"/>
    <x v="384"/>
    <n v="22"/>
    <x v="2"/>
    <n v="83"/>
    <n v="19"/>
    <n v="57"/>
    <n v="0"/>
    <x v="0"/>
    <x v="1"/>
    <n v="6.6"/>
  </r>
  <r>
    <x v="385"/>
    <s v="FN387"/>
    <s v="LN387"/>
    <x v="0"/>
    <n v="50"/>
    <x v="1"/>
    <x v="1"/>
    <x v="2"/>
    <x v="1"/>
    <x v="0"/>
    <s v="2021-10-01"/>
    <m/>
    <x v="0"/>
    <x v="19"/>
    <x v="1"/>
    <x v="7"/>
    <x v="385"/>
    <n v="7"/>
    <x v="22"/>
    <n v="90"/>
    <n v="4"/>
    <n v="26"/>
    <n v="5"/>
    <x v="1"/>
    <x v="2"/>
    <n v="4.8"/>
  </r>
  <r>
    <x v="386"/>
    <s v="FN388"/>
    <s v="LN388"/>
    <x v="1"/>
    <n v="57"/>
    <x v="2"/>
    <x v="3"/>
    <x v="3"/>
    <x v="2"/>
    <x v="0"/>
    <s v="2023-08-09"/>
    <s v="2025-08-12"/>
    <x v="1"/>
    <x v="72"/>
    <x v="1"/>
    <x v="28"/>
    <x v="386"/>
    <n v="17"/>
    <x v="25"/>
    <n v="85"/>
    <n v="5"/>
    <n v="11"/>
    <n v="62"/>
    <x v="0"/>
    <x v="1"/>
    <n v="3"/>
  </r>
  <r>
    <x v="387"/>
    <s v="FN389"/>
    <s v="LN389"/>
    <x v="1"/>
    <n v="43"/>
    <x v="4"/>
    <x v="2"/>
    <x v="1"/>
    <x v="1"/>
    <x v="0"/>
    <s v="2020-11-17"/>
    <m/>
    <x v="0"/>
    <x v="41"/>
    <x v="1"/>
    <x v="13"/>
    <x v="387"/>
    <n v="23"/>
    <x v="24"/>
    <n v="75"/>
    <n v="10"/>
    <n v="60"/>
    <n v="36"/>
    <x v="1"/>
    <x v="1"/>
    <n v="5.7"/>
  </r>
  <r>
    <x v="388"/>
    <s v="FN390"/>
    <s v="LN390"/>
    <x v="0"/>
    <n v="24"/>
    <x v="0"/>
    <x v="2"/>
    <x v="0"/>
    <x v="2"/>
    <x v="1"/>
    <s v="2022-05-23"/>
    <m/>
    <x v="0"/>
    <x v="29"/>
    <x v="1"/>
    <x v="3"/>
    <x v="388"/>
    <n v="22"/>
    <x v="15"/>
    <n v="53"/>
    <n v="6"/>
    <n v="50"/>
    <n v="77"/>
    <x v="0"/>
    <x v="0"/>
    <n v="4.2"/>
  </r>
  <r>
    <x v="389"/>
    <s v="FN391"/>
    <s v="LN391"/>
    <x v="0"/>
    <n v="25"/>
    <x v="5"/>
    <x v="8"/>
    <x v="2"/>
    <x v="1"/>
    <x v="0"/>
    <s v="2024-06-02"/>
    <m/>
    <x v="0"/>
    <x v="19"/>
    <x v="2"/>
    <x v="25"/>
    <x v="389"/>
    <n v="21"/>
    <x v="2"/>
    <n v="99"/>
    <n v="10"/>
    <n v="2"/>
    <n v="60"/>
    <x v="1"/>
    <x v="0"/>
    <n v="2.2000000000000002"/>
  </r>
  <r>
    <x v="390"/>
    <s v="FN392"/>
    <s v="LN392"/>
    <x v="0"/>
    <n v="22"/>
    <x v="3"/>
    <x v="2"/>
    <x v="0"/>
    <x v="2"/>
    <x v="0"/>
    <s v="2025-11-15"/>
    <m/>
    <x v="0"/>
    <x v="1"/>
    <x v="2"/>
    <x v="30"/>
    <x v="390"/>
    <n v="5"/>
    <x v="23"/>
    <n v="75"/>
    <n v="6"/>
    <n v="31"/>
    <n v="56"/>
    <x v="1"/>
    <x v="1"/>
    <n v="0.7"/>
  </r>
  <r>
    <x v="391"/>
    <s v="FN393"/>
    <s v="LN393"/>
    <x v="0"/>
    <n v="25"/>
    <x v="2"/>
    <x v="3"/>
    <x v="3"/>
    <x v="2"/>
    <x v="1"/>
    <s v="2017-08-16"/>
    <m/>
    <x v="0"/>
    <x v="66"/>
    <x v="0"/>
    <x v="29"/>
    <x v="391"/>
    <n v="23"/>
    <x v="25"/>
    <n v="54"/>
    <n v="3"/>
    <n v="56"/>
    <n v="23"/>
    <x v="0"/>
    <x v="2"/>
    <n v="9"/>
  </r>
  <r>
    <x v="392"/>
    <s v="FN394"/>
    <s v="LN394"/>
    <x v="0"/>
    <n v="31"/>
    <x v="4"/>
    <x v="2"/>
    <x v="4"/>
    <x v="2"/>
    <x v="1"/>
    <s v="2023-10-08"/>
    <m/>
    <x v="0"/>
    <x v="6"/>
    <x v="0"/>
    <x v="30"/>
    <x v="392"/>
    <n v="24"/>
    <x v="12"/>
    <n v="77"/>
    <n v="11"/>
    <n v="15"/>
    <n v="40"/>
    <x v="1"/>
    <x v="0"/>
    <n v="2.8"/>
  </r>
  <r>
    <x v="393"/>
    <s v="FN395"/>
    <s v="LN395"/>
    <x v="0"/>
    <n v="35"/>
    <x v="4"/>
    <x v="2"/>
    <x v="3"/>
    <x v="2"/>
    <x v="1"/>
    <s v="2016-11-02"/>
    <m/>
    <x v="0"/>
    <x v="51"/>
    <x v="1"/>
    <x v="27"/>
    <x v="393"/>
    <n v="13"/>
    <x v="8"/>
    <n v="84"/>
    <n v="19"/>
    <n v="60"/>
    <n v="42"/>
    <x v="1"/>
    <x v="0"/>
    <n v="9.6999999999999993"/>
  </r>
  <r>
    <x v="394"/>
    <s v="FN396"/>
    <s v="LN396"/>
    <x v="1"/>
    <n v="51"/>
    <x v="1"/>
    <x v="1"/>
    <x v="1"/>
    <x v="1"/>
    <x v="0"/>
    <s v="2024-10-13"/>
    <m/>
    <x v="0"/>
    <x v="7"/>
    <x v="1"/>
    <x v="15"/>
    <x v="394"/>
    <n v="9"/>
    <x v="25"/>
    <n v="81"/>
    <n v="1"/>
    <n v="10"/>
    <n v="40"/>
    <x v="1"/>
    <x v="0"/>
    <n v="1.8"/>
  </r>
  <r>
    <x v="395"/>
    <s v="FN397"/>
    <s v="LN397"/>
    <x v="0"/>
    <n v="56"/>
    <x v="0"/>
    <x v="0"/>
    <x v="0"/>
    <x v="2"/>
    <x v="1"/>
    <s v="2025-12-28"/>
    <m/>
    <x v="0"/>
    <x v="69"/>
    <x v="1"/>
    <x v="12"/>
    <x v="395"/>
    <n v="22"/>
    <x v="10"/>
    <n v="99"/>
    <n v="13"/>
    <n v="29"/>
    <n v="7"/>
    <x v="1"/>
    <x v="2"/>
    <n v="0.6"/>
  </r>
  <r>
    <x v="396"/>
    <s v="FN398"/>
    <s v="LN398"/>
    <x v="0"/>
    <n v="35"/>
    <x v="0"/>
    <x v="0"/>
    <x v="0"/>
    <x v="1"/>
    <x v="0"/>
    <s v="2020-07-04"/>
    <m/>
    <x v="0"/>
    <x v="19"/>
    <x v="1"/>
    <x v="27"/>
    <x v="396"/>
    <n v="11"/>
    <x v="0"/>
    <n v="84"/>
    <n v="15"/>
    <n v="49"/>
    <n v="10"/>
    <x v="1"/>
    <x v="2"/>
    <n v="6.1"/>
  </r>
  <r>
    <x v="397"/>
    <s v="FN399"/>
    <s v="LN399"/>
    <x v="0"/>
    <n v="33"/>
    <x v="4"/>
    <x v="2"/>
    <x v="2"/>
    <x v="1"/>
    <x v="1"/>
    <s v="2019-04-18"/>
    <m/>
    <x v="0"/>
    <x v="1"/>
    <x v="2"/>
    <x v="29"/>
    <x v="397"/>
    <n v="14"/>
    <x v="19"/>
    <n v="67"/>
    <n v="8"/>
    <n v="60"/>
    <n v="24"/>
    <x v="0"/>
    <x v="2"/>
    <n v="7.3"/>
  </r>
  <r>
    <x v="398"/>
    <s v="FN400"/>
    <s v="LN400"/>
    <x v="0"/>
    <n v="28"/>
    <x v="2"/>
    <x v="7"/>
    <x v="2"/>
    <x v="0"/>
    <x v="0"/>
    <s v="2025-06-05"/>
    <s v="2032-12-18"/>
    <x v="1"/>
    <x v="36"/>
    <x v="0"/>
    <x v="35"/>
    <x v="398"/>
    <n v="15"/>
    <x v="17"/>
    <n v="98"/>
    <n v="8"/>
    <n v="58"/>
    <n v="67"/>
    <x v="1"/>
    <x v="0"/>
    <n v="1.1000000000000001"/>
  </r>
  <r>
    <x v="399"/>
    <s v="FN401"/>
    <s v="LN401"/>
    <x v="0"/>
    <n v="44"/>
    <x v="2"/>
    <x v="5"/>
    <x v="0"/>
    <x v="1"/>
    <x v="0"/>
    <s v="2026-01-16"/>
    <m/>
    <x v="0"/>
    <x v="4"/>
    <x v="2"/>
    <x v="6"/>
    <x v="399"/>
    <n v="5"/>
    <x v="20"/>
    <n v="97"/>
    <n v="7"/>
    <n v="37"/>
    <n v="28"/>
    <x v="0"/>
    <x v="0"/>
    <n v="0.5"/>
  </r>
  <r>
    <x v="400"/>
    <s v="FN402"/>
    <s v="LN402"/>
    <x v="0"/>
    <n v="28"/>
    <x v="4"/>
    <x v="9"/>
    <x v="2"/>
    <x v="2"/>
    <x v="1"/>
    <s v="2018-02-06"/>
    <m/>
    <x v="0"/>
    <x v="73"/>
    <x v="0"/>
    <x v="30"/>
    <x v="400"/>
    <n v="17"/>
    <x v="6"/>
    <n v="92"/>
    <n v="4"/>
    <n v="52"/>
    <n v="18"/>
    <x v="1"/>
    <x v="0"/>
    <n v="8.5"/>
  </r>
  <r>
    <x v="401"/>
    <s v="FN403"/>
    <s v="LN403"/>
    <x v="0"/>
    <n v="42"/>
    <x v="4"/>
    <x v="2"/>
    <x v="0"/>
    <x v="1"/>
    <x v="1"/>
    <s v="2023-09-24"/>
    <m/>
    <x v="0"/>
    <x v="28"/>
    <x v="1"/>
    <x v="17"/>
    <x v="401"/>
    <n v="14"/>
    <x v="15"/>
    <n v="62"/>
    <n v="5"/>
    <n v="39"/>
    <n v="21"/>
    <x v="0"/>
    <x v="0"/>
    <n v="2.8"/>
  </r>
  <r>
    <x v="402"/>
    <s v="FN404"/>
    <s v="LN404"/>
    <x v="1"/>
    <n v="57"/>
    <x v="0"/>
    <x v="0"/>
    <x v="1"/>
    <x v="1"/>
    <x v="0"/>
    <s v="2018-04-01"/>
    <m/>
    <x v="0"/>
    <x v="50"/>
    <x v="0"/>
    <x v="32"/>
    <x v="402"/>
    <n v="8"/>
    <x v="0"/>
    <n v="61"/>
    <n v="14"/>
    <n v="45"/>
    <n v="0"/>
    <x v="1"/>
    <x v="0"/>
    <n v="8.3000000000000007"/>
  </r>
  <r>
    <x v="403"/>
    <s v="FN405"/>
    <s v="LN405"/>
    <x v="0"/>
    <n v="56"/>
    <x v="4"/>
    <x v="2"/>
    <x v="4"/>
    <x v="0"/>
    <x v="1"/>
    <s v="2023-09-26"/>
    <m/>
    <x v="0"/>
    <x v="27"/>
    <x v="0"/>
    <x v="3"/>
    <x v="403"/>
    <n v="24"/>
    <x v="18"/>
    <n v="74"/>
    <n v="19"/>
    <n v="44"/>
    <n v="63"/>
    <x v="0"/>
    <x v="1"/>
    <n v="2.8"/>
  </r>
  <r>
    <x v="404"/>
    <s v="FN406"/>
    <s v="LN406"/>
    <x v="0"/>
    <n v="28"/>
    <x v="4"/>
    <x v="2"/>
    <x v="3"/>
    <x v="0"/>
    <x v="0"/>
    <s v="2026-03-15"/>
    <m/>
    <x v="0"/>
    <x v="33"/>
    <x v="0"/>
    <x v="1"/>
    <x v="404"/>
    <n v="19"/>
    <x v="19"/>
    <n v="64"/>
    <n v="9"/>
    <n v="21"/>
    <n v="7"/>
    <x v="0"/>
    <x v="2"/>
    <n v="0.4"/>
  </r>
  <r>
    <x v="405"/>
    <s v="FN407"/>
    <s v="LN407"/>
    <x v="1"/>
    <n v="51"/>
    <x v="0"/>
    <x v="2"/>
    <x v="0"/>
    <x v="1"/>
    <x v="1"/>
    <s v="2020-08-04"/>
    <m/>
    <x v="0"/>
    <x v="45"/>
    <x v="2"/>
    <x v="20"/>
    <x v="405"/>
    <n v="9"/>
    <x v="25"/>
    <n v="100"/>
    <n v="16"/>
    <n v="42"/>
    <n v="66"/>
    <x v="0"/>
    <x v="0"/>
    <n v="6"/>
  </r>
  <r>
    <x v="406"/>
    <s v="FN408"/>
    <s v="LN408"/>
    <x v="0"/>
    <n v="21"/>
    <x v="5"/>
    <x v="8"/>
    <x v="4"/>
    <x v="1"/>
    <x v="0"/>
    <s v="2021-04-06"/>
    <m/>
    <x v="0"/>
    <x v="78"/>
    <x v="1"/>
    <x v="6"/>
    <x v="406"/>
    <n v="14"/>
    <x v="8"/>
    <n v="53"/>
    <n v="6"/>
    <n v="1"/>
    <n v="71"/>
    <x v="1"/>
    <x v="2"/>
    <n v="5.3"/>
  </r>
  <r>
    <x v="407"/>
    <s v="FN409"/>
    <s v="LN409"/>
    <x v="1"/>
    <n v="38"/>
    <x v="5"/>
    <x v="2"/>
    <x v="3"/>
    <x v="2"/>
    <x v="0"/>
    <s v="2018-10-25"/>
    <m/>
    <x v="0"/>
    <x v="36"/>
    <x v="0"/>
    <x v="13"/>
    <x v="407"/>
    <n v="15"/>
    <x v="20"/>
    <n v="56"/>
    <n v="12"/>
    <n v="11"/>
    <n v="27"/>
    <x v="1"/>
    <x v="1"/>
    <n v="7.8"/>
  </r>
  <r>
    <x v="408"/>
    <s v="FN410"/>
    <s v="LN410"/>
    <x v="1"/>
    <n v="28"/>
    <x v="2"/>
    <x v="5"/>
    <x v="2"/>
    <x v="1"/>
    <x v="0"/>
    <s v="2024-03-22"/>
    <s v="2031-04-21"/>
    <x v="1"/>
    <x v="18"/>
    <x v="0"/>
    <x v="35"/>
    <x v="408"/>
    <n v="17"/>
    <x v="0"/>
    <n v="83"/>
    <n v="18"/>
    <n v="29"/>
    <n v="17"/>
    <x v="1"/>
    <x v="1"/>
    <n v="2.4"/>
  </r>
  <r>
    <x v="409"/>
    <s v="FN411"/>
    <s v="LN411"/>
    <x v="1"/>
    <n v="50"/>
    <x v="4"/>
    <x v="6"/>
    <x v="3"/>
    <x v="2"/>
    <x v="1"/>
    <s v="2025-03-03"/>
    <m/>
    <x v="0"/>
    <x v="75"/>
    <x v="1"/>
    <x v="29"/>
    <x v="409"/>
    <n v="5"/>
    <x v="4"/>
    <n v="70"/>
    <n v="17"/>
    <n v="27"/>
    <n v="54"/>
    <x v="0"/>
    <x v="2"/>
    <n v="1.4"/>
  </r>
  <r>
    <x v="410"/>
    <s v="FN412"/>
    <s v="LN412"/>
    <x v="0"/>
    <n v="50"/>
    <x v="5"/>
    <x v="8"/>
    <x v="3"/>
    <x v="1"/>
    <x v="0"/>
    <s v="2019-01-26"/>
    <m/>
    <x v="0"/>
    <x v="28"/>
    <x v="1"/>
    <x v="31"/>
    <x v="410"/>
    <n v="14"/>
    <x v="25"/>
    <n v="73"/>
    <n v="2"/>
    <n v="6"/>
    <n v="20"/>
    <x v="0"/>
    <x v="1"/>
    <n v="7.5"/>
  </r>
  <r>
    <x v="411"/>
    <s v="FN413"/>
    <s v="LN413"/>
    <x v="1"/>
    <n v="47"/>
    <x v="5"/>
    <x v="2"/>
    <x v="3"/>
    <x v="1"/>
    <x v="1"/>
    <s v="2020-06-06"/>
    <s v="2024-10-08"/>
    <x v="1"/>
    <x v="46"/>
    <x v="0"/>
    <x v="30"/>
    <x v="411"/>
    <n v="13"/>
    <x v="24"/>
    <n v="55"/>
    <n v="12"/>
    <n v="43"/>
    <n v="42"/>
    <x v="1"/>
    <x v="1"/>
    <n v="6.1"/>
  </r>
  <r>
    <x v="412"/>
    <s v="FN414"/>
    <s v="LN414"/>
    <x v="0"/>
    <n v="56"/>
    <x v="1"/>
    <x v="4"/>
    <x v="0"/>
    <x v="2"/>
    <x v="1"/>
    <s v="2024-05-15"/>
    <m/>
    <x v="0"/>
    <x v="76"/>
    <x v="0"/>
    <x v="14"/>
    <x v="412"/>
    <n v="15"/>
    <x v="18"/>
    <n v="75"/>
    <n v="3"/>
    <n v="13"/>
    <n v="63"/>
    <x v="1"/>
    <x v="0"/>
    <n v="2.2000000000000002"/>
  </r>
  <r>
    <x v="413"/>
    <s v="FN415"/>
    <s v="LN415"/>
    <x v="0"/>
    <n v="50"/>
    <x v="3"/>
    <x v="10"/>
    <x v="0"/>
    <x v="2"/>
    <x v="1"/>
    <s v="2021-08-17"/>
    <m/>
    <x v="0"/>
    <x v="71"/>
    <x v="0"/>
    <x v="12"/>
    <x v="413"/>
    <n v="21"/>
    <x v="12"/>
    <n v="83"/>
    <n v="5"/>
    <n v="49"/>
    <n v="14"/>
    <x v="1"/>
    <x v="2"/>
    <n v="5"/>
  </r>
  <r>
    <x v="414"/>
    <s v="FN416"/>
    <s v="LN416"/>
    <x v="0"/>
    <n v="31"/>
    <x v="4"/>
    <x v="6"/>
    <x v="3"/>
    <x v="2"/>
    <x v="1"/>
    <s v="2022-11-14"/>
    <m/>
    <x v="0"/>
    <x v="19"/>
    <x v="2"/>
    <x v="0"/>
    <x v="414"/>
    <n v="15"/>
    <x v="4"/>
    <n v="89"/>
    <n v="17"/>
    <n v="2"/>
    <n v="8"/>
    <x v="1"/>
    <x v="1"/>
    <n v="3.7"/>
  </r>
  <r>
    <x v="415"/>
    <s v="FN417"/>
    <s v="LN417"/>
    <x v="0"/>
    <n v="39"/>
    <x v="0"/>
    <x v="2"/>
    <x v="2"/>
    <x v="2"/>
    <x v="0"/>
    <s v="2022-11-18"/>
    <m/>
    <x v="0"/>
    <x v="18"/>
    <x v="1"/>
    <x v="22"/>
    <x v="415"/>
    <n v="16"/>
    <x v="11"/>
    <n v="64"/>
    <n v="8"/>
    <n v="32"/>
    <n v="40"/>
    <x v="0"/>
    <x v="0"/>
    <n v="3.7"/>
  </r>
  <r>
    <x v="416"/>
    <s v="FN418"/>
    <s v="LN418"/>
    <x v="0"/>
    <n v="44"/>
    <x v="0"/>
    <x v="0"/>
    <x v="3"/>
    <x v="1"/>
    <x v="0"/>
    <s v="2019-06-17"/>
    <s v="2022-08-12"/>
    <x v="1"/>
    <x v="47"/>
    <x v="1"/>
    <x v="2"/>
    <x v="416"/>
    <n v="18"/>
    <x v="19"/>
    <n v="50"/>
    <n v="10"/>
    <n v="34"/>
    <n v="40"/>
    <x v="0"/>
    <x v="0"/>
    <n v="7.1"/>
  </r>
  <r>
    <x v="417"/>
    <s v="FN419"/>
    <s v="LN419"/>
    <x v="1"/>
    <n v="47"/>
    <x v="1"/>
    <x v="4"/>
    <x v="0"/>
    <x v="1"/>
    <x v="0"/>
    <s v="2024-07-28"/>
    <m/>
    <x v="0"/>
    <x v="37"/>
    <x v="1"/>
    <x v="24"/>
    <x v="417"/>
    <n v="25"/>
    <x v="24"/>
    <n v="76"/>
    <n v="10"/>
    <n v="59"/>
    <n v="33"/>
    <x v="0"/>
    <x v="1"/>
    <n v="2"/>
  </r>
  <r>
    <x v="418"/>
    <s v="FN420"/>
    <s v="LN420"/>
    <x v="0"/>
    <n v="49"/>
    <x v="3"/>
    <x v="2"/>
    <x v="2"/>
    <x v="2"/>
    <x v="0"/>
    <s v="2017-12-08"/>
    <s v="2020-07-17"/>
    <x v="1"/>
    <x v="27"/>
    <x v="2"/>
    <x v="28"/>
    <x v="418"/>
    <n v="14"/>
    <x v="16"/>
    <n v="63"/>
    <n v="11"/>
    <n v="52"/>
    <n v="68"/>
    <x v="1"/>
    <x v="2"/>
    <n v="8.6"/>
  </r>
  <r>
    <x v="419"/>
    <s v="FN421"/>
    <s v="LN421"/>
    <x v="0"/>
    <n v="22"/>
    <x v="4"/>
    <x v="9"/>
    <x v="1"/>
    <x v="0"/>
    <x v="0"/>
    <s v="2026-01-21"/>
    <m/>
    <x v="0"/>
    <x v="22"/>
    <x v="1"/>
    <x v="22"/>
    <x v="419"/>
    <n v="9"/>
    <x v="20"/>
    <n v="51"/>
    <n v="12"/>
    <n v="46"/>
    <n v="4"/>
    <x v="0"/>
    <x v="0"/>
    <n v="0.5"/>
  </r>
  <r>
    <x v="420"/>
    <s v="FN422"/>
    <s v="LN422"/>
    <x v="0"/>
    <n v="46"/>
    <x v="1"/>
    <x v="4"/>
    <x v="2"/>
    <x v="1"/>
    <x v="1"/>
    <s v="2017-07-21"/>
    <m/>
    <x v="0"/>
    <x v="16"/>
    <x v="1"/>
    <x v="3"/>
    <x v="420"/>
    <n v="15"/>
    <x v="22"/>
    <n v="90"/>
    <n v="7"/>
    <n v="11"/>
    <n v="12"/>
    <x v="0"/>
    <x v="2"/>
    <n v="9"/>
  </r>
  <r>
    <x v="421"/>
    <s v="FN423"/>
    <s v="LN423"/>
    <x v="1"/>
    <n v="56"/>
    <x v="3"/>
    <x v="2"/>
    <x v="0"/>
    <x v="2"/>
    <x v="1"/>
    <s v="2019-01-12"/>
    <m/>
    <x v="0"/>
    <x v="78"/>
    <x v="0"/>
    <x v="7"/>
    <x v="421"/>
    <n v="6"/>
    <x v="10"/>
    <n v="83"/>
    <n v="1"/>
    <n v="41"/>
    <n v="46"/>
    <x v="1"/>
    <x v="1"/>
    <n v="7.5"/>
  </r>
  <r>
    <x v="422"/>
    <s v="FN424"/>
    <s v="LN424"/>
    <x v="0"/>
    <n v="40"/>
    <x v="2"/>
    <x v="7"/>
    <x v="1"/>
    <x v="1"/>
    <x v="1"/>
    <s v="2025-07-18"/>
    <m/>
    <x v="0"/>
    <x v="17"/>
    <x v="0"/>
    <x v="35"/>
    <x v="422"/>
    <n v="7"/>
    <x v="9"/>
    <n v="70"/>
    <n v="17"/>
    <n v="42"/>
    <n v="55"/>
    <x v="1"/>
    <x v="1"/>
    <n v="1"/>
  </r>
  <r>
    <x v="423"/>
    <s v="FN425"/>
    <s v="LN425"/>
    <x v="0"/>
    <n v="59"/>
    <x v="3"/>
    <x v="10"/>
    <x v="4"/>
    <x v="1"/>
    <x v="1"/>
    <s v="2024-02-22"/>
    <s v="2028-04-23"/>
    <x v="1"/>
    <x v="25"/>
    <x v="0"/>
    <x v="25"/>
    <x v="423"/>
    <n v="20"/>
    <x v="9"/>
    <n v="64"/>
    <n v="3"/>
    <n v="38"/>
    <n v="24"/>
    <x v="1"/>
    <x v="0"/>
    <n v="2.4"/>
  </r>
  <r>
    <x v="424"/>
    <s v="FN426"/>
    <s v="LN426"/>
    <x v="0"/>
    <n v="44"/>
    <x v="3"/>
    <x v="2"/>
    <x v="1"/>
    <x v="1"/>
    <x v="0"/>
    <s v="2021-02-16"/>
    <m/>
    <x v="0"/>
    <x v="28"/>
    <x v="0"/>
    <x v="17"/>
    <x v="424"/>
    <n v="5"/>
    <x v="15"/>
    <n v="66"/>
    <n v="11"/>
    <n v="31"/>
    <n v="9"/>
    <x v="0"/>
    <x v="1"/>
    <n v="5.4"/>
  </r>
  <r>
    <x v="425"/>
    <s v="FN427"/>
    <s v="LN427"/>
    <x v="1"/>
    <n v="53"/>
    <x v="4"/>
    <x v="2"/>
    <x v="0"/>
    <x v="0"/>
    <x v="0"/>
    <s v="2025-04-24"/>
    <m/>
    <x v="0"/>
    <x v="61"/>
    <x v="2"/>
    <x v="30"/>
    <x v="425"/>
    <n v="23"/>
    <x v="5"/>
    <n v="84"/>
    <n v="14"/>
    <n v="7"/>
    <n v="4"/>
    <x v="1"/>
    <x v="0"/>
    <n v="1.3"/>
  </r>
  <r>
    <x v="426"/>
    <s v="FN428"/>
    <s v="LN428"/>
    <x v="0"/>
    <n v="21"/>
    <x v="2"/>
    <x v="3"/>
    <x v="1"/>
    <x v="0"/>
    <x v="0"/>
    <s v="2026-05-06"/>
    <m/>
    <x v="0"/>
    <x v="35"/>
    <x v="1"/>
    <x v="7"/>
    <x v="426"/>
    <n v="24"/>
    <x v="21"/>
    <n v="55"/>
    <n v="19"/>
    <n v="21"/>
    <n v="28"/>
    <x v="1"/>
    <x v="1"/>
    <n v="0.2"/>
  </r>
  <r>
    <x v="427"/>
    <s v="FN429"/>
    <s v="LN429"/>
    <x v="0"/>
    <n v="37"/>
    <x v="2"/>
    <x v="5"/>
    <x v="0"/>
    <x v="1"/>
    <x v="0"/>
    <s v="2016-12-13"/>
    <m/>
    <x v="0"/>
    <x v="43"/>
    <x v="2"/>
    <x v="2"/>
    <x v="427"/>
    <n v="10"/>
    <x v="5"/>
    <n v="56"/>
    <n v="15"/>
    <n v="54"/>
    <n v="38"/>
    <x v="0"/>
    <x v="2"/>
    <n v="9.6"/>
  </r>
  <r>
    <x v="428"/>
    <s v="FN430"/>
    <s v="LN430"/>
    <x v="1"/>
    <n v="58"/>
    <x v="4"/>
    <x v="9"/>
    <x v="0"/>
    <x v="2"/>
    <x v="0"/>
    <s v="2018-07-27"/>
    <m/>
    <x v="0"/>
    <x v="67"/>
    <x v="2"/>
    <x v="12"/>
    <x v="428"/>
    <n v="11"/>
    <x v="9"/>
    <n v="96"/>
    <n v="2"/>
    <n v="43"/>
    <n v="17"/>
    <x v="1"/>
    <x v="2"/>
    <n v="8"/>
  </r>
  <r>
    <x v="429"/>
    <s v="FN431"/>
    <s v="LN431"/>
    <x v="0"/>
    <n v="40"/>
    <x v="1"/>
    <x v="1"/>
    <x v="2"/>
    <x v="1"/>
    <x v="1"/>
    <s v="2020-11-19"/>
    <s v="2022-09-17"/>
    <x v="1"/>
    <x v="63"/>
    <x v="1"/>
    <x v="26"/>
    <x v="429"/>
    <n v="21"/>
    <x v="14"/>
    <n v="69"/>
    <n v="2"/>
    <n v="52"/>
    <n v="73"/>
    <x v="0"/>
    <x v="2"/>
    <n v="5.7"/>
  </r>
  <r>
    <x v="430"/>
    <s v="FN432"/>
    <s v="LN432"/>
    <x v="0"/>
    <n v="33"/>
    <x v="1"/>
    <x v="1"/>
    <x v="4"/>
    <x v="1"/>
    <x v="1"/>
    <s v="2017-04-18"/>
    <s v="2020-08-07"/>
    <x v="1"/>
    <x v="54"/>
    <x v="1"/>
    <x v="31"/>
    <x v="430"/>
    <n v="5"/>
    <x v="12"/>
    <n v="98"/>
    <n v="3"/>
    <n v="24"/>
    <n v="38"/>
    <x v="0"/>
    <x v="2"/>
    <n v="9.3000000000000007"/>
  </r>
  <r>
    <x v="431"/>
    <s v="FN433"/>
    <s v="LN433"/>
    <x v="0"/>
    <n v="59"/>
    <x v="0"/>
    <x v="0"/>
    <x v="4"/>
    <x v="0"/>
    <x v="0"/>
    <s v="2025-11-15"/>
    <m/>
    <x v="0"/>
    <x v="43"/>
    <x v="2"/>
    <x v="33"/>
    <x v="431"/>
    <n v="15"/>
    <x v="15"/>
    <n v="86"/>
    <n v="3"/>
    <n v="16"/>
    <n v="53"/>
    <x v="1"/>
    <x v="1"/>
    <n v="0.7"/>
  </r>
  <r>
    <x v="432"/>
    <s v="FN434"/>
    <s v="LN434"/>
    <x v="0"/>
    <n v="41"/>
    <x v="1"/>
    <x v="4"/>
    <x v="0"/>
    <x v="0"/>
    <x v="1"/>
    <s v="2025-02-27"/>
    <m/>
    <x v="0"/>
    <x v="61"/>
    <x v="1"/>
    <x v="1"/>
    <x v="432"/>
    <n v="18"/>
    <x v="22"/>
    <n v="79"/>
    <n v="6"/>
    <n v="40"/>
    <n v="17"/>
    <x v="0"/>
    <x v="0"/>
    <n v="1.4"/>
  </r>
  <r>
    <x v="433"/>
    <s v="FN435"/>
    <s v="LN435"/>
    <x v="1"/>
    <n v="44"/>
    <x v="2"/>
    <x v="3"/>
    <x v="1"/>
    <x v="0"/>
    <x v="0"/>
    <s v="2024-10-09"/>
    <m/>
    <x v="0"/>
    <x v="4"/>
    <x v="2"/>
    <x v="20"/>
    <x v="433"/>
    <n v="23"/>
    <x v="14"/>
    <n v="75"/>
    <n v="6"/>
    <n v="58"/>
    <n v="68"/>
    <x v="0"/>
    <x v="2"/>
    <n v="1.8"/>
  </r>
  <r>
    <x v="434"/>
    <s v="FN436"/>
    <s v="LN436"/>
    <x v="0"/>
    <n v="55"/>
    <x v="2"/>
    <x v="7"/>
    <x v="3"/>
    <x v="2"/>
    <x v="0"/>
    <s v="2026-02-10"/>
    <m/>
    <x v="0"/>
    <x v="28"/>
    <x v="0"/>
    <x v="19"/>
    <x v="434"/>
    <n v="20"/>
    <x v="11"/>
    <n v="72"/>
    <n v="7"/>
    <n v="34"/>
    <n v="72"/>
    <x v="0"/>
    <x v="1"/>
    <n v="0.5"/>
  </r>
  <r>
    <x v="435"/>
    <s v="FN437"/>
    <s v="LN437"/>
    <x v="1"/>
    <n v="59"/>
    <x v="5"/>
    <x v="8"/>
    <x v="4"/>
    <x v="0"/>
    <x v="0"/>
    <s v="2017-03-29"/>
    <m/>
    <x v="0"/>
    <x v="64"/>
    <x v="2"/>
    <x v="6"/>
    <x v="435"/>
    <n v="13"/>
    <x v="6"/>
    <n v="86"/>
    <n v="7"/>
    <n v="4"/>
    <n v="8"/>
    <x v="0"/>
    <x v="1"/>
    <n v="9.3000000000000007"/>
  </r>
  <r>
    <x v="436"/>
    <s v="FN438"/>
    <s v="LN438"/>
    <x v="0"/>
    <n v="30"/>
    <x v="1"/>
    <x v="1"/>
    <x v="2"/>
    <x v="0"/>
    <x v="1"/>
    <s v="2019-10-22"/>
    <m/>
    <x v="0"/>
    <x v="37"/>
    <x v="1"/>
    <x v="31"/>
    <x v="436"/>
    <n v="21"/>
    <x v="16"/>
    <n v="53"/>
    <n v="3"/>
    <n v="22"/>
    <n v="38"/>
    <x v="1"/>
    <x v="1"/>
    <n v="6.8"/>
  </r>
  <r>
    <x v="437"/>
    <s v="FN439"/>
    <s v="LN439"/>
    <x v="1"/>
    <n v="44"/>
    <x v="2"/>
    <x v="5"/>
    <x v="2"/>
    <x v="2"/>
    <x v="0"/>
    <s v="2017-05-30"/>
    <m/>
    <x v="0"/>
    <x v="23"/>
    <x v="1"/>
    <x v="7"/>
    <x v="437"/>
    <n v="25"/>
    <x v="9"/>
    <n v="61"/>
    <n v="20"/>
    <n v="52"/>
    <n v="62"/>
    <x v="0"/>
    <x v="1"/>
    <n v="9.1999999999999993"/>
  </r>
  <r>
    <x v="438"/>
    <s v="FN440"/>
    <s v="LN440"/>
    <x v="1"/>
    <n v="36"/>
    <x v="0"/>
    <x v="0"/>
    <x v="4"/>
    <x v="0"/>
    <x v="0"/>
    <s v="2023-07-23"/>
    <m/>
    <x v="0"/>
    <x v="9"/>
    <x v="0"/>
    <x v="13"/>
    <x v="438"/>
    <n v="21"/>
    <x v="9"/>
    <n v="86"/>
    <n v="15"/>
    <n v="18"/>
    <n v="23"/>
    <x v="1"/>
    <x v="1"/>
    <n v="3"/>
  </r>
  <r>
    <x v="439"/>
    <s v="FN441"/>
    <s v="LN441"/>
    <x v="1"/>
    <n v="33"/>
    <x v="1"/>
    <x v="1"/>
    <x v="1"/>
    <x v="1"/>
    <x v="1"/>
    <s v="2026-03-08"/>
    <m/>
    <x v="0"/>
    <x v="27"/>
    <x v="1"/>
    <x v="9"/>
    <x v="439"/>
    <n v="22"/>
    <x v="9"/>
    <n v="72"/>
    <n v="18"/>
    <n v="3"/>
    <n v="29"/>
    <x v="0"/>
    <x v="0"/>
    <n v="0.4"/>
  </r>
  <r>
    <x v="440"/>
    <s v="FN442"/>
    <s v="LN442"/>
    <x v="0"/>
    <n v="28"/>
    <x v="2"/>
    <x v="5"/>
    <x v="2"/>
    <x v="0"/>
    <x v="0"/>
    <s v="2025-07-28"/>
    <m/>
    <x v="0"/>
    <x v="28"/>
    <x v="2"/>
    <x v="14"/>
    <x v="440"/>
    <n v="15"/>
    <x v="10"/>
    <n v="61"/>
    <n v="18"/>
    <n v="50"/>
    <n v="7"/>
    <x v="0"/>
    <x v="0"/>
    <n v="1"/>
  </r>
  <r>
    <x v="441"/>
    <s v="FN443"/>
    <s v="LN443"/>
    <x v="1"/>
    <n v="31"/>
    <x v="0"/>
    <x v="0"/>
    <x v="4"/>
    <x v="2"/>
    <x v="0"/>
    <s v="2016-09-15"/>
    <m/>
    <x v="0"/>
    <x v="51"/>
    <x v="1"/>
    <x v="34"/>
    <x v="441"/>
    <n v="22"/>
    <x v="17"/>
    <n v="79"/>
    <n v="19"/>
    <n v="39"/>
    <n v="4"/>
    <x v="1"/>
    <x v="0"/>
    <n v="9.9"/>
  </r>
  <r>
    <x v="442"/>
    <s v="FN444"/>
    <s v="LN444"/>
    <x v="0"/>
    <n v="51"/>
    <x v="2"/>
    <x v="3"/>
    <x v="3"/>
    <x v="2"/>
    <x v="1"/>
    <s v="2025-10-20"/>
    <m/>
    <x v="0"/>
    <x v="44"/>
    <x v="0"/>
    <x v="19"/>
    <x v="442"/>
    <n v="18"/>
    <x v="21"/>
    <n v="55"/>
    <n v="19"/>
    <n v="9"/>
    <n v="59"/>
    <x v="1"/>
    <x v="2"/>
    <n v="0.8"/>
  </r>
  <r>
    <x v="443"/>
    <s v="FN445"/>
    <s v="LN445"/>
    <x v="0"/>
    <n v="22"/>
    <x v="0"/>
    <x v="2"/>
    <x v="0"/>
    <x v="2"/>
    <x v="0"/>
    <s v="2020-11-04"/>
    <m/>
    <x v="0"/>
    <x v="52"/>
    <x v="0"/>
    <x v="35"/>
    <x v="443"/>
    <n v="13"/>
    <x v="9"/>
    <n v="74"/>
    <n v="13"/>
    <n v="18"/>
    <n v="8"/>
    <x v="0"/>
    <x v="1"/>
    <n v="5.7"/>
  </r>
  <r>
    <x v="444"/>
    <s v="FN446"/>
    <s v="LN446"/>
    <x v="0"/>
    <n v="47"/>
    <x v="4"/>
    <x v="2"/>
    <x v="0"/>
    <x v="1"/>
    <x v="1"/>
    <s v="2020-01-06"/>
    <m/>
    <x v="0"/>
    <x v="48"/>
    <x v="1"/>
    <x v="25"/>
    <x v="444"/>
    <n v="9"/>
    <x v="12"/>
    <n v="62"/>
    <n v="12"/>
    <n v="28"/>
    <n v="26"/>
    <x v="1"/>
    <x v="2"/>
    <n v="6.6"/>
  </r>
  <r>
    <x v="445"/>
    <s v="FN447"/>
    <s v="LN447"/>
    <x v="0"/>
    <n v="35"/>
    <x v="2"/>
    <x v="5"/>
    <x v="4"/>
    <x v="2"/>
    <x v="0"/>
    <s v="2021-10-18"/>
    <s v="2024-05-02"/>
    <x v="1"/>
    <x v="70"/>
    <x v="2"/>
    <x v="29"/>
    <x v="445"/>
    <n v="23"/>
    <x v="9"/>
    <n v="72"/>
    <n v="16"/>
    <n v="52"/>
    <n v="43"/>
    <x v="0"/>
    <x v="2"/>
    <n v="4.8"/>
  </r>
  <r>
    <x v="446"/>
    <s v="FN448"/>
    <s v="LN448"/>
    <x v="1"/>
    <n v="49"/>
    <x v="4"/>
    <x v="2"/>
    <x v="2"/>
    <x v="0"/>
    <x v="1"/>
    <s v="2025-12-09"/>
    <m/>
    <x v="0"/>
    <x v="46"/>
    <x v="2"/>
    <x v="16"/>
    <x v="446"/>
    <n v="10"/>
    <x v="0"/>
    <n v="61"/>
    <n v="0"/>
    <n v="47"/>
    <n v="68"/>
    <x v="1"/>
    <x v="1"/>
    <n v="0.6"/>
  </r>
  <r>
    <x v="447"/>
    <s v="FN449"/>
    <s v="LN449"/>
    <x v="0"/>
    <n v="29"/>
    <x v="3"/>
    <x v="2"/>
    <x v="4"/>
    <x v="1"/>
    <x v="0"/>
    <s v="2017-11-28"/>
    <m/>
    <x v="0"/>
    <x v="46"/>
    <x v="1"/>
    <x v="21"/>
    <x v="447"/>
    <n v="23"/>
    <x v="23"/>
    <n v="58"/>
    <n v="17"/>
    <n v="29"/>
    <n v="14"/>
    <x v="0"/>
    <x v="0"/>
    <n v="8.6999999999999993"/>
  </r>
  <r>
    <x v="448"/>
    <s v="FN450"/>
    <s v="LN450"/>
    <x v="0"/>
    <n v="34"/>
    <x v="3"/>
    <x v="2"/>
    <x v="0"/>
    <x v="1"/>
    <x v="0"/>
    <s v="2021-04-06"/>
    <m/>
    <x v="0"/>
    <x v="58"/>
    <x v="2"/>
    <x v="4"/>
    <x v="448"/>
    <n v="16"/>
    <x v="25"/>
    <n v="100"/>
    <n v="20"/>
    <n v="37"/>
    <n v="18"/>
    <x v="0"/>
    <x v="2"/>
    <n v="5.3"/>
  </r>
  <r>
    <x v="449"/>
    <s v="FN451"/>
    <s v="LN451"/>
    <x v="0"/>
    <n v="32"/>
    <x v="5"/>
    <x v="6"/>
    <x v="4"/>
    <x v="2"/>
    <x v="1"/>
    <s v="2020-07-12"/>
    <m/>
    <x v="0"/>
    <x v="3"/>
    <x v="0"/>
    <x v="22"/>
    <x v="449"/>
    <n v="19"/>
    <x v="18"/>
    <n v="59"/>
    <n v="16"/>
    <n v="4"/>
    <n v="59"/>
    <x v="0"/>
    <x v="0"/>
    <n v="6"/>
  </r>
  <r>
    <x v="450"/>
    <s v="FN452"/>
    <s v="LN452"/>
    <x v="1"/>
    <n v="38"/>
    <x v="5"/>
    <x v="8"/>
    <x v="2"/>
    <x v="0"/>
    <x v="1"/>
    <s v="2019-08-03"/>
    <m/>
    <x v="0"/>
    <x v="30"/>
    <x v="1"/>
    <x v="6"/>
    <x v="450"/>
    <n v="5"/>
    <x v="2"/>
    <n v="62"/>
    <n v="17"/>
    <n v="36"/>
    <n v="33"/>
    <x v="0"/>
    <x v="1"/>
    <n v="7"/>
  </r>
  <r>
    <x v="451"/>
    <s v="FN453"/>
    <s v="LN453"/>
    <x v="0"/>
    <n v="60"/>
    <x v="4"/>
    <x v="6"/>
    <x v="4"/>
    <x v="1"/>
    <x v="1"/>
    <s v="2025-05-23"/>
    <m/>
    <x v="0"/>
    <x v="0"/>
    <x v="2"/>
    <x v="10"/>
    <x v="451"/>
    <n v="21"/>
    <x v="21"/>
    <n v="99"/>
    <n v="3"/>
    <n v="8"/>
    <n v="71"/>
    <x v="1"/>
    <x v="2"/>
    <n v="1.2"/>
  </r>
  <r>
    <x v="452"/>
    <s v="FN454"/>
    <s v="LN454"/>
    <x v="0"/>
    <n v="40"/>
    <x v="1"/>
    <x v="4"/>
    <x v="0"/>
    <x v="0"/>
    <x v="0"/>
    <s v="2019-09-18"/>
    <s v="2023-10-15"/>
    <x v="1"/>
    <x v="61"/>
    <x v="0"/>
    <x v="13"/>
    <x v="452"/>
    <n v="14"/>
    <x v="10"/>
    <n v="95"/>
    <n v="15"/>
    <n v="54"/>
    <n v="2"/>
    <x v="0"/>
    <x v="0"/>
    <n v="6.9"/>
  </r>
  <r>
    <x v="453"/>
    <s v="FN455"/>
    <s v="LN455"/>
    <x v="0"/>
    <n v="49"/>
    <x v="4"/>
    <x v="6"/>
    <x v="4"/>
    <x v="2"/>
    <x v="1"/>
    <s v="2023-08-29"/>
    <m/>
    <x v="0"/>
    <x v="14"/>
    <x v="0"/>
    <x v="2"/>
    <x v="453"/>
    <n v="10"/>
    <x v="9"/>
    <n v="87"/>
    <n v="20"/>
    <n v="23"/>
    <n v="57"/>
    <x v="1"/>
    <x v="2"/>
    <n v="2.9"/>
  </r>
  <r>
    <x v="454"/>
    <s v="FN456"/>
    <s v="LN456"/>
    <x v="1"/>
    <n v="51"/>
    <x v="0"/>
    <x v="2"/>
    <x v="0"/>
    <x v="2"/>
    <x v="1"/>
    <s v="2024-06-11"/>
    <m/>
    <x v="0"/>
    <x v="2"/>
    <x v="1"/>
    <x v="6"/>
    <x v="454"/>
    <n v="6"/>
    <x v="0"/>
    <n v="76"/>
    <n v="3"/>
    <n v="37"/>
    <n v="40"/>
    <x v="0"/>
    <x v="2"/>
    <n v="2.1"/>
  </r>
  <r>
    <x v="455"/>
    <s v="FN457"/>
    <s v="LN457"/>
    <x v="1"/>
    <n v="21"/>
    <x v="2"/>
    <x v="3"/>
    <x v="3"/>
    <x v="0"/>
    <x v="0"/>
    <s v="2022-03-15"/>
    <m/>
    <x v="0"/>
    <x v="55"/>
    <x v="2"/>
    <x v="1"/>
    <x v="455"/>
    <n v="15"/>
    <x v="1"/>
    <n v="82"/>
    <n v="13"/>
    <n v="16"/>
    <n v="64"/>
    <x v="1"/>
    <x v="0"/>
    <n v="4.4000000000000004"/>
  </r>
  <r>
    <x v="456"/>
    <s v="FN458"/>
    <s v="LN458"/>
    <x v="1"/>
    <n v="38"/>
    <x v="5"/>
    <x v="2"/>
    <x v="0"/>
    <x v="1"/>
    <x v="0"/>
    <s v="2018-12-04"/>
    <m/>
    <x v="0"/>
    <x v="50"/>
    <x v="0"/>
    <x v="25"/>
    <x v="456"/>
    <n v="17"/>
    <x v="10"/>
    <n v="84"/>
    <n v="12"/>
    <n v="15"/>
    <n v="48"/>
    <x v="0"/>
    <x v="0"/>
    <n v="7.7"/>
  </r>
  <r>
    <x v="457"/>
    <s v="FN459"/>
    <s v="LN459"/>
    <x v="1"/>
    <n v="46"/>
    <x v="2"/>
    <x v="7"/>
    <x v="4"/>
    <x v="2"/>
    <x v="0"/>
    <s v="2021-08-18"/>
    <m/>
    <x v="0"/>
    <x v="1"/>
    <x v="2"/>
    <x v="3"/>
    <x v="457"/>
    <n v="18"/>
    <x v="21"/>
    <n v="51"/>
    <n v="20"/>
    <n v="48"/>
    <n v="17"/>
    <x v="1"/>
    <x v="2"/>
    <n v="4.9000000000000004"/>
  </r>
  <r>
    <x v="458"/>
    <s v="FN460"/>
    <s v="LN460"/>
    <x v="1"/>
    <n v="28"/>
    <x v="4"/>
    <x v="2"/>
    <x v="0"/>
    <x v="0"/>
    <x v="1"/>
    <s v="2025-11-10"/>
    <m/>
    <x v="0"/>
    <x v="9"/>
    <x v="0"/>
    <x v="31"/>
    <x v="458"/>
    <n v="18"/>
    <x v="21"/>
    <n v="60"/>
    <n v="12"/>
    <n v="45"/>
    <n v="40"/>
    <x v="1"/>
    <x v="0"/>
    <n v="0.7"/>
  </r>
  <r>
    <x v="459"/>
    <s v="FN461"/>
    <s v="LN461"/>
    <x v="1"/>
    <n v="48"/>
    <x v="5"/>
    <x v="6"/>
    <x v="3"/>
    <x v="1"/>
    <x v="1"/>
    <s v="2020-08-27"/>
    <m/>
    <x v="0"/>
    <x v="64"/>
    <x v="1"/>
    <x v="22"/>
    <x v="459"/>
    <n v="14"/>
    <x v="20"/>
    <n v="70"/>
    <n v="0"/>
    <n v="36"/>
    <n v="10"/>
    <x v="1"/>
    <x v="0"/>
    <n v="5.9"/>
  </r>
  <r>
    <x v="460"/>
    <s v="FN462"/>
    <s v="LN462"/>
    <x v="1"/>
    <n v="32"/>
    <x v="2"/>
    <x v="7"/>
    <x v="4"/>
    <x v="2"/>
    <x v="0"/>
    <s v="2020-07-30"/>
    <m/>
    <x v="0"/>
    <x v="35"/>
    <x v="0"/>
    <x v="4"/>
    <x v="460"/>
    <n v="15"/>
    <x v="13"/>
    <n v="72"/>
    <n v="14"/>
    <n v="29"/>
    <n v="52"/>
    <x v="0"/>
    <x v="2"/>
    <n v="6"/>
  </r>
  <r>
    <x v="461"/>
    <s v="FN463"/>
    <s v="LN463"/>
    <x v="1"/>
    <n v="48"/>
    <x v="3"/>
    <x v="2"/>
    <x v="0"/>
    <x v="0"/>
    <x v="1"/>
    <s v="2025-07-20"/>
    <m/>
    <x v="0"/>
    <x v="65"/>
    <x v="1"/>
    <x v="13"/>
    <x v="461"/>
    <n v="7"/>
    <x v="10"/>
    <n v="89"/>
    <n v="20"/>
    <n v="20"/>
    <n v="45"/>
    <x v="1"/>
    <x v="1"/>
    <n v="1"/>
  </r>
  <r>
    <x v="462"/>
    <s v="FN464"/>
    <s v="LN464"/>
    <x v="0"/>
    <n v="55"/>
    <x v="4"/>
    <x v="2"/>
    <x v="1"/>
    <x v="0"/>
    <x v="0"/>
    <s v="2025-01-05"/>
    <m/>
    <x v="0"/>
    <x v="31"/>
    <x v="0"/>
    <x v="31"/>
    <x v="462"/>
    <n v="24"/>
    <x v="7"/>
    <n v="98"/>
    <n v="15"/>
    <n v="22"/>
    <n v="73"/>
    <x v="0"/>
    <x v="2"/>
    <n v="1.6"/>
  </r>
  <r>
    <x v="463"/>
    <s v="FN465"/>
    <s v="LN465"/>
    <x v="1"/>
    <n v="39"/>
    <x v="1"/>
    <x v="4"/>
    <x v="4"/>
    <x v="0"/>
    <x v="0"/>
    <s v="2016-12-20"/>
    <m/>
    <x v="0"/>
    <x v="60"/>
    <x v="2"/>
    <x v="17"/>
    <x v="463"/>
    <n v="19"/>
    <x v="17"/>
    <n v="96"/>
    <n v="12"/>
    <n v="10"/>
    <n v="34"/>
    <x v="1"/>
    <x v="1"/>
    <n v="9.6"/>
  </r>
  <r>
    <x v="464"/>
    <s v="FN466"/>
    <s v="LN466"/>
    <x v="0"/>
    <n v="29"/>
    <x v="2"/>
    <x v="3"/>
    <x v="3"/>
    <x v="0"/>
    <x v="0"/>
    <s v="2018-03-26"/>
    <m/>
    <x v="0"/>
    <x v="38"/>
    <x v="0"/>
    <x v="13"/>
    <x v="464"/>
    <n v="5"/>
    <x v="19"/>
    <n v="74"/>
    <n v="10"/>
    <n v="34"/>
    <n v="38"/>
    <x v="0"/>
    <x v="1"/>
    <n v="8.3000000000000007"/>
  </r>
  <r>
    <x v="465"/>
    <s v="FN467"/>
    <s v="LN467"/>
    <x v="1"/>
    <n v="58"/>
    <x v="1"/>
    <x v="1"/>
    <x v="1"/>
    <x v="1"/>
    <x v="0"/>
    <s v="2020-01-14"/>
    <m/>
    <x v="0"/>
    <x v="30"/>
    <x v="2"/>
    <x v="17"/>
    <x v="465"/>
    <n v="20"/>
    <x v="11"/>
    <n v="51"/>
    <n v="9"/>
    <n v="4"/>
    <n v="40"/>
    <x v="0"/>
    <x v="2"/>
    <n v="6.5"/>
  </r>
  <r>
    <x v="466"/>
    <s v="FN468"/>
    <s v="LN468"/>
    <x v="0"/>
    <n v="43"/>
    <x v="3"/>
    <x v="2"/>
    <x v="3"/>
    <x v="2"/>
    <x v="0"/>
    <s v="2025-04-21"/>
    <m/>
    <x v="0"/>
    <x v="2"/>
    <x v="0"/>
    <x v="1"/>
    <x v="466"/>
    <n v="10"/>
    <x v="9"/>
    <n v="98"/>
    <n v="10"/>
    <n v="38"/>
    <n v="4"/>
    <x v="1"/>
    <x v="2"/>
    <n v="1.3"/>
  </r>
  <r>
    <x v="467"/>
    <s v="FN469"/>
    <s v="LN469"/>
    <x v="1"/>
    <n v="41"/>
    <x v="3"/>
    <x v="10"/>
    <x v="4"/>
    <x v="1"/>
    <x v="1"/>
    <s v="2022-11-04"/>
    <s v="2023-10-01"/>
    <x v="1"/>
    <x v="29"/>
    <x v="2"/>
    <x v="5"/>
    <x v="467"/>
    <n v="10"/>
    <x v="12"/>
    <n v="60"/>
    <n v="17"/>
    <n v="6"/>
    <n v="11"/>
    <x v="1"/>
    <x v="1"/>
    <n v="3.7"/>
  </r>
  <r>
    <x v="468"/>
    <s v="FN470"/>
    <s v="LN470"/>
    <x v="1"/>
    <n v="25"/>
    <x v="5"/>
    <x v="8"/>
    <x v="1"/>
    <x v="2"/>
    <x v="1"/>
    <s v="2017-01-30"/>
    <m/>
    <x v="0"/>
    <x v="7"/>
    <x v="1"/>
    <x v="32"/>
    <x v="468"/>
    <n v="12"/>
    <x v="17"/>
    <n v="52"/>
    <n v="13"/>
    <n v="34"/>
    <n v="4"/>
    <x v="0"/>
    <x v="0"/>
    <n v="9.5"/>
  </r>
  <r>
    <x v="469"/>
    <s v="FN471"/>
    <s v="LN471"/>
    <x v="0"/>
    <n v="28"/>
    <x v="4"/>
    <x v="2"/>
    <x v="2"/>
    <x v="2"/>
    <x v="1"/>
    <s v="2023-07-13"/>
    <m/>
    <x v="0"/>
    <x v="73"/>
    <x v="0"/>
    <x v="3"/>
    <x v="469"/>
    <n v="15"/>
    <x v="12"/>
    <n v="66"/>
    <n v="13"/>
    <n v="43"/>
    <n v="67"/>
    <x v="0"/>
    <x v="1"/>
    <n v="3"/>
  </r>
  <r>
    <x v="470"/>
    <s v="FN472"/>
    <s v="LN472"/>
    <x v="1"/>
    <n v="43"/>
    <x v="1"/>
    <x v="1"/>
    <x v="1"/>
    <x v="1"/>
    <x v="0"/>
    <s v="2019-12-30"/>
    <m/>
    <x v="0"/>
    <x v="45"/>
    <x v="1"/>
    <x v="7"/>
    <x v="470"/>
    <n v="16"/>
    <x v="3"/>
    <n v="81"/>
    <n v="6"/>
    <n v="43"/>
    <n v="60"/>
    <x v="0"/>
    <x v="1"/>
    <n v="6.6"/>
  </r>
  <r>
    <x v="471"/>
    <s v="FN473"/>
    <s v="LN473"/>
    <x v="1"/>
    <n v="35"/>
    <x v="2"/>
    <x v="5"/>
    <x v="0"/>
    <x v="1"/>
    <x v="0"/>
    <s v="2022-11-18"/>
    <m/>
    <x v="0"/>
    <x v="23"/>
    <x v="0"/>
    <x v="11"/>
    <x v="471"/>
    <n v="12"/>
    <x v="21"/>
    <n v="60"/>
    <n v="5"/>
    <n v="56"/>
    <n v="25"/>
    <x v="1"/>
    <x v="2"/>
    <n v="3.7"/>
  </r>
  <r>
    <x v="472"/>
    <s v="FN474"/>
    <s v="LN474"/>
    <x v="0"/>
    <n v="27"/>
    <x v="3"/>
    <x v="10"/>
    <x v="2"/>
    <x v="2"/>
    <x v="0"/>
    <s v="2019-08-17"/>
    <s v="2020-07-31"/>
    <x v="1"/>
    <x v="52"/>
    <x v="2"/>
    <x v="11"/>
    <x v="472"/>
    <n v="25"/>
    <x v="1"/>
    <n v="94"/>
    <n v="7"/>
    <n v="24"/>
    <n v="46"/>
    <x v="1"/>
    <x v="1"/>
    <n v="7"/>
  </r>
  <r>
    <x v="473"/>
    <s v="FN475"/>
    <s v="LN475"/>
    <x v="1"/>
    <n v="49"/>
    <x v="3"/>
    <x v="10"/>
    <x v="3"/>
    <x v="2"/>
    <x v="1"/>
    <s v="2023-06-25"/>
    <m/>
    <x v="0"/>
    <x v="55"/>
    <x v="1"/>
    <x v="18"/>
    <x v="473"/>
    <n v="14"/>
    <x v="0"/>
    <n v="60"/>
    <n v="10"/>
    <n v="21"/>
    <n v="18"/>
    <x v="0"/>
    <x v="2"/>
    <n v="3.1"/>
  </r>
  <r>
    <x v="474"/>
    <s v="FN476"/>
    <s v="LN476"/>
    <x v="0"/>
    <n v="60"/>
    <x v="1"/>
    <x v="1"/>
    <x v="3"/>
    <x v="1"/>
    <x v="0"/>
    <s v="2024-06-15"/>
    <m/>
    <x v="0"/>
    <x v="67"/>
    <x v="1"/>
    <x v="31"/>
    <x v="474"/>
    <n v="10"/>
    <x v="4"/>
    <n v="91"/>
    <n v="10"/>
    <n v="0"/>
    <n v="2"/>
    <x v="1"/>
    <x v="0"/>
    <n v="2.1"/>
  </r>
  <r>
    <x v="475"/>
    <s v="FN477"/>
    <s v="LN477"/>
    <x v="1"/>
    <n v="59"/>
    <x v="5"/>
    <x v="8"/>
    <x v="1"/>
    <x v="2"/>
    <x v="1"/>
    <s v="2018-04-08"/>
    <m/>
    <x v="0"/>
    <x v="22"/>
    <x v="1"/>
    <x v="24"/>
    <x v="475"/>
    <n v="25"/>
    <x v="2"/>
    <n v="64"/>
    <n v="11"/>
    <n v="4"/>
    <n v="29"/>
    <x v="1"/>
    <x v="2"/>
    <n v="8.3000000000000007"/>
  </r>
  <r>
    <x v="476"/>
    <s v="FN478"/>
    <s v="LN478"/>
    <x v="0"/>
    <n v="38"/>
    <x v="0"/>
    <x v="2"/>
    <x v="1"/>
    <x v="1"/>
    <x v="0"/>
    <s v="2025-03-25"/>
    <m/>
    <x v="0"/>
    <x v="59"/>
    <x v="1"/>
    <x v="18"/>
    <x v="476"/>
    <n v="24"/>
    <x v="11"/>
    <n v="63"/>
    <n v="14"/>
    <n v="58"/>
    <n v="65"/>
    <x v="0"/>
    <x v="2"/>
    <n v="1.3"/>
  </r>
  <r>
    <x v="477"/>
    <s v="FN479"/>
    <s v="LN479"/>
    <x v="0"/>
    <n v="47"/>
    <x v="1"/>
    <x v="4"/>
    <x v="0"/>
    <x v="2"/>
    <x v="0"/>
    <s v="2023-03-06"/>
    <m/>
    <x v="0"/>
    <x v="22"/>
    <x v="1"/>
    <x v="13"/>
    <x v="477"/>
    <n v="20"/>
    <x v="15"/>
    <n v="92"/>
    <n v="10"/>
    <n v="3"/>
    <n v="69"/>
    <x v="1"/>
    <x v="1"/>
    <n v="3.4"/>
  </r>
  <r>
    <x v="478"/>
    <s v="FN480"/>
    <s v="LN480"/>
    <x v="1"/>
    <n v="41"/>
    <x v="4"/>
    <x v="2"/>
    <x v="3"/>
    <x v="2"/>
    <x v="1"/>
    <s v="2016-03-15"/>
    <s v="2023-10-14"/>
    <x v="1"/>
    <x v="39"/>
    <x v="2"/>
    <x v="34"/>
    <x v="478"/>
    <n v="19"/>
    <x v="12"/>
    <n v="50"/>
    <n v="2"/>
    <n v="0"/>
    <n v="62"/>
    <x v="1"/>
    <x v="0"/>
    <n v="10.4"/>
  </r>
  <r>
    <x v="479"/>
    <s v="FN481"/>
    <s v="LN481"/>
    <x v="1"/>
    <n v="35"/>
    <x v="0"/>
    <x v="0"/>
    <x v="4"/>
    <x v="1"/>
    <x v="1"/>
    <s v="2020-04-15"/>
    <m/>
    <x v="0"/>
    <x v="49"/>
    <x v="1"/>
    <x v="32"/>
    <x v="479"/>
    <n v="15"/>
    <x v="2"/>
    <n v="56"/>
    <n v="15"/>
    <n v="40"/>
    <n v="29"/>
    <x v="1"/>
    <x v="0"/>
    <n v="6.3"/>
  </r>
  <r>
    <x v="480"/>
    <s v="FN482"/>
    <s v="LN482"/>
    <x v="0"/>
    <n v="52"/>
    <x v="3"/>
    <x v="2"/>
    <x v="4"/>
    <x v="2"/>
    <x v="0"/>
    <s v="2018-10-10"/>
    <m/>
    <x v="0"/>
    <x v="60"/>
    <x v="1"/>
    <x v="12"/>
    <x v="480"/>
    <n v="21"/>
    <x v="25"/>
    <n v="75"/>
    <n v="14"/>
    <n v="9"/>
    <n v="31"/>
    <x v="0"/>
    <x v="2"/>
    <n v="7.8"/>
  </r>
  <r>
    <x v="481"/>
    <s v="FN483"/>
    <s v="LN483"/>
    <x v="1"/>
    <n v="60"/>
    <x v="2"/>
    <x v="7"/>
    <x v="1"/>
    <x v="0"/>
    <x v="1"/>
    <s v="2018-09-26"/>
    <m/>
    <x v="0"/>
    <x v="74"/>
    <x v="2"/>
    <x v="12"/>
    <x v="481"/>
    <n v="24"/>
    <x v="1"/>
    <n v="56"/>
    <n v="4"/>
    <n v="53"/>
    <n v="46"/>
    <x v="0"/>
    <x v="1"/>
    <n v="7.8"/>
  </r>
  <r>
    <x v="482"/>
    <s v="FN484"/>
    <s v="LN484"/>
    <x v="1"/>
    <n v="39"/>
    <x v="2"/>
    <x v="5"/>
    <x v="1"/>
    <x v="2"/>
    <x v="1"/>
    <s v="2021-03-05"/>
    <m/>
    <x v="0"/>
    <x v="30"/>
    <x v="1"/>
    <x v="13"/>
    <x v="482"/>
    <n v="12"/>
    <x v="16"/>
    <n v="94"/>
    <n v="2"/>
    <n v="43"/>
    <n v="20"/>
    <x v="0"/>
    <x v="2"/>
    <n v="5.4"/>
  </r>
  <r>
    <x v="483"/>
    <s v="FN485"/>
    <s v="LN485"/>
    <x v="1"/>
    <n v="57"/>
    <x v="5"/>
    <x v="2"/>
    <x v="4"/>
    <x v="1"/>
    <x v="0"/>
    <s v="2026-05-05"/>
    <m/>
    <x v="0"/>
    <x v="75"/>
    <x v="1"/>
    <x v="3"/>
    <x v="483"/>
    <n v="7"/>
    <x v="4"/>
    <n v="66"/>
    <n v="14"/>
    <n v="3"/>
    <n v="63"/>
    <x v="1"/>
    <x v="1"/>
    <n v="0.2"/>
  </r>
  <r>
    <x v="484"/>
    <s v="FN486"/>
    <s v="LN486"/>
    <x v="0"/>
    <n v="36"/>
    <x v="4"/>
    <x v="6"/>
    <x v="3"/>
    <x v="0"/>
    <x v="0"/>
    <s v="2024-09-12"/>
    <m/>
    <x v="0"/>
    <x v="37"/>
    <x v="0"/>
    <x v="25"/>
    <x v="484"/>
    <n v="17"/>
    <x v="3"/>
    <n v="90"/>
    <n v="6"/>
    <n v="6"/>
    <n v="73"/>
    <x v="0"/>
    <x v="1"/>
    <n v="1.9"/>
  </r>
  <r>
    <x v="485"/>
    <s v="FN487"/>
    <s v="LN487"/>
    <x v="0"/>
    <n v="58"/>
    <x v="0"/>
    <x v="0"/>
    <x v="0"/>
    <x v="0"/>
    <x v="1"/>
    <s v="2020-02-05"/>
    <m/>
    <x v="0"/>
    <x v="35"/>
    <x v="2"/>
    <x v="32"/>
    <x v="485"/>
    <n v="11"/>
    <x v="18"/>
    <n v="88"/>
    <n v="20"/>
    <n v="6"/>
    <n v="71"/>
    <x v="0"/>
    <x v="1"/>
    <n v="6.5"/>
  </r>
  <r>
    <x v="486"/>
    <s v="FN488"/>
    <s v="LN488"/>
    <x v="1"/>
    <n v="21"/>
    <x v="0"/>
    <x v="0"/>
    <x v="3"/>
    <x v="2"/>
    <x v="1"/>
    <s v="2023-03-14"/>
    <m/>
    <x v="0"/>
    <x v="61"/>
    <x v="2"/>
    <x v="24"/>
    <x v="486"/>
    <n v="8"/>
    <x v="13"/>
    <n v="98"/>
    <n v="6"/>
    <n v="60"/>
    <n v="37"/>
    <x v="0"/>
    <x v="0"/>
    <n v="3.4"/>
  </r>
  <r>
    <x v="487"/>
    <s v="FN489"/>
    <s v="LN489"/>
    <x v="1"/>
    <n v="52"/>
    <x v="5"/>
    <x v="8"/>
    <x v="0"/>
    <x v="2"/>
    <x v="0"/>
    <s v="2021-12-31"/>
    <m/>
    <x v="0"/>
    <x v="42"/>
    <x v="0"/>
    <x v="8"/>
    <x v="487"/>
    <n v="22"/>
    <x v="12"/>
    <n v="79"/>
    <n v="15"/>
    <n v="49"/>
    <n v="11"/>
    <x v="0"/>
    <x v="1"/>
    <n v="4.5999999999999996"/>
  </r>
  <r>
    <x v="488"/>
    <s v="FN490"/>
    <s v="LN490"/>
    <x v="1"/>
    <n v="48"/>
    <x v="5"/>
    <x v="8"/>
    <x v="1"/>
    <x v="0"/>
    <x v="1"/>
    <s v="2018-10-21"/>
    <m/>
    <x v="0"/>
    <x v="15"/>
    <x v="1"/>
    <x v="32"/>
    <x v="488"/>
    <n v="15"/>
    <x v="5"/>
    <n v="78"/>
    <n v="8"/>
    <n v="59"/>
    <n v="50"/>
    <x v="0"/>
    <x v="0"/>
    <n v="7.8"/>
  </r>
  <r>
    <x v="489"/>
    <s v="FN491"/>
    <s v="LN491"/>
    <x v="1"/>
    <n v="45"/>
    <x v="5"/>
    <x v="6"/>
    <x v="2"/>
    <x v="0"/>
    <x v="0"/>
    <s v="2021-07-13"/>
    <s v="2024-11-16"/>
    <x v="1"/>
    <x v="75"/>
    <x v="1"/>
    <x v="10"/>
    <x v="489"/>
    <n v="13"/>
    <x v="11"/>
    <n v="61"/>
    <n v="16"/>
    <n v="57"/>
    <n v="44"/>
    <x v="1"/>
    <x v="0"/>
    <n v="5"/>
  </r>
  <r>
    <x v="490"/>
    <s v="FN492"/>
    <s v="LN492"/>
    <x v="1"/>
    <n v="33"/>
    <x v="5"/>
    <x v="6"/>
    <x v="4"/>
    <x v="2"/>
    <x v="0"/>
    <s v="2020-07-24"/>
    <m/>
    <x v="0"/>
    <x v="34"/>
    <x v="0"/>
    <x v="30"/>
    <x v="490"/>
    <n v="5"/>
    <x v="0"/>
    <n v="51"/>
    <n v="2"/>
    <n v="22"/>
    <n v="70"/>
    <x v="0"/>
    <x v="0"/>
    <n v="6"/>
  </r>
  <r>
    <x v="491"/>
    <s v="FN493"/>
    <s v="LN493"/>
    <x v="1"/>
    <n v="49"/>
    <x v="3"/>
    <x v="10"/>
    <x v="4"/>
    <x v="2"/>
    <x v="0"/>
    <s v="2021-01-03"/>
    <m/>
    <x v="0"/>
    <x v="4"/>
    <x v="0"/>
    <x v="11"/>
    <x v="491"/>
    <n v="24"/>
    <x v="3"/>
    <n v="100"/>
    <n v="20"/>
    <n v="16"/>
    <n v="7"/>
    <x v="1"/>
    <x v="1"/>
    <n v="5.6"/>
  </r>
  <r>
    <x v="492"/>
    <s v="FN494"/>
    <s v="LN494"/>
    <x v="1"/>
    <n v="32"/>
    <x v="2"/>
    <x v="7"/>
    <x v="2"/>
    <x v="0"/>
    <x v="0"/>
    <s v="2016-02-24"/>
    <m/>
    <x v="0"/>
    <x v="42"/>
    <x v="2"/>
    <x v="14"/>
    <x v="492"/>
    <n v="14"/>
    <x v="5"/>
    <n v="63"/>
    <n v="11"/>
    <n v="40"/>
    <n v="63"/>
    <x v="0"/>
    <x v="0"/>
    <n v="10.4"/>
  </r>
  <r>
    <x v="493"/>
    <s v="FN495"/>
    <s v="LN495"/>
    <x v="1"/>
    <n v="27"/>
    <x v="2"/>
    <x v="5"/>
    <x v="1"/>
    <x v="2"/>
    <x v="0"/>
    <s v="2019-04-13"/>
    <s v="2021-07-12"/>
    <x v="1"/>
    <x v="26"/>
    <x v="2"/>
    <x v="30"/>
    <x v="493"/>
    <n v="24"/>
    <x v="3"/>
    <n v="53"/>
    <n v="10"/>
    <n v="40"/>
    <n v="27"/>
    <x v="0"/>
    <x v="1"/>
    <n v="7.3"/>
  </r>
  <r>
    <x v="494"/>
    <s v="FN496"/>
    <s v="LN496"/>
    <x v="0"/>
    <n v="27"/>
    <x v="5"/>
    <x v="2"/>
    <x v="0"/>
    <x v="0"/>
    <x v="0"/>
    <s v="2023-04-28"/>
    <m/>
    <x v="0"/>
    <x v="1"/>
    <x v="2"/>
    <x v="24"/>
    <x v="494"/>
    <n v="25"/>
    <x v="10"/>
    <n v="88"/>
    <n v="17"/>
    <n v="22"/>
    <n v="9"/>
    <x v="1"/>
    <x v="1"/>
    <n v="3.3"/>
  </r>
  <r>
    <x v="495"/>
    <s v="FN497"/>
    <s v="LN497"/>
    <x v="1"/>
    <n v="51"/>
    <x v="1"/>
    <x v="1"/>
    <x v="3"/>
    <x v="2"/>
    <x v="1"/>
    <s v="2026-01-29"/>
    <s v="2028-08-08"/>
    <x v="1"/>
    <x v="45"/>
    <x v="0"/>
    <x v="24"/>
    <x v="495"/>
    <n v="19"/>
    <x v="6"/>
    <n v="93"/>
    <n v="19"/>
    <n v="20"/>
    <n v="53"/>
    <x v="0"/>
    <x v="0"/>
    <n v="0.5"/>
  </r>
  <r>
    <x v="496"/>
    <s v="FN498"/>
    <s v="LN498"/>
    <x v="0"/>
    <n v="58"/>
    <x v="1"/>
    <x v="1"/>
    <x v="1"/>
    <x v="1"/>
    <x v="1"/>
    <s v="2021-06-22"/>
    <m/>
    <x v="0"/>
    <x v="61"/>
    <x v="2"/>
    <x v="17"/>
    <x v="496"/>
    <n v="20"/>
    <x v="10"/>
    <n v="59"/>
    <n v="9"/>
    <n v="52"/>
    <n v="76"/>
    <x v="1"/>
    <x v="2"/>
    <n v="5.0999999999999996"/>
  </r>
  <r>
    <x v="497"/>
    <s v="FN499"/>
    <s v="LN499"/>
    <x v="1"/>
    <n v="40"/>
    <x v="0"/>
    <x v="0"/>
    <x v="3"/>
    <x v="1"/>
    <x v="1"/>
    <s v="2020-04-10"/>
    <m/>
    <x v="0"/>
    <x v="23"/>
    <x v="0"/>
    <x v="33"/>
    <x v="497"/>
    <n v="15"/>
    <x v="12"/>
    <n v="75"/>
    <n v="4"/>
    <n v="12"/>
    <n v="53"/>
    <x v="0"/>
    <x v="2"/>
    <n v="6.3"/>
  </r>
  <r>
    <x v="498"/>
    <s v="FN500"/>
    <s v="LN500"/>
    <x v="1"/>
    <n v="23"/>
    <x v="1"/>
    <x v="4"/>
    <x v="2"/>
    <x v="1"/>
    <x v="1"/>
    <s v="2025-11-19"/>
    <m/>
    <x v="0"/>
    <x v="72"/>
    <x v="1"/>
    <x v="25"/>
    <x v="498"/>
    <n v="14"/>
    <x v="16"/>
    <n v="79"/>
    <n v="20"/>
    <n v="43"/>
    <n v="80"/>
    <x v="1"/>
    <x v="1"/>
    <n v="0.7"/>
  </r>
  <r>
    <x v="499"/>
    <s v="FN501"/>
    <s v="LN501"/>
    <x v="1"/>
    <n v="50"/>
    <x v="0"/>
    <x v="2"/>
    <x v="0"/>
    <x v="2"/>
    <x v="1"/>
    <s v="2017-01-20"/>
    <m/>
    <x v="0"/>
    <x v="32"/>
    <x v="1"/>
    <x v="8"/>
    <x v="499"/>
    <n v="6"/>
    <x v="18"/>
    <n v="87"/>
    <n v="16"/>
    <n v="23"/>
    <n v="78"/>
    <x v="1"/>
    <x v="1"/>
    <n v="9.5"/>
  </r>
  <r>
    <x v="500"/>
    <s v="FN502"/>
    <s v="LN502"/>
    <x v="1"/>
    <n v="30"/>
    <x v="4"/>
    <x v="2"/>
    <x v="1"/>
    <x v="0"/>
    <x v="1"/>
    <s v="2020-08-07"/>
    <m/>
    <x v="0"/>
    <x v="4"/>
    <x v="1"/>
    <x v="35"/>
    <x v="500"/>
    <n v="5"/>
    <x v="0"/>
    <n v="51"/>
    <n v="19"/>
    <n v="5"/>
    <n v="10"/>
    <x v="1"/>
    <x v="2"/>
    <n v="6"/>
  </r>
  <r>
    <x v="501"/>
    <s v="FN503"/>
    <s v="LN503"/>
    <x v="1"/>
    <n v="45"/>
    <x v="4"/>
    <x v="2"/>
    <x v="2"/>
    <x v="0"/>
    <x v="1"/>
    <s v="2019-01-22"/>
    <s v="2027-01-18"/>
    <x v="1"/>
    <x v="8"/>
    <x v="1"/>
    <x v="33"/>
    <x v="501"/>
    <n v="24"/>
    <x v="8"/>
    <n v="89"/>
    <n v="6"/>
    <n v="15"/>
    <n v="54"/>
    <x v="0"/>
    <x v="2"/>
    <n v="7.5"/>
  </r>
  <r>
    <x v="502"/>
    <s v="FN504"/>
    <s v="LN504"/>
    <x v="0"/>
    <n v="30"/>
    <x v="3"/>
    <x v="10"/>
    <x v="0"/>
    <x v="2"/>
    <x v="0"/>
    <s v="2026-01-13"/>
    <m/>
    <x v="0"/>
    <x v="2"/>
    <x v="1"/>
    <x v="28"/>
    <x v="502"/>
    <n v="5"/>
    <x v="15"/>
    <n v="73"/>
    <n v="15"/>
    <n v="55"/>
    <n v="34"/>
    <x v="1"/>
    <x v="0"/>
    <n v="0.5"/>
  </r>
  <r>
    <x v="503"/>
    <s v="FN505"/>
    <s v="LN505"/>
    <x v="0"/>
    <n v="37"/>
    <x v="5"/>
    <x v="2"/>
    <x v="0"/>
    <x v="0"/>
    <x v="1"/>
    <s v="2024-01-19"/>
    <m/>
    <x v="0"/>
    <x v="14"/>
    <x v="1"/>
    <x v="25"/>
    <x v="503"/>
    <n v="16"/>
    <x v="11"/>
    <n v="87"/>
    <n v="18"/>
    <n v="45"/>
    <n v="57"/>
    <x v="1"/>
    <x v="1"/>
    <n v="2.5"/>
  </r>
  <r>
    <x v="504"/>
    <s v="FN506"/>
    <s v="LN506"/>
    <x v="1"/>
    <n v="44"/>
    <x v="1"/>
    <x v="4"/>
    <x v="3"/>
    <x v="0"/>
    <x v="1"/>
    <s v="2022-11-21"/>
    <m/>
    <x v="0"/>
    <x v="23"/>
    <x v="0"/>
    <x v="35"/>
    <x v="504"/>
    <n v="22"/>
    <x v="5"/>
    <n v="73"/>
    <n v="0"/>
    <n v="17"/>
    <n v="19"/>
    <x v="0"/>
    <x v="0"/>
    <n v="3.7"/>
  </r>
  <r>
    <x v="505"/>
    <s v="FN507"/>
    <s v="LN507"/>
    <x v="1"/>
    <n v="24"/>
    <x v="2"/>
    <x v="5"/>
    <x v="4"/>
    <x v="2"/>
    <x v="0"/>
    <s v="2023-08-05"/>
    <m/>
    <x v="0"/>
    <x v="44"/>
    <x v="2"/>
    <x v="14"/>
    <x v="505"/>
    <n v="20"/>
    <x v="17"/>
    <n v="62"/>
    <n v="1"/>
    <n v="23"/>
    <n v="48"/>
    <x v="1"/>
    <x v="2"/>
    <n v="3"/>
  </r>
  <r>
    <x v="506"/>
    <s v="FN508"/>
    <s v="LN508"/>
    <x v="0"/>
    <n v="29"/>
    <x v="5"/>
    <x v="2"/>
    <x v="2"/>
    <x v="1"/>
    <x v="1"/>
    <s v="2019-03-28"/>
    <m/>
    <x v="0"/>
    <x v="61"/>
    <x v="0"/>
    <x v="30"/>
    <x v="506"/>
    <n v="24"/>
    <x v="20"/>
    <n v="80"/>
    <n v="10"/>
    <n v="30"/>
    <n v="20"/>
    <x v="1"/>
    <x v="0"/>
    <n v="7.3"/>
  </r>
  <r>
    <x v="507"/>
    <s v="FN509"/>
    <s v="LN509"/>
    <x v="0"/>
    <n v="46"/>
    <x v="2"/>
    <x v="3"/>
    <x v="0"/>
    <x v="2"/>
    <x v="1"/>
    <s v="2021-09-11"/>
    <m/>
    <x v="0"/>
    <x v="40"/>
    <x v="0"/>
    <x v="0"/>
    <x v="507"/>
    <n v="22"/>
    <x v="25"/>
    <n v="53"/>
    <n v="12"/>
    <n v="47"/>
    <n v="8"/>
    <x v="1"/>
    <x v="0"/>
    <n v="4.9000000000000004"/>
  </r>
  <r>
    <x v="508"/>
    <s v="FN510"/>
    <s v="LN510"/>
    <x v="0"/>
    <n v="43"/>
    <x v="1"/>
    <x v="4"/>
    <x v="4"/>
    <x v="0"/>
    <x v="0"/>
    <s v="2024-08-14"/>
    <m/>
    <x v="0"/>
    <x v="16"/>
    <x v="1"/>
    <x v="14"/>
    <x v="508"/>
    <n v="13"/>
    <x v="9"/>
    <n v="86"/>
    <n v="0"/>
    <n v="55"/>
    <n v="72"/>
    <x v="1"/>
    <x v="2"/>
    <n v="2"/>
  </r>
  <r>
    <x v="509"/>
    <s v="FN511"/>
    <s v="LN511"/>
    <x v="0"/>
    <n v="41"/>
    <x v="3"/>
    <x v="10"/>
    <x v="1"/>
    <x v="0"/>
    <x v="0"/>
    <s v="2018-05-26"/>
    <m/>
    <x v="0"/>
    <x v="43"/>
    <x v="1"/>
    <x v="1"/>
    <x v="509"/>
    <n v="21"/>
    <x v="22"/>
    <n v="63"/>
    <n v="16"/>
    <n v="42"/>
    <n v="49"/>
    <x v="0"/>
    <x v="0"/>
    <n v="8.1999999999999993"/>
  </r>
  <r>
    <x v="510"/>
    <s v="FN512"/>
    <s v="LN512"/>
    <x v="0"/>
    <n v="35"/>
    <x v="3"/>
    <x v="2"/>
    <x v="1"/>
    <x v="0"/>
    <x v="0"/>
    <s v="2026-04-20"/>
    <m/>
    <x v="0"/>
    <x v="5"/>
    <x v="1"/>
    <x v="29"/>
    <x v="510"/>
    <n v="9"/>
    <x v="17"/>
    <n v="69"/>
    <n v="3"/>
    <n v="40"/>
    <n v="52"/>
    <x v="1"/>
    <x v="0"/>
    <n v="0.3"/>
  </r>
  <r>
    <x v="511"/>
    <s v="FN513"/>
    <s v="LN513"/>
    <x v="1"/>
    <n v="54"/>
    <x v="3"/>
    <x v="2"/>
    <x v="1"/>
    <x v="2"/>
    <x v="1"/>
    <s v="2023-06-13"/>
    <m/>
    <x v="0"/>
    <x v="39"/>
    <x v="2"/>
    <x v="5"/>
    <x v="511"/>
    <n v="17"/>
    <x v="25"/>
    <n v="98"/>
    <n v="12"/>
    <n v="34"/>
    <n v="72"/>
    <x v="0"/>
    <x v="1"/>
    <n v="3.1"/>
  </r>
  <r>
    <x v="512"/>
    <s v="FN514"/>
    <s v="LN514"/>
    <x v="1"/>
    <n v="53"/>
    <x v="3"/>
    <x v="2"/>
    <x v="0"/>
    <x v="2"/>
    <x v="1"/>
    <s v="2020-08-03"/>
    <s v="2027-08-05"/>
    <x v="1"/>
    <x v="31"/>
    <x v="2"/>
    <x v="21"/>
    <x v="512"/>
    <n v="8"/>
    <x v="6"/>
    <n v="90"/>
    <n v="13"/>
    <n v="16"/>
    <n v="62"/>
    <x v="0"/>
    <x v="1"/>
    <n v="6"/>
  </r>
  <r>
    <x v="513"/>
    <s v="FN515"/>
    <s v="LN515"/>
    <x v="1"/>
    <n v="25"/>
    <x v="1"/>
    <x v="1"/>
    <x v="2"/>
    <x v="1"/>
    <x v="1"/>
    <s v="2017-05-21"/>
    <m/>
    <x v="0"/>
    <x v="40"/>
    <x v="2"/>
    <x v="18"/>
    <x v="513"/>
    <n v="6"/>
    <x v="0"/>
    <n v="53"/>
    <n v="9"/>
    <n v="10"/>
    <n v="28"/>
    <x v="1"/>
    <x v="0"/>
    <n v="9.1999999999999993"/>
  </r>
  <r>
    <x v="514"/>
    <s v="FN516"/>
    <s v="LN516"/>
    <x v="0"/>
    <n v="50"/>
    <x v="4"/>
    <x v="2"/>
    <x v="2"/>
    <x v="0"/>
    <x v="1"/>
    <s v="2016-02-26"/>
    <m/>
    <x v="0"/>
    <x v="36"/>
    <x v="1"/>
    <x v="7"/>
    <x v="514"/>
    <n v="23"/>
    <x v="20"/>
    <n v="59"/>
    <n v="15"/>
    <n v="47"/>
    <n v="69"/>
    <x v="1"/>
    <x v="1"/>
    <n v="10.4"/>
  </r>
  <r>
    <x v="515"/>
    <s v="FN517"/>
    <s v="LN517"/>
    <x v="0"/>
    <n v="33"/>
    <x v="4"/>
    <x v="2"/>
    <x v="2"/>
    <x v="1"/>
    <x v="0"/>
    <s v="2021-07-14"/>
    <m/>
    <x v="0"/>
    <x v="70"/>
    <x v="2"/>
    <x v="32"/>
    <x v="515"/>
    <n v="6"/>
    <x v="12"/>
    <n v="54"/>
    <n v="20"/>
    <n v="24"/>
    <n v="53"/>
    <x v="1"/>
    <x v="0"/>
    <n v="5"/>
  </r>
  <r>
    <x v="516"/>
    <s v="FN518"/>
    <s v="LN518"/>
    <x v="1"/>
    <n v="60"/>
    <x v="3"/>
    <x v="2"/>
    <x v="2"/>
    <x v="2"/>
    <x v="0"/>
    <s v="2024-10-16"/>
    <m/>
    <x v="0"/>
    <x v="38"/>
    <x v="1"/>
    <x v="31"/>
    <x v="516"/>
    <n v="12"/>
    <x v="22"/>
    <n v="80"/>
    <n v="5"/>
    <n v="14"/>
    <n v="31"/>
    <x v="0"/>
    <x v="1"/>
    <n v="1.8"/>
  </r>
  <r>
    <x v="517"/>
    <s v="FN519"/>
    <s v="LN519"/>
    <x v="0"/>
    <n v="40"/>
    <x v="2"/>
    <x v="3"/>
    <x v="1"/>
    <x v="2"/>
    <x v="1"/>
    <s v="2024-06-22"/>
    <m/>
    <x v="0"/>
    <x v="0"/>
    <x v="2"/>
    <x v="1"/>
    <x v="517"/>
    <n v="22"/>
    <x v="5"/>
    <n v="84"/>
    <n v="10"/>
    <n v="57"/>
    <n v="11"/>
    <x v="1"/>
    <x v="0"/>
    <n v="2.1"/>
  </r>
  <r>
    <x v="518"/>
    <s v="FN520"/>
    <s v="LN520"/>
    <x v="0"/>
    <n v="41"/>
    <x v="2"/>
    <x v="3"/>
    <x v="3"/>
    <x v="1"/>
    <x v="0"/>
    <s v="2016-08-09"/>
    <m/>
    <x v="0"/>
    <x v="45"/>
    <x v="1"/>
    <x v="11"/>
    <x v="518"/>
    <n v="8"/>
    <x v="25"/>
    <n v="89"/>
    <n v="20"/>
    <n v="0"/>
    <n v="18"/>
    <x v="0"/>
    <x v="1"/>
    <n v="10"/>
  </r>
  <r>
    <x v="519"/>
    <s v="FN521"/>
    <s v="LN521"/>
    <x v="0"/>
    <n v="32"/>
    <x v="2"/>
    <x v="5"/>
    <x v="2"/>
    <x v="1"/>
    <x v="1"/>
    <s v="2021-04-29"/>
    <m/>
    <x v="0"/>
    <x v="60"/>
    <x v="0"/>
    <x v="14"/>
    <x v="519"/>
    <n v="14"/>
    <x v="9"/>
    <n v="93"/>
    <n v="14"/>
    <n v="33"/>
    <n v="55"/>
    <x v="1"/>
    <x v="0"/>
    <n v="5.3"/>
  </r>
  <r>
    <x v="520"/>
    <s v="FN522"/>
    <s v="LN522"/>
    <x v="1"/>
    <n v="30"/>
    <x v="1"/>
    <x v="4"/>
    <x v="2"/>
    <x v="2"/>
    <x v="0"/>
    <s v="2017-02-22"/>
    <m/>
    <x v="0"/>
    <x v="43"/>
    <x v="0"/>
    <x v="5"/>
    <x v="520"/>
    <n v="22"/>
    <x v="15"/>
    <n v="82"/>
    <n v="13"/>
    <n v="27"/>
    <n v="27"/>
    <x v="0"/>
    <x v="0"/>
    <n v="9.4"/>
  </r>
  <r>
    <x v="521"/>
    <s v="FN523"/>
    <s v="LN523"/>
    <x v="1"/>
    <n v="33"/>
    <x v="2"/>
    <x v="3"/>
    <x v="2"/>
    <x v="2"/>
    <x v="0"/>
    <s v="2019-06-22"/>
    <m/>
    <x v="0"/>
    <x v="47"/>
    <x v="0"/>
    <x v="30"/>
    <x v="521"/>
    <n v="12"/>
    <x v="5"/>
    <n v="67"/>
    <n v="18"/>
    <n v="25"/>
    <n v="52"/>
    <x v="0"/>
    <x v="1"/>
    <n v="7.1"/>
  </r>
  <r>
    <x v="522"/>
    <s v="FN524"/>
    <s v="LN524"/>
    <x v="1"/>
    <n v="37"/>
    <x v="4"/>
    <x v="9"/>
    <x v="0"/>
    <x v="0"/>
    <x v="1"/>
    <s v="2019-08-26"/>
    <m/>
    <x v="0"/>
    <x v="27"/>
    <x v="2"/>
    <x v="19"/>
    <x v="522"/>
    <n v="22"/>
    <x v="22"/>
    <n v="75"/>
    <n v="9"/>
    <n v="50"/>
    <n v="54"/>
    <x v="0"/>
    <x v="1"/>
    <n v="6.9"/>
  </r>
  <r>
    <x v="523"/>
    <s v="FN525"/>
    <s v="LN525"/>
    <x v="1"/>
    <n v="37"/>
    <x v="0"/>
    <x v="0"/>
    <x v="2"/>
    <x v="2"/>
    <x v="1"/>
    <s v="2022-11-07"/>
    <m/>
    <x v="0"/>
    <x v="30"/>
    <x v="1"/>
    <x v="2"/>
    <x v="523"/>
    <n v="11"/>
    <x v="5"/>
    <n v="80"/>
    <n v="8"/>
    <n v="19"/>
    <n v="30"/>
    <x v="0"/>
    <x v="0"/>
    <n v="3.7"/>
  </r>
  <r>
    <x v="524"/>
    <s v="FN526"/>
    <s v="LN526"/>
    <x v="0"/>
    <n v="33"/>
    <x v="4"/>
    <x v="2"/>
    <x v="0"/>
    <x v="0"/>
    <x v="1"/>
    <s v="2023-11-25"/>
    <m/>
    <x v="0"/>
    <x v="35"/>
    <x v="2"/>
    <x v="0"/>
    <x v="524"/>
    <n v="14"/>
    <x v="18"/>
    <n v="57"/>
    <n v="15"/>
    <n v="50"/>
    <n v="77"/>
    <x v="1"/>
    <x v="2"/>
    <n v="2.7"/>
  </r>
  <r>
    <x v="525"/>
    <s v="FN527"/>
    <s v="LN527"/>
    <x v="0"/>
    <n v="21"/>
    <x v="2"/>
    <x v="5"/>
    <x v="1"/>
    <x v="2"/>
    <x v="0"/>
    <s v="2021-06-17"/>
    <m/>
    <x v="0"/>
    <x v="31"/>
    <x v="1"/>
    <x v="17"/>
    <x v="525"/>
    <n v="25"/>
    <x v="7"/>
    <n v="55"/>
    <n v="14"/>
    <n v="60"/>
    <n v="9"/>
    <x v="0"/>
    <x v="0"/>
    <n v="5.0999999999999996"/>
  </r>
  <r>
    <x v="526"/>
    <s v="FN528"/>
    <s v="LN528"/>
    <x v="0"/>
    <n v="32"/>
    <x v="2"/>
    <x v="7"/>
    <x v="4"/>
    <x v="2"/>
    <x v="0"/>
    <s v="2026-01-20"/>
    <m/>
    <x v="0"/>
    <x v="58"/>
    <x v="1"/>
    <x v="14"/>
    <x v="526"/>
    <n v="16"/>
    <x v="19"/>
    <n v="60"/>
    <n v="13"/>
    <n v="12"/>
    <n v="26"/>
    <x v="1"/>
    <x v="0"/>
    <n v="0.5"/>
  </r>
  <r>
    <x v="527"/>
    <s v="FN529"/>
    <s v="LN529"/>
    <x v="1"/>
    <n v="33"/>
    <x v="0"/>
    <x v="2"/>
    <x v="0"/>
    <x v="2"/>
    <x v="0"/>
    <s v="2023-07-29"/>
    <m/>
    <x v="0"/>
    <x v="61"/>
    <x v="2"/>
    <x v="26"/>
    <x v="527"/>
    <n v="7"/>
    <x v="1"/>
    <n v="79"/>
    <n v="11"/>
    <n v="36"/>
    <n v="70"/>
    <x v="0"/>
    <x v="2"/>
    <n v="3"/>
  </r>
  <r>
    <x v="528"/>
    <s v="FN530"/>
    <s v="LN530"/>
    <x v="1"/>
    <n v="55"/>
    <x v="0"/>
    <x v="2"/>
    <x v="0"/>
    <x v="0"/>
    <x v="0"/>
    <s v="2026-02-27"/>
    <m/>
    <x v="0"/>
    <x v="1"/>
    <x v="2"/>
    <x v="20"/>
    <x v="528"/>
    <n v="23"/>
    <x v="0"/>
    <n v="76"/>
    <n v="19"/>
    <n v="24"/>
    <n v="55"/>
    <x v="1"/>
    <x v="2"/>
    <n v="0.4"/>
  </r>
  <r>
    <x v="529"/>
    <s v="FN531"/>
    <s v="LN531"/>
    <x v="1"/>
    <n v="40"/>
    <x v="3"/>
    <x v="2"/>
    <x v="4"/>
    <x v="1"/>
    <x v="1"/>
    <s v="2025-03-26"/>
    <m/>
    <x v="0"/>
    <x v="53"/>
    <x v="1"/>
    <x v="14"/>
    <x v="529"/>
    <n v="16"/>
    <x v="16"/>
    <n v="74"/>
    <n v="19"/>
    <n v="19"/>
    <n v="59"/>
    <x v="1"/>
    <x v="1"/>
    <n v="1.3"/>
  </r>
  <r>
    <x v="530"/>
    <s v="FN532"/>
    <s v="LN532"/>
    <x v="1"/>
    <n v="53"/>
    <x v="1"/>
    <x v="4"/>
    <x v="3"/>
    <x v="1"/>
    <x v="0"/>
    <s v="2022-12-12"/>
    <m/>
    <x v="0"/>
    <x v="68"/>
    <x v="1"/>
    <x v="5"/>
    <x v="530"/>
    <n v="14"/>
    <x v="17"/>
    <n v="97"/>
    <n v="14"/>
    <n v="35"/>
    <n v="68"/>
    <x v="1"/>
    <x v="0"/>
    <n v="3.6"/>
  </r>
  <r>
    <x v="531"/>
    <s v="FN533"/>
    <s v="LN533"/>
    <x v="1"/>
    <n v="44"/>
    <x v="1"/>
    <x v="1"/>
    <x v="2"/>
    <x v="0"/>
    <x v="0"/>
    <s v="2022-01-30"/>
    <s v="2025-05-07"/>
    <x v="1"/>
    <x v="49"/>
    <x v="2"/>
    <x v="8"/>
    <x v="531"/>
    <n v="12"/>
    <x v="6"/>
    <n v="90"/>
    <n v="6"/>
    <n v="37"/>
    <n v="27"/>
    <x v="1"/>
    <x v="0"/>
    <n v="4.5"/>
  </r>
  <r>
    <x v="532"/>
    <s v="FN534"/>
    <s v="LN534"/>
    <x v="0"/>
    <n v="51"/>
    <x v="0"/>
    <x v="2"/>
    <x v="2"/>
    <x v="2"/>
    <x v="1"/>
    <s v="2025-12-28"/>
    <m/>
    <x v="0"/>
    <x v="79"/>
    <x v="2"/>
    <x v="16"/>
    <x v="532"/>
    <n v="17"/>
    <x v="12"/>
    <n v="57"/>
    <n v="8"/>
    <n v="56"/>
    <n v="52"/>
    <x v="0"/>
    <x v="2"/>
    <n v="0.6"/>
  </r>
  <r>
    <x v="533"/>
    <s v="FN535"/>
    <s v="LN535"/>
    <x v="1"/>
    <n v="57"/>
    <x v="3"/>
    <x v="10"/>
    <x v="2"/>
    <x v="1"/>
    <x v="0"/>
    <s v="2019-03-03"/>
    <m/>
    <x v="0"/>
    <x v="22"/>
    <x v="2"/>
    <x v="15"/>
    <x v="533"/>
    <n v="23"/>
    <x v="8"/>
    <n v="52"/>
    <n v="18"/>
    <n v="17"/>
    <n v="35"/>
    <x v="0"/>
    <x v="1"/>
    <n v="7.4"/>
  </r>
  <r>
    <x v="534"/>
    <s v="FN536"/>
    <s v="LN536"/>
    <x v="1"/>
    <n v="25"/>
    <x v="0"/>
    <x v="0"/>
    <x v="4"/>
    <x v="0"/>
    <x v="1"/>
    <s v="2024-11-22"/>
    <m/>
    <x v="0"/>
    <x v="56"/>
    <x v="0"/>
    <x v="30"/>
    <x v="534"/>
    <n v="24"/>
    <x v="4"/>
    <n v="84"/>
    <n v="12"/>
    <n v="9"/>
    <n v="27"/>
    <x v="0"/>
    <x v="1"/>
    <n v="1.7"/>
  </r>
  <r>
    <x v="535"/>
    <s v="FN537"/>
    <s v="LN537"/>
    <x v="0"/>
    <n v="59"/>
    <x v="1"/>
    <x v="1"/>
    <x v="1"/>
    <x v="0"/>
    <x v="0"/>
    <s v="2016-01-15"/>
    <s v="2017-03-28"/>
    <x v="1"/>
    <x v="77"/>
    <x v="2"/>
    <x v="13"/>
    <x v="535"/>
    <n v="21"/>
    <x v="0"/>
    <n v="81"/>
    <n v="0"/>
    <n v="35"/>
    <n v="62"/>
    <x v="1"/>
    <x v="1"/>
    <n v="10.5"/>
  </r>
  <r>
    <x v="536"/>
    <s v="FN538"/>
    <s v="LN538"/>
    <x v="1"/>
    <n v="29"/>
    <x v="0"/>
    <x v="0"/>
    <x v="2"/>
    <x v="1"/>
    <x v="1"/>
    <s v="2019-03-14"/>
    <m/>
    <x v="0"/>
    <x v="11"/>
    <x v="2"/>
    <x v="26"/>
    <x v="536"/>
    <n v="14"/>
    <x v="22"/>
    <n v="88"/>
    <n v="16"/>
    <n v="27"/>
    <n v="9"/>
    <x v="1"/>
    <x v="0"/>
    <n v="7.4"/>
  </r>
  <r>
    <x v="537"/>
    <s v="FN539"/>
    <s v="LN539"/>
    <x v="0"/>
    <n v="28"/>
    <x v="5"/>
    <x v="6"/>
    <x v="1"/>
    <x v="1"/>
    <x v="1"/>
    <s v="2024-02-06"/>
    <m/>
    <x v="0"/>
    <x v="8"/>
    <x v="2"/>
    <x v="34"/>
    <x v="537"/>
    <n v="7"/>
    <x v="18"/>
    <n v="85"/>
    <n v="13"/>
    <n v="50"/>
    <n v="5"/>
    <x v="1"/>
    <x v="2"/>
    <n v="2.5"/>
  </r>
  <r>
    <x v="538"/>
    <s v="FN540"/>
    <s v="LN540"/>
    <x v="1"/>
    <n v="53"/>
    <x v="3"/>
    <x v="2"/>
    <x v="1"/>
    <x v="2"/>
    <x v="0"/>
    <s v="2023-07-01"/>
    <m/>
    <x v="0"/>
    <x v="23"/>
    <x v="1"/>
    <x v="32"/>
    <x v="538"/>
    <n v="5"/>
    <x v="8"/>
    <n v="50"/>
    <n v="3"/>
    <n v="26"/>
    <n v="71"/>
    <x v="1"/>
    <x v="0"/>
    <n v="3.1"/>
  </r>
  <r>
    <x v="539"/>
    <s v="FN541"/>
    <s v="LN541"/>
    <x v="1"/>
    <n v="59"/>
    <x v="1"/>
    <x v="1"/>
    <x v="1"/>
    <x v="2"/>
    <x v="1"/>
    <s v="2017-03-23"/>
    <m/>
    <x v="0"/>
    <x v="33"/>
    <x v="0"/>
    <x v="11"/>
    <x v="539"/>
    <n v="9"/>
    <x v="19"/>
    <n v="83"/>
    <n v="2"/>
    <n v="59"/>
    <n v="56"/>
    <x v="0"/>
    <x v="0"/>
    <n v="9.4"/>
  </r>
  <r>
    <x v="540"/>
    <s v="FN542"/>
    <s v="LN542"/>
    <x v="1"/>
    <n v="36"/>
    <x v="4"/>
    <x v="9"/>
    <x v="3"/>
    <x v="2"/>
    <x v="1"/>
    <s v="2020-04-13"/>
    <m/>
    <x v="0"/>
    <x v="42"/>
    <x v="2"/>
    <x v="34"/>
    <x v="540"/>
    <n v="19"/>
    <x v="10"/>
    <n v="79"/>
    <n v="9"/>
    <n v="45"/>
    <n v="26"/>
    <x v="1"/>
    <x v="2"/>
    <n v="6.3"/>
  </r>
  <r>
    <x v="541"/>
    <s v="FN543"/>
    <s v="LN543"/>
    <x v="0"/>
    <n v="57"/>
    <x v="0"/>
    <x v="0"/>
    <x v="0"/>
    <x v="2"/>
    <x v="0"/>
    <s v="2023-07-14"/>
    <m/>
    <x v="0"/>
    <x v="9"/>
    <x v="2"/>
    <x v="18"/>
    <x v="541"/>
    <n v="9"/>
    <x v="14"/>
    <n v="98"/>
    <n v="5"/>
    <n v="34"/>
    <n v="54"/>
    <x v="0"/>
    <x v="2"/>
    <n v="3"/>
  </r>
  <r>
    <x v="542"/>
    <s v="FN544"/>
    <s v="LN544"/>
    <x v="0"/>
    <n v="48"/>
    <x v="2"/>
    <x v="3"/>
    <x v="1"/>
    <x v="1"/>
    <x v="0"/>
    <s v="2018-02-10"/>
    <m/>
    <x v="0"/>
    <x v="0"/>
    <x v="0"/>
    <x v="3"/>
    <x v="542"/>
    <n v="20"/>
    <x v="17"/>
    <n v="78"/>
    <n v="1"/>
    <n v="17"/>
    <n v="62"/>
    <x v="0"/>
    <x v="1"/>
    <n v="8.5"/>
  </r>
  <r>
    <x v="543"/>
    <s v="FN545"/>
    <s v="LN545"/>
    <x v="0"/>
    <n v="34"/>
    <x v="3"/>
    <x v="2"/>
    <x v="1"/>
    <x v="0"/>
    <x v="1"/>
    <s v="2016-02-04"/>
    <m/>
    <x v="0"/>
    <x v="6"/>
    <x v="0"/>
    <x v="3"/>
    <x v="543"/>
    <n v="18"/>
    <x v="1"/>
    <n v="100"/>
    <n v="6"/>
    <n v="2"/>
    <n v="25"/>
    <x v="0"/>
    <x v="0"/>
    <n v="10.5"/>
  </r>
  <r>
    <x v="544"/>
    <s v="FN546"/>
    <s v="LN546"/>
    <x v="1"/>
    <n v="45"/>
    <x v="4"/>
    <x v="9"/>
    <x v="0"/>
    <x v="1"/>
    <x v="0"/>
    <s v="2021-03-08"/>
    <m/>
    <x v="0"/>
    <x v="52"/>
    <x v="1"/>
    <x v="31"/>
    <x v="544"/>
    <n v="20"/>
    <x v="16"/>
    <n v="63"/>
    <n v="10"/>
    <n v="26"/>
    <n v="54"/>
    <x v="1"/>
    <x v="1"/>
    <n v="5.4"/>
  </r>
  <r>
    <x v="545"/>
    <s v="FN547"/>
    <s v="LN547"/>
    <x v="1"/>
    <n v="46"/>
    <x v="0"/>
    <x v="2"/>
    <x v="1"/>
    <x v="1"/>
    <x v="0"/>
    <s v="2022-08-04"/>
    <m/>
    <x v="0"/>
    <x v="42"/>
    <x v="1"/>
    <x v="6"/>
    <x v="545"/>
    <n v="7"/>
    <x v="13"/>
    <n v="64"/>
    <n v="1"/>
    <n v="38"/>
    <n v="15"/>
    <x v="0"/>
    <x v="1"/>
    <n v="4"/>
  </r>
  <r>
    <x v="546"/>
    <s v="FN548"/>
    <s v="LN548"/>
    <x v="0"/>
    <n v="28"/>
    <x v="1"/>
    <x v="1"/>
    <x v="2"/>
    <x v="1"/>
    <x v="0"/>
    <s v="2021-12-12"/>
    <m/>
    <x v="0"/>
    <x v="55"/>
    <x v="2"/>
    <x v="0"/>
    <x v="546"/>
    <n v="24"/>
    <x v="13"/>
    <n v="97"/>
    <n v="10"/>
    <n v="16"/>
    <n v="43"/>
    <x v="0"/>
    <x v="2"/>
    <n v="4.5999999999999996"/>
  </r>
  <r>
    <x v="547"/>
    <s v="FN549"/>
    <s v="LN549"/>
    <x v="1"/>
    <n v="53"/>
    <x v="3"/>
    <x v="2"/>
    <x v="2"/>
    <x v="2"/>
    <x v="1"/>
    <s v="2023-03-27"/>
    <m/>
    <x v="0"/>
    <x v="67"/>
    <x v="0"/>
    <x v="35"/>
    <x v="547"/>
    <n v="5"/>
    <x v="12"/>
    <n v="51"/>
    <n v="3"/>
    <n v="27"/>
    <n v="37"/>
    <x v="0"/>
    <x v="0"/>
    <n v="3.3"/>
  </r>
  <r>
    <x v="548"/>
    <s v="FN550"/>
    <s v="LN550"/>
    <x v="1"/>
    <n v="43"/>
    <x v="2"/>
    <x v="5"/>
    <x v="3"/>
    <x v="1"/>
    <x v="0"/>
    <s v="2022-02-17"/>
    <m/>
    <x v="0"/>
    <x v="48"/>
    <x v="2"/>
    <x v="20"/>
    <x v="548"/>
    <n v="12"/>
    <x v="12"/>
    <n v="69"/>
    <n v="12"/>
    <n v="41"/>
    <n v="9"/>
    <x v="1"/>
    <x v="2"/>
    <n v="4.4000000000000004"/>
  </r>
  <r>
    <x v="549"/>
    <s v="FN551"/>
    <s v="LN551"/>
    <x v="0"/>
    <n v="52"/>
    <x v="1"/>
    <x v="4"/>
    <x v="0"/>
    <x v="2"/>
    <x v="1"/>
    <s v="2024-03-22"/>
    <m/>
    <x v="0"/>
    <x v="53"/>
    <x v="2"/>
    <x v="12"/>
    <x v="549"/>
    <n v="14"/>
    <x v="1"/>
    <n v="55"/>
    <n v="17"/>
    <n v="22"/>
    <n v="57"/>
    <x v="1"/>
    <x v="2"/>
    <n v="2.4"/>
  </r>
  <r>
    <x v="550"/>
    <s v="FN552"/>
    <s v="LN552"/>
    <x v="0"/>
    <n v="52"/>
    <x v="0"/>
    <x v="2"/>
    <x v="4"/>
    <x v="1"/>
    <x v="1"/>
    <s v="2024-05-26"/>
    <m/>
    <x v="0"/>
    <x v="21"/>
    <x v="0"/>
    <x v="16"/>
    <x v="550"/>
    <n v="6"/>
    <x v="23"/>
    <n v="68"/>
    <n v="11"/>
    <n v="50"/>
    <n v="19"/>
    <x v="1"/>
    <x v="0"/>
    <n v="2.2000000000000002"/>
  </r>
  <r>
    <x v="551"/>
    <s v="FN553"/>
    <s v="LN553"/>
    <x v="1"/>
    <n v="57"/>
    <x v="5"/>
    <x v="8"/>
    <x v="0"/>
    <x v="0"/>
    <x v="0"/>
    <s v="2016-02-17"/>
    <m/>
    <x v="0"/>
    <x v="15"/>
    <x v="0"/>
    <x v="9"/>
    <x v="551"/>
    <n v="5"/>
    <x v="21"/>
    <n v="99"/>
    <n v="17"/>
    <n v="59"/>
    <n v="48"/>
    <x v="1"/>
    <x v="1"/>
    <n v="10.5"/>
  </r>
  <r>
    <x v="552"/>
    <s v="FN554"/>
    <s v="LN554"/>
    <x v="1"/>
    <n v="38"/>
    <x v="5"/>
    <x v="2"/>
    <x v="3"/>
    <x v="0"/>
    <x v="0"/>
    <s v="2018-11-23"/>
    <m/>
    <x v="0"/>
    <x v="64"/>
    <x v="0"/>
    <x v="23"/>
    <x v="552"/>
    <n v="15"/>
    <x v="10"/>
    <n v="62"/>
    <n v="0"/>
    <n v="0"/>
    <n v="2"/>
    <x v="0"/>
    <x v="0"/>
    <n v="7.7"/>
  </r>
  <r>
    <x v="553"/>
    <s v="FN555"/>
    <s v="LN555"/>
    <x v="0"/>
    <n v="26"/>
    <x v="3"/>
    <x v="2"/>
    <x v="2"/>
    <x v="0"/>
    <x v="1"/>
    <s v="2024-11-08"/>
    <m/>
    <x v="0"/>
    <x v="34"/>
    <x v="2"/>
    <x v="16"/>
    <x v="553"/>
    <n v="7"/>
    <x v="25"/>
    <n v="59"/>
    <n v="14"/>
    <n v="36"/>
    <n v="3"/>
    <x v="1"/>
    <x v="0"/>
    <n v="1.7"/>
  </r>
  <r>
    <x v="554"/>
    <s v="FN556"/>
    <s v="LN556"/>
    <x v="1"/>
    <n v="43"/>
    <x v="5"/>
    <x v="8"/>
    <x v="3"/>
    <x v="2"/>
    <x v="0"/>
    <s v="2021-10-21"/>
    <m/>
    <x v="0"/>
    <x v="76"/>
    <x v="2"/>
    <x v="19"/>
    <x v="554"/>
    <n v="14"/>
    <x v="22"/>
    <n v="86"/>
    <n v="9"/>
    <n v="57"/>
    <n v="21"/>
    <x v="0"/>
    <x v="2"/>
    <n v="4.8"/>
  </r>
  <r>
    <x v="555"/>
    <s v="FN557"/>
    <s v="LN557"/>
    <x v="1"/>
    <n v="33"/>
    <x v="0"/>
    <x v="2"/>
    <x v="2"/>
    <x v="2"/>
    <x v="0"/>
    <s v="2023-11-22"/>
    <m/>
    <x v="0"/>
    <x v="2"/>
    <x v="2"/>
    <x v="26"/>
    <x v="555"/>
    <n v="20"/>
    <x v="1"/>
    <n v="53"/>
    <n v="16"/>
    <n v="16"/>
    <n v="31"/>
    <x v="0"/>
    <x v="1"/>
    <n v="2.7"/>
  </r>
  <r>
    <x v="556"/>
    <s v="FN558"/>
    <s v="LN558"/>
    <x v="0"/>
    <n v="53"/>
    <x v="5"/>
    <x v="8"/>
    <x v="4"/>
    <x v="2"/>
    <x v="0"/>
    <s v="2023-08-10"/>
    <m/>
    <x v="0"/>
    <x v="38"/>
    <x v="0"/>
    <x v="26"/>
    <x v="556"/>
    <n v="24"/>
    <x v="7"/>
    <n v="84"/>
    <n v="1"/>
    <n v="0"/>
    <n v="34"/>
    <x v="1"/>
    <x v="2"/>
    <n v="3"/>
  </r>
  <r>
    <x v="557"/>
    <s v="FN559"/>
    <s v="LN559"/>
    <x v="1"/>
    <n v="23"/>
    <x v="5"/>
    <x v="8"/>
    <x v="3"/>
    <x v="1"/>
    <x v="0"/>
    <s v="2018-06-04"/>
    <m/>
    <x v="0"/>
    <x v="75"/>
    <x v="2"/>
    <x v="10"/>
    <x v="557"/>
    <n v="20"/>
    <x v="21"/>
    <n v="97"/>
    <n v="19"/>
    <n v="32"/>
    <n v="68"/>
    <x v="0"/>
    <x v="0"/>
    <n v="8.1999999999999993"/>
  </r>
  <r>
    <x v="558"/>
    <s v="FN560"/>
    <s v="LN560"/>
    <x v="1"/>
    <n v="35"/>
    <x v="5"/>
    <x v="6"/>
    <x v="4"/>
    <x v="0"/>
    <x v="1"/>
    <s v="2025-06-06"/>
    <m/>
    <x v="0"/>
    <x v="23"/>
    <x v="2"/>
    <x v="34"/>
    <x v="558"/>
    <n v="14"/>
    <x v="23"/>
    <n v="66"/>
    <n v="19"/>
    <n v="0"/>
    <n v="7"/>
    <x v="1"/>
    <x v="1"/>
    <n v="1.1000000000000001"/>
  </r>
  <r>
    <x v="559"/>
    <s v="FN561"/>
    <s v="LN561"/>
    <x v="1"/>
    <n v="57"/>
    <x v="5"/>
    <x v="8"/>
    <x v="2"/>
    <x v="0"/>
    <x v="0"/>
    <s v="2025-10-23"/>
    <m/>
    <x v="0"/>
    <x v="34"/>
    <x v="0"/>
    <x v="20"/>
    <x v="559"/>
    <n v="20"/>
    <x v="17"/>
    <n v="50"/>
    <n v="2"/>
    <n v="39"/>
    <n v="70"/>
    <x v="0"/>
    <x v="1"/>
    <n v="0.8"/>
  </r>
  <r>
    <x v="560"/>
    <s v="FN562"/>
    <s v="LN562"/>
    <x v="1"/>
    <n v="22"/>
    <x v="2"/>
    <x v="7"/>
    <x v="2"/>
    <x v="0"/>
    <x v="0"/>
    <s v="2020-04-20"/>
    <m/>
    <x v="0"/>
    <x v="75"/>
    <x v="1"/>
    <x v="9"/>
    <x v="560"/>
    <n v="19"/>
    <x v="10"/>
    <n v="85"/>
    <n v="9"/>
    <n v="26"/>
    <n v="58"/>
    <x v="1"/>
    <x v="1"/>
    <n v="6.3"/>
  </r>
  <r>
    <x v="561"/>
    <s v="FN563"/>
    <s v="LN563"/>
    <x v="1"/>
    <n v="56"/>
    <x v="0"/>
    <x v="0"/>
    <x v="2"/>
    <x v="2"/>
    <x v="1"/>
    <s v="2021-09-16"/>
    <m/>
    <x v="0"/>
    <x v="68"/>
    <x v="1"/>
    <x v="22"/>
    <x v="561"/>
    <n v="11"/>
    <x v="2"/>
    <n v="90"/>
    <n v="18"/>
    <n v="33"/>
    <n v="58"/>
    <x v="1"/>
    <x v="1"/>
    <n v="4.9000000000000004"/>
  </r>
  <r>
    <x v="562"/>
    <s v="FN564"/>
    <s v="LN564"/>
    <x v="0"/>
    <n v="30"/>
    <x v="2"/>
    <x v="7"/>
    <x v="1"/>
    <x v="0"/>
    <x v="1"/>
    <s v="2019-11-30"/>
    <m/>
    <x v="0"/>
    <x v="51"/>
    <x v="0"/>
    <x v="8"/>
    <x v="562"/>
    <n v="20"/>
    <x v="2"/>
    <n v="80"/>
    <n v="14"/>
    <n v="29"/>
    <n v="19"/>
    <x v="1"/>
    <x v="0"/>
    <n v="6.7"/>
  </r>
  <r>
    <x v="563"/>
    <s v="FN565"/>
    <s v="LN565"/>
    <x v="0"/>
    <n v="36"/>
    <x v="1"/>
    <x v="4"/>
    <x v="4"/>
    <x v="2"/>
    <x v="0"/>
    <s v="2022-03-20"/>
    <m/>
    <x v="0"/>
    <x v="50"/>
    <x v="0"/>
    <x v="30"/>
    <x v="563"/>
    <n v="20"/>
    <x v="0"/>
    <n v="73"/>
    <n v="12"/>
    <n v="48"/>
    <n v="9"/>
    <x v="1"/>
    <x v="0"/>
    <n v="4.4000000000000004"/>
  </r>
  <r>
    <x v="564"/>
    <s v="FN566"/>
    <s v="LN566"/>
    <x v="0"/>
    <n v="43"/>
    <x v="1"/>
    <x v="4"/>
    <x v="0"/>
    <x v="1"/>
    <x v="1"/>
    <s v="2018-01-11"/>
    <s v="2020-08-04"/>
    <x v="1"/>
    <x v="66"/>
    <x v="0"/>
    <x v="15"/>
    <x v="564"/>
    <n v="22"/>
    <x v="4"/>
    <n v="51"/>
    <n v="7"/>
    <n v="42"/>
    <n v="66"/>
    <x v="1"/>
    <x v="2"/>
    <n v="8.6"/>
  </r>
  <r>
    <x v="565"/>
    <s v="FN567"/>
    <s v="LN567"/>
    <x v="0"/>
    <n v="28"/>
    <x v="1"/>
    <x v="4"/>
    <x v="1"/>
    <x v="0"/>
    <x v="0"/>
    <s v="2018-12-27"/>
    <m/>
    <x v="0"/>
    <x v="49"/>
    <x v="2"/>
    <x v="14"/>
    <x v="565"/>
    <n v="19"/>
    <x v="17"/>
    <n v="66"/>
    <n v="19"/>
    <n v="56"/>
    <n v="19"/>
    <x v="0"/>
    <x v="1"/>
    <n v="7.6"/>
  </r>
  <r>
    <x v="566"/>
    <s v="FN568"/>
    <s v="LN568"/>
    <x v="0"/>
    <n v="43"/>
    <x v="1"/>
    <x v="4"/>
    <x v="4"/>
    <x v="0"/>
    <x v="1"/>
    <s v="2022-11-15"/>
    <m/>
    <x v="0"/>
    <x v="35"/>
    <x v="1"/>
    <x v="33"/>
    <x v="566"/>
    <n v="8"/>
    <x v="13"/>
    <n v="63"/>
    <n v="14"/>
    <n v="53"/>
    <n v="17"/>
    <x v="1"/>
    <x v="1"/>
    <n v="3.7"/>
  </r>
  <r>
    <x v="567"/>
    <s v="FN569"/>
    <s v="LN569"/>
    <x v="1"/>
    <n v="54"/>
    <x v="0"/>
    <x v="2"/>
    <x v="2"/>
    <x v="2"/>
    <x v="1"/>
    <s v="2025-01-17"/>
    <m/>
    <x v="0"/>
    <x v="39"/>
    <x v="2"/>
    <x v="9"/>
    <x v="567"/>
    <n v="11"/>
    <x v="4"/>
    <n v="73"/>
    <n v="9"/>
    <n v="38"/>
    <n v="20"/>
    <x v="1"/>
    <x v="0"/>
    <n v="1.5"/>
  </r>
  <r>
    <x v="568"/>
    <s v="FN570"/>
    <s v="LN570"/>
    <x v="1"/>
    <n v="26"/>
    <x v="3"/>
    <x v="2"/>
    <x v="1"/>
    <x v="1"/>
    <x v="0"/>
    <s v="2018-02-26"/>
    <m/>
    <x v="0"/>
    <x v="32"/>
    <x v="0"/>
    <x v="29"/>
    <x v="568"/>
    <n v="15"/>
    <x v="3"/>
    <n v="59"/>
    <n v="2"/>
    <n v="0"/>
    <n v="71"/>
    <x v="1"/>
    <x v="0"/>
    <n v="8.4"/>
  </r>
  <r>
    <x v="569"/>
    <s v="FN571"/>
    <s v="LN571"/>
    <x v="0"/>
    <n v="23"/>
    <x v="5"/>
    <x v="2"/>
    <x v="1"/>
    <x v="2"/>
    <x v="0"/>
    <s v="2019-08-28"/>
    <m/>
    <x v="0"/>
    <x v="15"/>
    <x v="1"/>
    <x v="18"/>
    <x v="569"/>
    <n v="17"/>
    <x v="3"/>
    <n v="52"/>
    <n v="5"/>
    <n v="0"/>
    <n v="76"/>
    <x v="1"/>
    <x v="0"/>
    <n v="6.9"/>
  </r>
  <r>
    <x v="570"/>
    <s v="FN572"/>
    <s v="LN572"/>
    <x v="1"/>
    <n v="26"/>
    <x v="1"/>
    <x v="4"/>
    <x v="4"/>
    <x v="2"/>
    <x v="1"/>
    <s v="2018-05-03"/>
    <m/>
    <x v="0"/>
    <x v="28"/>
    <x v="1"/>
    <x v="0"/>
    <x v="570"/>
    <n v="17"/>
    <x v="3"/>
    <n v="52"/>
    <n v="5"/>
    <n v="35"/>
    <n v="14"/>
    <x v="0"/>
    <x v="1"/>
    <n v="8.1999999999999993"/>
  </r>
  <r>
    <x v="571"/>
    <s v="FN573"/>
    <s v="LN573"/>
    <x v="1"/>
    <n v="24"/>
    <x v="2"/>
    <x v="3"/>
    <x v="0"/>
    <x v="0"/>
    <x v="1"/>
    <s v="2025-03-23"/>
    <m/>
    <x v="0"/>
    <x v="57"/>
    <x v="0"/>
    <x v="12"/>
    <x v="571"/>
    <n v="14"/>
    <x v="8"/>
    <n v="80"/>
    <n v="18"/>
    <n v="19"/>
    <n v="39"/>
    <x v="0"/>
    <x v="0"/>
    <n v="1.4"/>
  </r>
  <r>
    <x v="572"/>
    <s v="FN574"/>
    <s v="LN574"/>
    <x v="1"/>
    <n v="58"/>
    <x v="4"/>
    <x v="9"/>
    <x v="1"/>
    <x v="0"/>
    <x v="0"/>
    <s v="2022-07-10"/>
    <m/>
    <x v="0"/>
    <x v="26"/>
    <x v="1"/>
    <x v="21"/>
    <x v="572"/>
    <n v="15"/>
    <x v="21"/>
    <n v="89"/>
    <n v="16"/>
    <n v="12"/>
    <n v="12"/>
    <x v="1"/>
    <x v="0"/>
    <n v="4.0999999999999996"/>
  </r>
  <r>
    <x v="573"/>
    <s v="FN575"/>
    <s v="LN575"/>
    <x v="1"/>
    <n v="46"/>
    <x v="3"/>
    <x v="2"/>
    <x v="0"/>
    <x v="0"/>
    <x v="0"/>
    <s v="2021-06-13"/>
    <m/>
    <x v="0"/>
    <x v="32"/>
    <x v="1"/>
    <x v="19"/>
    <x v="573"/>
    <n v="21"/>
    <x v="10"/>
    <n v="96"/>
    <n v="3"/>
    <n v="6"/>
    <n v="37"/>
    <x v="1"/>
    <x v="1"/>
    <n v="5.0999999999999996"/>
  </r>
  <r>
    <x v="574"/>
    <s v="FN576"/>
    <s v="LN576"/>
    <x v="0"/>
    <n v="41"/>
    <x v="5"/>
    <x v="2"/>
    <x v="1"/>
    <x v="0"/>
    <x v="0"/>
    <s v="2019-04-04"/>
    <m/>
    <x v="0"/>
    <x v="18"/>
    <x v="1"/>
    <x v="0"/>
    <x v="574"/>
    <n v="5"/>
    <x v="4"/>
    <n v="95"/>
    <n v="8"/>
    <n v="48"/>
    <n v="8"/>
    <x v="1"/>
    <x v="0"/>
    <n v="7.3"/>
  </r>
  <r>
    <x v="575"/>
    <s v="FN577"/>
    <s v="LN577"/>
    <x v="0"/>
    <n v="40"/>
    <x v="0"/>
    <x v="0"/>
    <x v="4"/>
    <x v="1"/>
    <x v="1"/>
    <s v="2025-12-07"/>
    <m/>
    <x v="0"/>
    <x v="61"/>
    <x v="0"/>
    <x v="30"/>
    <x v="575"/>
    <n v="13"/>
    <x v="11"/>
    <n v="86"/>
    <n v="12"/>
    <n v="60"/>
    <n v="65"/>
    <x v="1"/>
    <x v="2"/>
    <n v="0.6"/>
  </r>
  <r>
    <x v="576"/>
    <s v="FN578"/>
    <s v="LN578"/>
    <x v="1"/>
    <n v="31"/>
    <x v="4"/>
    <x v="6"/>
    <x v="1"/>
    <x v="2"/>
    <x v="0"/>
    <s v="2019-04-22"/>
    <m/>
    <x v="0"/>
    <x v="77"/>
    <x v="1"/>
    <x v="2"/>
    <x v="576"/>
    <n v="21"/>
    <x v="0"/>
    <n v="96"/>
    <n v="12"/>
    <n v="9"/>
    <n v="53"/>
    <x v="1"/>
    <x v="2"/>
    <n v="7.3"/>
  </r>
  <r>
    <x v="577"/>
    <s v="FN579"/>
    <s v="LN579"/>
    <x v="0"/>
    <n v="25"/>
    <x v="1"/>
    <x v="4"/>
    <x v="1"/>
    <x v="0"/>
    <x v="0"/>
    <s v="2024-02-02"/>
    <m/>
    <x v="0"/>
    <x v="14"/>
    <x v="0"/>
    <x v="0"/>
    <x v="577"/>
    <n v="9"/>
    <x v="18"/>
    <n v="63"/>
    <n v="6"/>
    <n v="39"/>
    <n v="9"/>
    <x v="1"/>
    <x v="2"/>
    <n v="2.5"/>
  </r>
  <r>
    <x v="578"/>
    <s v="FN580"/>
    <s v="LN580"/>
    <x v="1"/>
    <n v="57"/>
    <x v="0"/>
    <x v="2"/>
    <x v="2"/>
    <x v="2"/>
    <x v="1"/>
    <s v="2017-07-10"/>
    <m/>
    <x v="0"/>
    <x v="19"/>
    <x v="1"/>
    <x v="28"/>
    <x v="578"/>
    <n v="11"/>
    <x v="16"/>
    <n v="70"/>
    <n v="15"/>
    <n v="37"/>
    <n v="6"/>
    <x v="0"/>
    <x v="0"/>
    <n v="9.1"/>
  </r>
  <r>
    <x v="579"/>
    <s v="FN581"/>
    <s v="LN581"/>
    <x v="1"/>
    <n v="56"/>
    <x v="2"/>
    <x v="7"/>
    <x v="3"/>
    <x v="0"/>
    <x v="1"/>
    <s v="2018-03-04"/>
    <s v="2019-10-10"/>
    <x v="1"/>
    <x v="54"/>
    <x v="1"/>
    <x v="26"/>
    <x v="579"/>
    <n v="18"/>
    <x v="8"/>
    <n v="61"/>
    <n v="20"/>
    <n v="45"/>
    <n v="19"/>
    <x v="0"/>
    <x v="2"/>
    <n v="8.4"/>
  </r>
  <r>
    <x v="580"/>
    <s v="FN582"/>
    <s v="LN582"/>
    <x v="1"/>
    <n v="52"/>
    <x v="5"/>
    <x v="6"/>
    <x v="3"/>
    <x v="2"/>
    <x v="1"/>
    <s v="2018-02-20"/>
    <m/>
    <x v="0"/>
    <x v="74"/>
    <x v="0"/>
    <x v="14"/>
    <x v="580"/>
    <n v="15"/>
    <x v="5"/>
    <n v="96"/>
    <n v="13"/>
    <n v="25"/>
    <n v="62"/>
    <x v="1"/>
    <x v="1"/>
    <n v="8.4"/>
  </r>
  <r>
    <x v="581"/>
    <s v="FN583"/>
    <s v="LN583"/>
    <x v="1"/>
    <n v="33"/>
    <x v="5"/>
    <x v="6"/>
    <x v="2"/>
    <x v="2"/>
    <x v="0"/>
    <s v="2021-04-28"/>
    <m/>
    <x v="0"/>
    <x v="29"/>
    <x v="0"/>
    <x v="24"/>
    <x v="581"/>
    <n v="22"/>
    <x v="22"/>
    <n v="64"/>
    <n v="9"/>
    <n v="40"/>
    <n v="33"/>
    <x v="0"/>
    <x v="0"/>
    <n v="5.3"/>
  </r>
  <r>
    <x v="582"/>
    <s v="FN584"/>
    <s v="LN584"/>
    <x v="1"/>
    <n v="51"/>
    <x v="3"/>
    <x v="2"/>
    <x v="2"/>
    <x v="0"/>
    <x v="1"/>
    <s v="2025-07-01"/>
    <m/>
    <x v="0"/>
    <x v="1"/>
    <x v="0"/>
    <x v="21"/>
    <x v="582"/>
    <n v="15"/>
    <x v="9"/>
    <n v="50"/>
    <n v="11"/>
    <n v="18"/>
    <n v="59"/>
    <x v="0"/>
    <x v="2"/>
    <n v="1.1000000000000001"/>
  </r>
  <r>
    <x v="583"/>
    <s v="FN585"/>
    <s v="LN585"/>
    <x v="0"/>
    <n v="45"/>
    <x v="2"/>
    <x v="3"/>
    <x v="1"/>
    <x v="0"/>
    <x v="0"/>
    <s v="2018-09-25"/>
    <s v="2023-05-12"/>
    <x v="1"/>
    <x v="33"/>
    <x v="2"/>
    <x v="16"/>
    <x v="583"/>
    <n v="12"/>
    <x v="3"/>
    <n v="97"/>
    <n v="14"/>
    <n v="28"/>
    <n v="13"/>
    <x v="1"/>
    <x v="0"/>
    <n v="7.8"/>
  </r>
  <r>
    <x v="584"/>
    <s v="FN586"/>
    <s v="LN586"/>
    <x v="1"/>
    <n v="26"/>
    <x v="1"/>
    <x v="1"/>
    <x v="4"/>
    <x v="2"/>
    <x v="0"/>
    <s v="2021-11-14"/>
    <m/>
    <x v="0"/>
    <x v="48"/>
    <x v="2"/>
    <x v="5"/>
    <x v="584"/>
    <n v="12"/>
    <x v="12"/>
    <n v="94"/>
    <n v="4"/>
    <n v="5"/>
    <n v="2"/>
    <x v="0"/>
    <x v="2"/>
    <n v="4.7"/>
  </r>
  <r>
    <x v="585"/>
    <s v="FN587"/>
    <s v="LN587"/>
    <x v="1"/>
    <n v="54"/>
    <x v="2"/>
    <x v="7"/>
    <x v="0"/>
    <x v="2"/>
    <x v="1"/>
    <s v="2019-08-25"/>
    <m/>
    <x v="0"/>
    <x v="58"/>
    <x v="2"/>
    <x v="15"/>
    <x v="585"/>
    <n v="7"/>
    <x v="20"/>
    <n v="69"/>
    <n v="0"/>
    <n v="29"/>
    <n v="56"/>
    <x v="0"/>
    <x v="2"/>
    <n v="6.9"/>
  </r>
  <r>
    <x v="586"/>
    <s v="FN588"/>
    <s v="LN588"/>
    <x v="0"/>
    <n v="36"/>
    <x v="4"/>
    <x v="2"/>
    <x v="2"/>
    <x v="1"/>
    <x v="1"/>
    <s v="2023-04-09"/>
    <s v="2028-04-20"/>
    <x v="1"/>
    <x v="23"/>
    <x v="2"/>
    <x v="23"/>
    <x v="586"/>
    <n v="23"/>
    <x v="10"/>
    <n v="86"/>
    <n v="14"/>
    <n v="18"/>
    <n v="30"/>
    <x v="1"/>
    <x v="1"/>
    <n v="3.3"/>
  </r>
  <r>
    <x v="587"/>
    <s v="FN589"/>
    <s v="LN589"/>
    <x v="1"/>
    <n v="45"/>
    <x v="5"/>
    <x v="2"/>
    <x v="0"/>
    <x v="1"/>
    <x v="1"/>
    <s v="2018-04-25"/>
    <m/>
    <x v="0"/>
    <x v="5"/>
    <x v="1"/>
    <x v="34"/>
    <x v="587"/>
    <n v="10"/>
    <x v="14"/>
    <n v="75"/>
    <n v="13"/>
    <n v="27"/>
    <n v="10"/>
    <x v="1"/>
    <x v="0"/>
    <n v="8.3000000000000007"/>
  </r>
  <r>
    <x v="588"/>
    <s v="FN590"/>
    <s v="LN590"/>
    <x v="1"/>
    <n v="47"/>
    <x v="1"/>
    <x v="4"/>
    <x v="1"/>
    <x v="0"/>
    <x v="1"/>
    <s v="2022-01-10"/>
    <m/>
    <x v="0"/>
    <x v="23"/>
    <x v="0"/>
    <x v="6"/>
    <x v="588"/>
    <n v="13"/>
    <x v="4"/>
    <n v="73"/>
    <n v="10"/>
    <n v="49"/>
    <n v="27"/>
    <x v="0"/>
    <x v="1"/>
    <n v="4.5999999999999996"/>
  </r>
  <r>
    <x v="589"/>
    <s v="FN591"/>
    <s v="LN591"/>
    <x v="0"/>
    <n v="41"/>
    <x v="1"/>
    <x v="4"/>
    <x v="4"/>
    <x v="2"/>
    <x v="0"/>
    <s v="2019-01-03"/>
    <s v="2024-05-10"/>
    <x v="1"/>
    <x v="12"/>
    <x v="2"/>
    <x v="21"/>
    <x v="589"/>
    <n v="21"/>
    <x v="18"/>
    <n v="88"/>
    <n v="4"/>
    <n v="45"/>
    <n v="42"/>
    <x v="1"/>
    <x v="2"/>
    <n v="7.6"/>
  </r>
  <r>
    <x v="590"/>
    <s v="FN592"/>
    <s v="LN592"/>
    <x v="1"/>
    <n v="44"/>
    <x v="5"/>
    <x v="8"/>
    <x v="0"/>
    <x v="1"/>
    <x v="0"/>
    <s v="2024-10-08"/>
    <m/>
    <x v="0"/>
    <x v="39"/>
    <x v="1"/>
    <x v="22"/>
    <x v="590"/>
    <n v="12"/>
    <x v="20"/>
    <n v="92"/>
    <n v="16"/>
    <n v="1"/>
    <n v="30"/>
    <x v="1"/>
    <x v="0"/>
    <n v="1.8"/>
  </r>
  <r>
    <x v="591"/>
    <s v="FN593"/>
    <s v="LN593"/>
    <x v="1"/>
    <n v="32"/>
    <x v="2"/>
    <x v="3"/>
    <x v="0"/>
    <x v="0"/>
    <x v="1"/>
    <s v="2020-07-17"/>
    <s v="2028-03-06"/>
    <x v="1"/>
    <x v="57"/>
    <x v="2"/>
    <x v="2"/>
    <x v="591"/>
    <n v="24"/>
    <x v="10"/>
    <n v="90"/>
    <n v="1"/>
    <n v="4"/>
    <n v="4"/>
    <x v="1"/>
    <x v="1"/>
    <n v="6"/>
  </r>
  <r>
    <x v="592"/>
    <s v="FN594"/>
    <s v="LN594"/>
    <x v="0"/>
    <n v="39"/>
    <x v="1"/>
    <x v="1"/>
    <x v="3"/>
    <x v="2"/>
    <x v="0"/>
    <s v="2021-04-29"/>
    <m/>
    <x v="0"/>
    <x v="8"/>
    <x v="1"/>
    <x v="34"/>
    <x v="592"/>
    <n v="21"/>
    <x v="16"/>
    <n v="94"/>
    <n v="2"/>
    <n v="27"/>
    <n v="26"/>
    <x v="1"/>
    <x v="0"/>
    <n v="5.3"/>
  </r>
  <r>
    <x v="593"/>
    <s v="FN595"/>
    <s v="LN595"/>
    <x v="1"/>
    <n v="28"/>
    <x v="2"/>
    <x v="5"/>
    <x v="4"/>
    <x v="0"/>
    <x v="0"/>
    <s v="2025-03-17"/>
    <m/>
    <x v="0"/>
    <x v="62"/>
    <x v="0"/>
    <x v="23"/>
    <x v="593"/>
    <n v="18"/>
    <x v="10"/>
    <n v="72"/>
    <n v="1"/>
    <n v="50"/>
    <n v="38"/>
    <x v="0"/>
    <x v="1"/>
    <n v="1.4"/>
  </r>
  <r>
    <x v="594"/>
    <s v="FN596"/>
    <s v="LN596"/>
    <x v="1"/>
    <n v="60"/>
    <x v="0"/>
    <x v="0"/>
    <x v="0"/>
    <x v="1"/>
    <x v="1"/>
    <s v="2026-04-30"/>
    <m/>
    <x v="0"/>
    <x v="52"/>
    <x v="2"/>
    <x v="22"/>
    <x v="594"/>
    <n v="16"/>
    <x v="23"/>
    <n v="65"/>
    <n v="10"/>
    <n v="18"/>
    <n v="60"/>
    <x v="1"/>
    <x v="1"/>
    <n v="0.2"/>
  </r>
  <r>
    <x v="595"/>
    <s v="FN597"/>
    <s v="LN597"/>
    <x v="1"/>
    <n v="30"/>
    <x v="4"/>
    <x v="6"/>
    <x v="3"/>
    <x v="2"/>
    <x v="0"/>
    <s v="2019-10-26"/>
    <m/>
    <x v="0"/>
    <x v="11"/>
    <x v="2"/>
    <x v="25"/>
    <x v="595"/>
    <n v="9"/>
    <x v="8"/>
    <n v="89"/>
    <n v="6"/>
    <n v="58"/>
    <n v="42"/>
    <x v="0"/>
    <x v="0"/>
    <n v="6.8"/>
  </r>
  <r>
    <x v="596"/>
    <s v="FN598"/>
    <s v="LN598"/>
    <x v="1"/>
    <n v="38"/>
    <x v="0"/>
    <x v="0"/>
    <x v="0"/>
    <x v="2"/>
    <x v="1"/>
    <s v="2017-10-21"/>
    <s v="2025-11-08"/>
    <x v="1"/>
    <x v="51"/>
    <x v="1"/>
    <x v="27"/>
    <x v="596"/>
    <n v="23"/>
    <x v="2"/>
    <n v="99"/>
    <n v="8"/>
    <n v="20"/>
    <n v="80"/>
    <x v="0"/>
    <x v="1"/>
    <n v="8.8000000000000007"/>
  </r>
  <r>
    <x v="597"/>
    <s v="FN599"/>
    <s v="LN599"/>
    <x v="1"/>
    <n v="51"/>
    <x v="5"/>
    <x v="2"/>
    <x v="2"/>
    <x v="2"/>
    <x v="1"/>
    <s v="2019-07-09"/>
    <m/>
    <x v="0"/>
    <x v="67"/>
    <x v="2"/>
    <x v="31"/>
    <x v="597"/>
    <n v="23"/>
    <x v="23"/>
    <n v="82"/>
    <n v="3"/>
    <n v="27"/>
    <n v="73"/>
    <x v="0"/>
    <x v="1"/>
    <n v="7.1"/>
  </r>
  <r>
    <x v="598"/>
    <s v="FN600"/>
    <s v="LN600"/>
    <x v="0"/>
    <n v="48"/>
    <x v="1"/>
    <x v="1"/>
    <x v="3"/>
    <x v="1"/>
    <x v="0"/>
    <s v="2019-12-18"/>
    <s v="2026-04-19"/>
    <x v="1"/>
    <x v="64"/>
    <x v="2"/>
    <x v="22"/>
    <x v="598"/>
    <n v="19"/>
    <x v="9"/>
    <n v="64"/>
    <n v="7"/>
    <n v="6"/>
    <n v="34"/>
    <x v="0"/>
    <x v="0"/>
    <n v="6.6"/>
  </r>
  <r>
    <x v="599"/>
    <s v="FN601"/>
    <s v="LN601"/>
    <x v="0"/>
    <n v="54"/>
    <x v="4"/>
    <x v="9"/>
    <x v="3"/>
    <x v="0"/>
    <x v="0"/>
    <s v="2018-04-26"/>
    <m/>
    <x v="0"/>
    <x v="64"/>
    <x v="0"/>
    <x v="3"/>
    <x v="599"/>
    <n v="13"/>
    <x v="22"/>
    <n v="82"/>
    <n v="15"/>
    <n v="54"/>
    <n v="71"/>
    <x v="0"/>
    <x v="2"/>
    <n v="8.3000000000000007"/>
  </r>
  <r>
    <x v="600"/>
    <s v="FN602"/>
    <s v="LN602"/>
    <x v="0"/>
    <n v="31"/>
    <x v="5"/>
    <x v="6"/>
    <x v="1"/>
    <x v="1"/>
    <x v="0"/>
    <s v="2024-11-08"/>
    <m/>
    <x v="0"/>
    <x v="3"/>
    <x v="0"/>
    <x v="20"/>
    <x v="600"/>
    <n v="18"/>
    <x v="2"/>
    <n v="70"/>
    <n v="1"/>
    <n v="1"/>
    <n v="13"/>
    <x v="1"/>
    <x v="1"/>
    <n v="1.7"/>
  </r>
  <r>
    <x v="601"/>
    <s v="FN603"/>
    <s v="LN603"/>
    <x v="0"/>
    <n v="39"/>
    <x v="4"/>
    <x v="2"/>
    <x v="4"/>
    <x v="0"/>
    <x v="1"/>
    <s v="2023-08-05"/>
    <m/>
    <x v="0"/>
    <x v="32"/>
    <x v="1"/>
    <x v="12"/>
    <x v="601"/>
    <n v="6"/>
    <x v="10"/>
    <n v="97"/>
    <n v="19"/>
    <n v="34"/>
    <n v="67"/>
    <x v="1"/>
    <x v="1"/>
    <n v="3"/>
  </r>
  <r>
    <x v="602"/>
    <s v="FN604"/>
    <s v="LN604"/>
    <x v="0"/>
    <n v="23"/>
    <x v="3"/>
    <x v="10"/>
    <x v="1"/>
    <x v="2"/>
    <x v="1"/>
    <s v="2016-10-13"/>
    <m/>
    <x v="0"/>
    <x v="46"/>
    <x v="2"/>
    <x v="7"/>
    <x v="602"/>
    <n v="7"/>
    <x v="2"/>
    <n v="56"/>
    <n v="19"/>
    <n v="43"/>
    <n v="6"/>
    <x v="0"/>
    <x v="1"/>
    <n v="9.8000000000000007"/>
  </r>
  <r>
    <x v="603"/>
    <s v="FN605"/>
    <s v="LN605"/>
    <x v="1"/>
    <n v="26"/>
    <x v="4"/>
    <x v="6"/>
    <x v="0"/>
    <x v="0"/>
    <x v="1"/>
    <s v="2016-03-29"/>
    <m/>
    <x v="0"/>
    <x v="58"/>
    <x v="2"/>
    <x v="25"/>
    <x v="603"/>
    <n v="10"/>
    <x v="0"/>
    <n v="83"/>
    <n v="4"/>
    <n v="48"/>
    <n v="29"/>
    <x v="1"/>
    <x v="2"/>
    <n v="10.3"/>
  </r>
  <r>
    <x v="604"/>
    <s v="FN606"/>
    <s v="LN606"/>
    <x v="1"/>
    <n v="36"/>
    <x v="5"/>
    <x v="8"/>
    <x v="0"/>
    <x v="1"/>
    <x v="1"/>
    <s v="2017-08-20"/>
    <s v="2019-07-11"/>
    <x v="1"/>
    <x v="18"/>
    <x v="0"/>
    <x v="19"/>
    <x v="604"/>
    <n v="7"/>
    <x v="12"/>
    <n v="53"/>
    <n v="12"/>
    <n v="6"/>
    <n v="79"/>
    <x v="0"/>
    <x v="0"/>
    <n v="8.9"/>
  </r>
  <r>
    <x v="605"/>
    <s v="FN607"/>
    <s v="LN607"/>
    <x v="0"/>
    <n v="58"/>
    <x v="5"/>
    <x v="6"/>
    <x v="0"/>
    <x v="2"/>
    <x v="1"/>
    <s v="2024-02-25"/>
    <s v="2030-06-02"/>
    <x v="1"/>
    <x v="18"/>
    <x v="1"/>
    <x v="18"/>
    <x v="605"/>
    <n v="12"/>
    <x v="2"/>
    <n v="60"/>
    <n v="6"/>
    <n v="12"/>
    <n v="46"/>
    <x v="1"/>
    <x v="0"/>
    <n v="2.4"/>
  </r>
  <r>
    <x v="606"/>
    <s v="FN608"/>
    <s v="LN608"/>
    <x v="1"/>
    <n v="34"/>
    <x v="4"/>
    <x v="9"/>
    <x v="4"/>
    <x v="1"/>
    <x v="1"/>
    <s v="2019-09-01"/>
    <m/>
    <x v="0"/>
    <x v="21"/>
    <x v="2"/>
    <x v="14"/>
    <x v="606"/>
    <n v="8"/>
    <x v="4"/>
    <n v="64"/>
    <n v="6"/>
    <n v="17"/>
    <n v="2"/>
    <x v="1"/>
    <x v="2"/>
    <n v="6.9"/>
  </r>
  <r>
    <x v="607"/>
    <s v="FN609"/>
    <s v="LN609"/>
    <x v="0"/>
    <n v="25"/>
    <x v="3"/>
    <x v="10"/>
    <x v="2"/>
    <x v="0"/>
    <x v="0"/>
    <s v="2024-09-20"/>
    <m/>
    <x v="0"/>
    <x v="62"/>
    <x v="2"/>
    <x v="6"/>
    <x v="607"/>
    <n v="12"/>
    <x v="19"/>
    <n v="67"/>
    <n v="14"/>
    <n v="28"/>
    <n v="31"/>
    <x v="1"/>
    <x v="2"/>
    <n v="1.9"/>
  </r>
  <r>
    <x v="608"/>
    <s v="FN610"/>
    <s v="LN610"/>
    <x v="1"/>
    <n v="39"/>
    <x v="0"/>
    <x v="2"/>
    <x v="4"/>
    <x v="1"/>
    <x v="1"/>
    <s v="2017-04-22"/>
    <m/>
    <x v="0"/>
    <x v="72"/>
    <x v="0"/>
    <x v="9"/>
    <x v="608"/>
    <n v="10"/>
    <x v="9"/>
    <n v="64"/>
    <n v="14"/>
    <n v="36"/>
    <n v="40"/>
    <x v="1"/>
    <x v="2"/>
    <n v="9.3000000000000007"/>
  </r>
  <r>
    <x v="609"/>
    <s v="FN611"/>
    <s v="LN611"/>
    <x v="1"/>
    <n v="39"/>
    <x v="1"/>
    <x v="1"/>
    <x v="3"/>
    <x v="2"/>
    <x v="1"/>
    <s v="2021-04-04"/>
    <m/>
    <x v="0"/>
    <x v="35"/>
    <x v="0"/>
    <x v="29"/>
    <x v="609"/>
    <n v="8"/>
    <x v="18"/>
    <n v="83"/>
    <n v="19"/>
    <n v="38"/>
    <n v="25"/>
    <x v="0"/>
    <x v="0"/>
    <n v="5.3"/>
  </r>
  <r>
    <x v="610"/>
    <s v="FN612"/>
    <s v="LN612"/>
    <x v="1"/>
    <n v="51"/>
    <x v="3"/>
    <x v="2"/>
    <x v="0"/>
    <x v="0"/>
    <x v="0"/>
    <s v="2020-01-02"/>
    <m/>
    <x v="0"/>
    <x v="46"/>
    <x v="1"/>
    <x v="13"/>
    <x v="610"/>
    <n v="21"/>
    <x v="18"/>
    <n v="90"/>
    <n v="0"/>
    <n v="36"/>
    <n v="41"/>
    <x v="1"/>
    <x v="2"/>
    <n v="6.6"/>
  </r>
  <r>
    <x v="611"/>
    <s v="FN613"/>
    <s v="LN613"/>
    <x v="0"/>
    <n v="35"/>
    <x v="1"/>
    <x v="4"/>
    <x v="3"/>
    <x v="2"/>
    <x v="1"/>
    <s v="2017-01-09"/>
    <m/>
    <x v="0"/>
    <x v="55"/>
    <x v="2"/>
    <x v="0"/>
    <x v="611"/>
    <n v="6"/>
    <x v="7"/>
    <n v="93"/>
    <n v="16"/>
    <n v="11"/>
    <n v="48"/>
    <x v="0"/>
    <x v="0"/>
    <n v="9.6"/>
  </r>
  <r>
    <x v="612"/>
    <s v="FN614"/>
    <s v="LN614"/>
    <x v="0"/>
    <n v="46"/>
    <x v="5"/>
    <x v="2"/>
    <x v="2"/>
    <x v="1"/>
    <x v="0"/>
    <s v="2018-07-02"/>
    <m/>
    <x v="0"/>
    <x v="72"/>
    <x v="0"/>
    <x v="32"/>
    <x v="612"/>
    <n v="6"/>
    <x v="16"/>
    <n v="61"/>
    <n v="7"/>
    <n v="56"/>
    <n v="7"/>
    <x v="0"/>
    <x v="1"/>
    <n v="8.1"/>
  </r>
  <r>
    <x v="613"/>
    <s v="FN615"/>
    <s v="LN615"/>
    <x v="1"/>
    <n v="40"/>
    <x v="2"/>
    <x v="7"/>
    <x v="3"/>
    <x v="0"/>
    <x v="0"/>
    <s v="2018-01-03"/>
    <m/>
    <x v="0"/>
    <x v="62"/>
    <x v="0"/>
    <x v="24"/>
    <x v="613"/>
    <n v="9"/>
    <x v="8"/>
    <n v="74"/>
    <n v="14"/>
    <n v="33"/>
    <n v="78"/>
    <x v="1"/>
    <x v="1"/>
    <n v="8.6"/>
  </r>
  <r>
    <x v="614"/>
    <s v="FN616"/>
    <s v="LN616"/>
    <x v="0"/>
    <n v="26"/>
    <x v="2"/>
    <x v="3"/>
    <x v="4"/>
    <x v="0"/>
    <x v="1"/>
    <s v="2024-04-02"/>
    <s v="2025-09-26"/>
    <x v="1"/>
    <x v="46"/>
    <x v="2"/>
    <x v="11"/>
    <x v="614"/>
    <n v="9"/>
    <x v="3"/>
    <n v="76"/>
    <n v="10"/>
    <n v="39"/>
    <n v="75"/>
    <x v="1"/>
    <x v="0"/>
    <n v="2.2999999999999998"/>
  </r>
  <r>
    <x v="615"/>
    <s v="FN617"/>
    <s v="LN617"/>
    <x v="0"/>
    <n v="45"/>
    <x v="3"/>
    <x v="2"/>
    <x v="2"/>
    <x v="1"/>
    <x v="1"/>
    <s v="2024-04-15"/>
    <s v="2027-07-21"/>
    <x v="1"/>
    <x v="26"/>
    <x v="0"/>
    <x v="16"/>
    <x v="615"/>
    <n v="11"/>
    <x v="2"/>
    <n v="90"/>
    <n v="11"/>
    <n v="8"/>
    <n v="68"/>
    <x v="1"/>
    <x v="0"/>
    <n v="2.2999999999999998"/>
  </r>
  <r>
    <x v="616"/>
    <s v="FN618"/>
    <s v="LN618"/>
    <x v="1"/>
    <n v="32"/>
    <x v="2"/>
    <x v="3"/>
    <x v="1"/>
    <x v="2"/>
    <x v="0"/>
    <s v="2024-04-04"/>
    <m/>
    <x v="0"/>
    <x v="9"/>
    <x v="2"/>
    <x v="23"/>
    <x v="616"/>
    <n v="17"/>
    <x v="20"/>
    <n v="51"/>
    <n v="15"/>
    <n v="24"/>
    <n v="3"/>
    <x v="1"/>
    <x v="0"/>
    <n v="2.2999999999999998"/>
  </r>
  <r>
    <x v="617"/>
    <s v="FN619"/>
    <s v="LN619"/>
    <x v="0"/>
    <n v="47"/>
    <x v="1"/>
    <x v="4"/>
    <x v="3"/>
    <x v="2"/>
    <x v="0"/>
    <s v="2016-11-05"/>
    <s v="2023-05-17"/>
    <x v="1"/>
    <x v="75"/>
    <x v="1"/>
    <x v="19"/>
    <x v="617"/>
    <n v="9"/>
    <x v="0"/>
    <n v="97"/>
    <n v="11"/>
    <n v="4"/>
    <n v="78"/>
    <x v="0"/>
    <x v="0"/>
    <n v="9.6999999999999993"/>
  </r>
  <r>
    <x v="618"/>
    <s v="FN620"/>
    <s v="LN620"/>
    <x v="0"/>
    <n v="26"/>
    <x v="3"/>
    <x v="2"/>
    <x v="4"/>
    <x v="2"/>
    <x v="0"/>
    <s v="2021-12-09"/>
    <m/>
    <x v="0"/>
    <x v="62"/>
    <x v="0"/>
    <x v="32"/>
    <x v="618"/>
    <n v="22"/>
    <x v="22"/>
    <n v="80"/>
    <n v="14"/>
    <n v="37"/>
    <n v="36"/>
    <x v="1"/>
    <x v="0"/>
    <n v="4.5999999999999996"/>
  </r>
  <r>
    <x v="619"/>
    <s v="FN621"/>
    <s v="LN621"/>
    <x v="0"/>
    <n v="35"/>
    <x v="0"/>
    <x v="0"/>
    <x v="0"/>
    <x v="2"/>
    <x v="0"/>
    <s v="2019-07-23"/>
    <m/>
    <x v="0"/>
    <x v="15"/>
    <x v="0"/>
    <x v="16"/>
    <x v="619"/>
    <n v="17"/>
    <x v="25"/>
    <n v="89"/>
    <n v="6"/>
    <n v="46"/>
    <n v="57"/>
    <x v="1"/>
    <x v="2"/>
    <n v="7"/>
  </r>
  <r>
    <x v="620"/>
    <s v="FN622"/>
    <s v="LN622"/>
    <x v="1"/>
    <n v="28"/>
    <x v="2"/>
    <x v="5"/>
    <x v="2"/>
    <x v="0"/>
    <x v="0"/>
    <s v="2021-04-21"/>
    <m/>
    <x v="0"/>
    <x v="35"/>
    <x v="0"/>
    <x v="27"/>
    <x v="620"/>
    <n v="13"/>
    <x v="19"/>
    <n v="59"/>
    <n v="12"/>
    <n v="1"/>
    <n v="37"/>
    <x v="1"/>
    <x v="0"/>
    <n v="5.3"/>
  </r>
  <r>
    <x v="621"/>
    <s v="FN623"/>
    <s v="LN623"/>
    <x v="1"/>
    <n v="24"/>
    <x v="4"/>
    <x v="9"/>
    <x v="0"/>
    <x v="1"/>
    <x v="0"/>
    <s v="2022-11-19"/>
    <m/>
    <x v="0"/>
    <x v="14"/>
    <x v="0"/>
    <x v="33"/>
    <x v="621"/>
    <n v="13"/>
    <x v="22"/>
    <n v="98"/>
    <n v="7"/>
    <n v="6"/>
    <n v="37"/>
    <x v="1"/>
    <x v="0"/>
    <n v="3.7"/>
  </r>
  <r>
    <x v="622"/>
    <s v="FN624"/>
    <s v="LN624"/>
    <x v="0"/>
    <n v="32"/>
    <x v="4"/>
    <x v="6"/>
    <x v="1"/>
    <x v="0"/>
    <x v="0"/>
    <s v="2020-04-01"/>
    <m/>
    <x v="0"/>
    <x v="28"/>
    <x v="0"/>
    <x v="0"/>
    <x v="622"/>
    <n v="25"/>
    <x v="9"/>
    <n v="100"/>
    <n v="7"/>
    <n v="14"/>
    <n v="36"/>
    <x v="1"/>
    <x v="2"/>
    <n v="6.3"/>
  </r>
  <r>
    <x v="623"/>
    <s v="FN625"/>
    <s v="LN625"/>
    <x v="0"/>
    <n v="36"/>
    <x v="0"/>
    <x v="0"/>
    <x v="3"/>
    <x v="2"/>
    <x v="0"/>
    <s v="2023-03-03"/>
    <s v="2028-07-01"/>
    <x v="1"/>
    <x v="27"/>
    <x v="0"/>
    <x v="1"/>
    <x v="623"/>
    <n v="25"/>
    <x v="3"/>
    <n v="59"/>
    <n v="11"/>
    <n v="27"/>
    <n v="62"/>
    <x v="0"/>
    <x v="1"/>
    <n v="3.4"/>
  </r>
  <r>
    <x v="624"/>
    <s v="FN626"/>
    <s v="LN626"/>
    <x v="0"/>
    <n v="59"/>
    <x v="2"/>
    <x v="7"/>
    <x v="1"/>
    <x v="1"/>
    <x v="0"/>
    <s v="2016-03-21"/>
    <m/>
    <x v="0"/>
    <x v="42"/>
    <x v="1"/>
    <x v="17"/>
    <x v="624"/>
    <n v="19"/>
    <x v="17"/>
    <n v="72"/>
    <n v="0"/>
    <n v="56"/>
    <n v="53"/>
    <x v="0"/>
    <x v="2"/>
    <n v="10.4"/>
  </r>
  <r>
    <x v="625"/>
    <s v="FN627"/>
    <s v="LN627"/>
    <x v="1"/>
    <n v="23"/>
    <x v="3"/>
    <x v="10"/>
    <x v="0"/>
    <x v="1"/>
    <x v="0"/>
    <s v="2018-12-01"/>
    <m/>
    <x v="0"/>
    <x v="78"/>
    <x v="1"/>
    <x v="10"/>
    <x v="625"/>
    <n v="12"/>
    <x v="25"/>
    <n v="90"/>
    <n v="9"/>
    <n v="56"/>
    <n v="15"/>
    <x v="1"/>
    <x v="2"/>
    <n v="7.7"/>
  </r>
  <r>
    <x v="626"/>
    <s v="FN628"/>
    <s v="LN628"/>
    <x v="1"/>
    <n v="57"/>
    <x v="0"/>
    <x v="2"/>
    <x v="3"/>
    <x v="1"/>
    <x v="1"/>
    <s v="2024-10-07"/>
    <m/>
    <x v="0"/>
    <x v="75"/>
    <x v="1"/>
    <x v="15"/>
    <x v="626"/>
    <n v="5"/>
    <x v="5"/>
    <n v="66"/>
    <n v="0"/>
    <n v="7"/>
    <n v="53"/>
    <x v="1"/>
    <x v="2"/>
    <n v="1.8"/>
  </r>
  <r>
    <x v="627"/>
    <s v="FN629"/>
    <s v="LN629"/>
    <x v="1"/>
    <n v="51"/>
    <x v="2"/>
    <x v="7"/>
    <x v="3"/>
    <x v="0"/>
    <x v="1"/>
    <s v="2024-02-22"/>
    <m/>
    <x v="0"/>
    <x v="68"/>
    <x v="1"/>
    <x v="33"/>
    <x v="627"/>
    <n v="16"/>
    <x v="22"/>
    <n v="74"/>
    <n v="3"/>
    <n v="10"/>
    <n v="4"/>
    <x v="1"/>
    <x v="2"/>
    <n v="2.4"/>
  </r>
  <r>
    <x v="628"/>
    <s v="FN630"/>
    <s v="LN630"/>
    <x v="0"/>
    <n v="56"/>
    <x v="4"/>
    <x v="9"/>
    <x v="2"/>
    <x v="0"/>
    <x v="1"/>
    <s v="2022-11-05"/>
    <m/>
    <x v="0"/>
    <x v="38"/>
    <x v="1"/>
    <x v="18"/>
    <x v="628"/>
    <n v="14"/>
    <x v="7"/>
    <n v="65"/>
    <n v="18"/>
    <n v="10"/>
    <n v="31"/>
    <x v="0"/>
    <x v="1"/>
    <n v="3.7"/>
  </r>
  <r>
    <x v="629"/>
    <s v="FN631"/>
    <s v="LN631"/>
    <x v="1"/>
    <n v="51"/>
    <x v="2"/>
    <x v="5"/>
    <x v="1"/>
    <x v="1"/>
    <x v="1"/>
    <s v="2017-06-27"/>
    <m/>
    <x v="0"/>
    <x v="43"/>
    <x v="2"/>
    <x v="34"/>
    <x v="629"/>
    <n v="23"/>
    <x v="21"/>
    <n v="67"/>
    <n v="20"/>
    <n v="51"/>
    <n v="21"/>
    <x v="0"/>
    <x v="1"/>
    <n v="9.1"/>
  </r>
  <r>
    <x v="630"/>
    <s v="FN632"/>
    <s v="LN632"/>
    <x v="1"/>
    <n v="39"/>
    <x v="3"/>
    <x v="10"/>
    <x v="1"/>
    <x v="0"/>
    <x v="1"/>
    <s v="2020-11-17"/>
    <m/>
    <x v="0"/>
    <x v="44"/>
    <x v="1"/>
    <x v="25"/>
    <x v="630"/>
    <n v="13"/>
    <x v="19"/>
    <n v="93"/>
    <n v="6"/>
    <n v="4"/>
    <n v="72"/>
    <x v="0"/>
    <x v="1"/>
    <n v="5.7"/>
  </r>
  <r>
    <x v="631"/>
    <s v="FN633"/>
    <s v="LN633"/>
    <x v="0"/>
    <n v="49"/>
    <x v="3"/>
    <x v="10"/>
    <x v="4"/>
    <x v="1"/>
    <x v="1"/>
    <s v="2025-03-15"/>
    <m/>
    <x v="0"/>
    <x v="7"/>
    <x v="0"/>
    <x v="6"/>
    <x v="631"/>
    <n v="25"/>
    <x v="19"/>
    <n v="88"/>
    <n v="2"/>
    <n v="56"/>
    <n v="80"/>
    <x v="1"/>
    <x v="0"/>
    <n v="1.4"/>
  </r>
  <r>
    <x v="632"/>
    <s v="FN634"/>
    <s v="LN634"/>
    <x v="1"/>
    <n v="51"/>
    <x v="2"/>
    <x v="3"/>
    <x v="1"/>
    <x v="2"/>
    <x v="1"/>
    <s v="2017-01-19"/>
    <m/>
    <x v="0"/>
    <x v="58"/>
    <x v="0"/>
    <x v="34"/>
    <x v="632"/>
    <n v="21"/>
    <x v="9"/>
    <n v="71"/>
    <n v="6"/>
    <n v="30"/>
    <n v="5"/>
    <x v="1"/>
    <x v="0"/>
    <n v="9.5"/>
  </r>
  <r>
    <x v="633"/>
    <s v="FN635"/>
    <s v="LN635"/>
    <x v="0"/>
    <n v="31"/>
    <x v="2"/>
    <x v="7"/>
    <x v="0"/>
    <x v="1"/>
    <x v="0"/>
    <s v="2026-04-08"/>
    <m/>
    <x v="0"/>
    <x v="36"/>
    <x v="2"/>
    <x v="35"/>
    <x v="633"/>
    <n v="25"/>
    <x v="7"/>
    <n v="51"/>
    <n v="11"/>
    <n v="11"/>
    <n v="54"/>
    <x v="0"/>
    <x v="1"/>
    <n v="0.3"/>
  </r>
  <r>
    <x v="634"/>
    <s v="FN636"/>
    <s v="LN636"/>
    <x v="0"/>
    <n v="31"/>
    <x v="4"/>
    <x v="6"/>
    <x v="4"/>
    <x v="0"/>
    <x v="0"/>
    <s v="2019-01-25"/>
    <m/>
    <x v="0"/>
    <x v="34"/>
    <x v="2"/>
    <x v="4"/>
    <x v="634"/>
    <n v="25"/>
    <x v="18"/>
    <n v="75"/>
    <n v="6"/>
    <n v="43"/>
    <n v="61"/>
    <x v="1"/>
    <x v="2"/>
    <n v="7.5"/>
  </r>
  <r>
    <x v="635"/>
    <s v="FN637"/>
    <s v="LN637"/>
    <x v="1"/>
    <n v="56"/>
    <x v="0"/>
    <x v="0"/>
    <x v="4"/>
    <x v="2"/>
    <x v="1"/>
    <s v="2020-06-07"/>
    <m/>
    <x v="0"/>
    <x v="73"/>
    <x v="2"/>
    <x v="13"/>
    <x v="635"/>
    <n v="25"/>
    <x v="6"/>
    <n v="71"/>
    <n v="20"/>
    <n v="32"/>
    <n v="38"/>
    <x v="1"/>
    <x v="0"/>
    <n v="6.1"/>
  </r>
  <r>
    <x v="636"/>
    <s v="FN638"/>
    <s v="LN638"/>
    <x v="0"/>
    <n v="32"/>
    <x v="5"/>
    <x v="8"/>
    <x v="3"/>
    <x v="0"/>
    <x v="0"/>
    <s v="2023-01-09"/>
    <s v="2024-06-12"/>
    <x v="1"/>
    <x v="56"/>
    <x v="2"/>
    <x v="30"/>
    <x v="636"/>
    <n v="13"/>
    <x v="2"/>
    <n v="56"/>
    <n v="14"/>
    <n v="34"/>
    <n v="69"/>
    <x v="1"/>
    <x v="0"/>
    <n v="3.6"/>
  </r>
  <r>
    <x v="637"/>
    <s v="FN639"/>
    <s v="LN639"/>
    <x v="1"/>
    <n v="29"/>
    <x v="3"/>
    <x v="2"/>
    <x v="3"/>
    <x v="0"/>
    <x v="1"/>
    <s v="2023-03-28"/>
    <m/>
    <x v="0"/>
    <x v="13"/>
    <x v="0"/>
    <x v="27"/>
    <x v="637"/>
    <n v="5"/>
    <x v="6"/>
    <n v="60"/>
    <n v="15"/>
    <n v="39"/>
    <n v="48"/>
    <x v="0"/>
    <x v="0"/>
    <n v="3.3"/>
  </r>
  <r>
    <x v="638"/>
    <s v="FN640"/>
    <s v="LN640"/>
    <x v="0"/>
    <n v="60"/>
    <x v="3"/>
    <x v="2"/>
    <x v="1"/>
    <x v="2"/>
    <x v="1"/>
    <s v="2016-11-22"/>
    <m/>
    <x v="0"/>
    <x v="70"/>
    <x v="2"/>
    <x v="7"/>
    <x v="638"/>
    <n v="18"/>
    <x v="15"/>
    <n v="57"/>
    <n v="10"/>
    <n v="43"/>
    <n v="69"/>
    <x v="0"/>
    <x v="0"/>
    <n v="9.6999999999999993"/>
  </r>
  <r>
    <x v="639"/>
    <s v="FN641"/>
    <s v="LN641"/>
    <x v="0"/>
    <n v="44"/>
    <x v="3"/>
    <x v="10"/>
    <x v="2"/>
    <x v="0"/>
    <x v="0"/>
    <s v="2016-04-16"/>
    <m/>
    <x v="0"/>
    <x v="28"/>
    <x v="2"/>
    <x v="32"/>
    <x v="639"/>
    <n v="21"/>
    <x v="16"/>
    <n v="84"/>
    <n v="0"/>
    <n v="24"/>
    <n v="33"/>
    <x v="0"/>
    <x v="0"/>
    <n v="10.3"/>
  </r>
  <r>
    <x v="640"/>
    <s v="FN642"/>
    <s v="LN642"/>
    <x v="1"/>
    <n v="40"/>
    <x v="5"/>
    <x v="2"/>
    <x v="3"/>
    <x v="2"/>
    <x v="1"/>
    <s v="2018-03-30"/>
    <s v="2019-04-14"/>
    <x v="1"/>
    <x v="8"/>
    <x v="0"/>
    <x v="0"/>
    <x v="640"/>
    <n v="17"/>
    <x v="6"/>
    <n v="81"/>
    <n v="14"/>
    <n v="4"/>
    <n v="74"/>
    <x v="1"/>
    <x v="2"/>
    <n v="8.3000000000000007"/>
  </r>
  <r>
    <x v="641"/>
    <s v="FN643"/>
    <s v="LN643"/>
    <x v="1"/>
    <n v="46"/>
    <x v="2"/>
    <x v="7"/>
    <x v="2"/>
    <x v="0"/>
    <x v="1"/>
    <s v="2023-06-04"/>
    <m/>
    <x v="0"/>
    <x v="45"/>
    <x v="1"/>
    <x v="3"/>
    <x v="641"/>
    <n v="9"/>
    <x v="20"/>
    <n v="99"/>
    <n v="15"/>
    <n v="17"/>
    <n v="14"/>
    <x v="1"/>
    <x v="0"/>
    <n v="3.2"/>
  </r>
  <r>
    <x v="642"/>
    <s v="FN644"/>
    <s v="LN644"/>
    <x v="0"/>
    <n v="58"/>
    <x v="3"/>
    <x v="10"/>
    <x v="1"/>
    <x v="0"/>
    <x v="0"/>
    <s v="2026-05-22"/>
    <m/>
    <x v="0"/>
    <x v="41"/>
    <x v="2"/>
    <x v="34"/>
    <x v="642"/>
    <n v="6"/>
    <x v="7"/>
    <n v="94"/>
    <n v="0"/>
    <n v="50"/>
    <n v="4"/>
    <x v="0"/>
    <x v="0"/>
    <n v="0.2"/>
  </r>
  <r>
    <x v="643"/>
    <s v="FN645"/>
    <s v="LN645"/>
    <x v="0"/>
    <n v="44"/>
    <x v="2"/>
    <x v="3"/>
    <x v="2"/>
    <x v="0"/>
    <x v="0"/>
    <s v="2024-09-25"/>
    <s v="2030-08-18"/>
    <x v="1"/>
    <x v="63"/>
    <x v="0"/>
    <x v="9"/>
    <x v="643"/>
    <n v="11"/>
    <x v="22"/>
    <n v="98"/>
    <n v="18"/>
    <n v="14"/>
    <n v="45"/>
    <x v="0"/>
    <x v="0"/>
    <n v="1.8"/>
  </r>
  <r>
    <x v="644"/>
    <s v="FN646"/>
    <s v="LN646"/>
    <x v="0"/>
    <n v="42"/>
    <x v="2"/>
    <x v="3"/>
    <x v="0"/>
    <x v="2"/>
    <x v="1"/>
    <s v="2018-11-05"/>
    <m/>
    <x v="0"/>
    <x v="39"/>
    <x v="2"/>
    <x v="24"/>
    <x v="644"/>
    <n v="5"/>
    <x v="19"/>
    <n v="66"/>
    <n v="0"/>
    <n v="30"/>
    <n v="64"/>
    <x v="1"/>
    <x v="2"/>
    <n v="7.7"/>
  </r>
  <r>
    <x v="645"/>
    <s v="FN647"/>
    <s v="LN647"/>
    <x v="1"/>
    <n v="60"/>
    <x v="1"/>
    <x v="4"/>
    <x v="2"/>
    <x v="0"/>
    <x v="1"/>
    <s v="2020-02-21"/>
    <m/>
    <x v="0"/>
    <x v="60"/>
    <x v="2"/>
    <x v="16"/>
    <x v="645"/>
    <n v="8"/>
    <x v="0"/>
    <n v="90"/>
    <n v="8"/>
    <n v="8"/>
    <n v="24"/>
    <x v="0"/>
    <x v="1"/>
    <n v="6.4"/>
  </r>
  <r>
    <x v="646"/>
    <s v="FN648"/>
    <s v="LN648"/>
    <x v="0"/>
    <n v="21"/>
    <x v="2"/>
    <x v="3"/>
    <x v="3"/>
    <x v="1"/>
    <x v="0"/>
    <s v="2026-05-02"/>
    <m/>
    <x v="0"/>
    <x v="9"/>
    <x v="1"/>
    <x v="0"/>
    <x v="646"/>
    <n v="19"/>
    <x v="12"/>
    <n v="59"/>
    <n v="11"/>
    <n v="2"/>
    <n v="75"/>
    <x v="1"/>
    <x v="0"/>
    <n v="0.2"/>
  </r>
  <r>
    <x v="647"/>
    <s v="FN649"/>
    <s v="LN649"/>
    <x v="1"/>
    <n v="38"/>
    <x v="1"/>
    <x v="4"/>
    <x v="4"/>
    <x v="0"/>
    <x v="1"/>
    <s v="2016-03-31"/>
    <m/>
    <x v="0"/>
    <x v="26"/>
    <x v="1"/>
    <x v="19"/>
    <x v="647"/>
    <n v="6"/>
    <x v="25"/>
    <n v="55"/>
    <n v="14"/>
    <n v="43"/>
    <n v="0"/>
    <x v="0"/>
    <x v="1"/>
    <n v="10.3"/>
  </r>
  <r>
    <x v="648"/>
    <s v="FN650"/>
    <s v="LN650"/>
    <x v="1"/>
    <n v="34"/>
    <x v="0"/>
    <x v="0"/>
    <x v="3"/>
    <x v="2"/>
    <x v="0"/>
    <s v="2023-09-18"/>
    <m/>
    <x v="0"/>
    <x v="2"/>
    <x v="1"/>
    <x v="11"/>
    <x v="648"/>
    <n v="14"/>
    <x v="10"/>
    <n v="75"/>
    <n v="3"/>
    <n v="23"/>
    <n v="78"/>
    <x v="0"/>
    <x v="1"/>
    <n v="2.9"/>
  </r>
  <r>
    <x v="649"/>
    <s v="FN651"/>
    <s v="LN651"/>
    <x v="1"/>
    <n v="45"/>
    <x v="1"/>
    <x v="1"/>
    <x v="1"/>
    <x v="0"/>
    <x v="0"/>
    <s v="2020-02-05"/>
    <m/>
    <x v="0"/>
    <x v="9"/>
    <x v="1"/>
    <x v="10"/>
    <x v="649"/>
    <n v="22"/>
    <x v="3"/>
    <n v="54"/>
    <n v="4"/>
    <n v="24"/>
    <n v="36"/>
    <x v="0"/>
    <x v="2"/>
    <n v="6.5"/>
  </r>
  <r>
    <x v="650"/>
    <s v="FN652"/>
    <s v="LN652"/>
    <x v="1"/>
    <n v="52"/>
    <x v="1"/>
    <x v="4"/>
    <x v="2"/>
    <x v="2"/>
    <x v="1"/>
    <s v="2018-02-12"/>
    <m/>
    <x v="0"/>
    <x v="16"/>
    <x v="2"/>
    <x v="11"/>
    <x v="650"/>
    <n v="23"/>
    <x v="0"/>
    <n v="95"/>
    <n v="1"/>
    <n v="2"/>
    <n v="68"/>
    <x v="0"/>
    <x v="0"/>
    <n v="8.5"/>
  </r>
  <r>
    <x v="651"/>
    <s v="FN653"/>
    <s v="LN653"/>
    <x v="1"/>
    <n v="22"/>
    <x v="0"/>
    <x v="0"/>
    <x v="2"/>
    <x v="0"/>
    <x v="0"/>
    <s v="2020-11-03"/>
    <m/>
    <x v="0"/>
    <x v="34"/>
    <x v="1"/>
    <x v="14"/>
    <x v="651"/>
    <n v="12"/>
    <x v="7"/>
    <n v="66"/>
    <n v="2"/>
    <n v="39"/>
    <n v="45"/>
    <x v="1"/>
    <x v="2"/>
    <n v="5.7"/>
  </r>
  <r>
    <x v="652"/>
    <s v="FN654"/>
    <s v="LN654"/>
    <x v="1"/>
    <n v="33"/>
    <x v="3"/>
    <x v="10"/>
    <x v="4"/>
    <x v="2"/>
    <x v="0"/>
    <s v="2016-08-11"/>
    <m/>
    <x v="0"/>
    <x v="68"/>
    <x v="2"/>
    <x v="22"/>
    <x v="652"/>
    <n v="18"/>
    <x v="7"/>
    <n v="87"/>
    <n v="18"/>
    <n v="45"/>
    <n v="32"/>
    <x v="0"/>
    <x v="1"/>
    <n v="10"/>
  </r>
  <r>
    <x v="653"/>
    <s v="FN655"/>
    <s v="LN655"/>
    <x v="0"/>
    <n v="27"/>
    <x v="4"/>
    <x v="2"/>
    <x v="4"/>
    <x v="0"/>
    <x v="0"/>
    <s v="2016-04-16"/>
    <m/>
    <x v="0"/>
    <x v="15"/>
    <x v="1"/>
    <x v="35"/>
    <x v="653"/>
    <n v="11"/>
    <x v="4"/>
    <n v="55"/>
    <n v="6"/>
    <n v="35"/>
    <n v="66"/>
    <x v="1"/>
    <x v="2"/>
    <n v="10.3"/>
  </r>
  <r>
    <x v="654"/>
    <s v="FN656"/>
    <s v="LN656"/>
    <x v="0"/>
    <n v="38"/>
    <x v="1"/>
    <x v="1"/>
    <x v="1"/>
    <x v="0"/>
    <x v="1"/>
    <s v="2018-05-17"/>
    <m/>
    <x v="0"/>
    <x v="2"/>
    <x v="1"/>
    <x v="10"/>
    <x v="654"/>
    <n v="13"/>
    <x v="8"/>
    <n v="98"/>
    <n v="6"/>
    <n v="4"/>
    <n v="68"/>
    <x v="0"/>
    <x v="2"/>
    <n v="8.1999999999999993"/>
  </r>
  <r>
    <x v="655"/>
    <s v="FN657"/>
    <s v="LN657"/>
    <x v="1"/>
    <n v="58"/>
    <x v="2"/>
    <x v="5"/>
    <x v="4"/>
    <x v="1"/>
    <x v="0"/>
    <s v="2016-01-05"/>
    <m/>
    <x v="0"/>
    <x v="9"/>
    <x v="0"/>
    <x v="12"/>
    <x v="655"/>
    <n v="5"/>
    <x v="11"/>
    <n v="70"/>
    <n v="9"/>
    <n v="13"/>
    <n v="16"/>
    <x v="1"/>
    <x v="2"/>
    <n v="10.6"/>
  </r>
  <r>
    <x v="656"/>
    <s v="FN658"/>
    <s v="LN658"/>
    <x v="0"/>
    <n v="41"/>
    <x v="1"/>
    <x v="1"/>
    <x v="3"/>
    <x v="0"/>
    <x v="1"/>
    <s v="2022-04-18"/>
    <m/>
    <x v="0"/>
    <x v="24"/>
    <x v="0"/>
    <x v="5"/>
    <x v="656"/>
    <n v="12"/>
    <x v="3"/>
    <n v="70"/>
    <n v="15"/>
    <n v="37"/>
    <n v="22"/>
    <x v="0"/>
    <x v="1"/>
    <n v="4.3"/>
  </r>
  <r>
    <x v="657"/>
    <s v="FN659"/>
    <s v="LN659"/>
    <x v="0"/>
    <n v="39"/>
    <x v="4"/>
    <x v="6"/>
    <x v="2"/>
    <x v="0"/>
    <x v="1"/>
    <s v="2023-09-15"/>
    <m/>
    <x v="0"/>
    <x v="66"/>
    <x v="1"/>
    <x v="21"/>
    <x v="657"/>
    <n v="7"/>
    <x v="1"/>
    <n v="87"/>
    <n v="20"/>
    <n v="7"/>
    <n v="60"/>
    <x v="1"/>
    <x v="0"/>
    <n v="2.9"/>
  </r>
  <r>
    <x v="658"/>
    <s v="FN660"/>
    <s v="LN660"/>
    <x v="0"/>
    <n v="45"/>
    <x v="3"/>
    <x v="2"/>
    <x v="4"/>
    <x v="1"/>
    <x v="0"/>
    <s v="2024-12-30"/>
    <m/>
    <x v="0"/>
    <x v="76"/>
    <x v="2"/>
    <x v="4"/>
    <x v="658"/>
    <n v="17"/>
    <x v="1"/>
    <n v="72"/>
    <n v="4"/>
    <n v="25"/>
    <n v="62"/>
    <x v="0"/>
    <x v="0"/>
    <n v="1.6"/>
  </r>
  <r>
    <x v="659"/>
    <s v="FN661"/>
    <s v="LN661"/>
    <x v="1"/>
    <n v="44"/>
    <x v="0"/>
    <x v="2"/>
    <x v="4"/>
    <x v="2"/>
    <x v="0"/>
    <s v="2021-12-19"/>
    <m/>
    <x v="0"/>
    <x v="27"/>
    <x v="1"/>
    <x v="3"/>
    <x v="659"/>
    <n v="12"/>
    <x v="24"/>
    <n v="74"/>
    <n v="5"/>
    <n v="28"/>
    <n v="68"/>
    <x v="1"/>
    <x v="2"/>
    <n v="4.5999999999999996"/>
  </r>
  <r>
    <x v="660"/>
    <s v="FN662"/>
    <s v="LN662"/>
    <x v="0"/>
    <n v="58"/>
    <x v="3"/>
    <x v="2"/>
    <x v="3"/>
    <x v="0"/>
    <x v="0"/>
    <s v="2022-02-21"/>
    <s v="2026-09-09"/>
    <x v="1"/>
    <x v="14"/>
    <x v="0"/>
    <x v="21"/>
    <x v="660"/>
    <n v="14"/>
    <x v="10"/>
    <n v="63"/>
    <n v="20"/>
    <n v="30"/>
    <n v="61"/>
    <x v="0"/>
    <x v="0"/>
    <n v="4.4000000000000004"/>
  </r>
  <r>
    <x v="661"/>
    <s v="FN663"/>
    <s v="LN663"/>
    <x v="0"/>
    <n v="32"/>
    <x v="0"/>
    <x v="2"/>
    <x v="2"/>
    <x v="0"/>
    <x v="1"/>
    <s v="2017-08-13"/>
    <m/>
    <x v="0"/>
    <x v="43"/>
    <x v="1"/>
    <x v="24"/>
    <x v="661"/>
    <n v="20"/>
    <x v="16"/>
    <n v="93"/>
    <n v="1"/>
    <n v="9"/>
    <n v="40"/>
    <x v="0"/>
    <x v="2"/>
    <n v="9"/>
  </r>
  <r>
    <x v="662"/>
    <s v="FN664"/>
    <s v="LN664"/>
    <x v="0"/>
    <n v="34"/>
    <x v="4"/>
    <x v="9"/>
    <x v="3"/>
    <x v="0"/>
    <x v="0"/>
    <s v="2021-05-07"/>
    <m/>
    <x v="0"/>
    <x v="33"/>
    <x v="0"/>
    <x v="6"/>
    <x v="662"/>
    <n v="24"/>
    <x v="20"/>
    <n v="78"/>
    <n v="14"/>
    <n v="42"/>
    <n v="39"/>
    <x v="0"/>
    <x v="2"/>
    <n v="5.2"/>
  </r>
  <r>
    <x v="663"/>
    <s v="FN665"/>
    <s v="LN665"/>
    <x v="1"/>
    <n v="21"/>
    <x v="5"/>
    <x v="8"/>
    <x v="3"/>
    <x v="2"/>
    <x v="1"/>
    <s v="2016-10-31"/>
    <m/>
    <x v="0"/>
    <x v="55"/>
    <x v="2"/>
    <x v="26"/>
    <x v="663"/>
    <n v="18"/>
    <x v="5"/>
    <n v="97"/>
    <n v="8"/>
    <n v="21"/>
    <n v="61"/>
    <x v="1"/>
    <x v="1"/>
    <n v="9.6999999999999993"/>
  </r>
  <r>
    <x v="664"/>
    <s v="FN666"/>
    <s v="LN666"/>
    <x v="1"/>
    <n v="26"/>
    <x v="4"/>
    <x v="9"/>
    <x v="4"/>
    <x v="2"/>
    <x v="0"/>
    <s v="2023-03-21"/>
    <m/>
    <x v="0"/>
    <x v="2"/>
    <x v="0"/>
    <x v="7"/>
    <x v="664"/>
    <n v="21"/>
    <x v="10"/>
    <n v="86"/>
    <n v="10"/>
    <n v="47"/>
    <n v="73"/>
    <x v="0"/>
    <x v="1"/>
    <n v="3.4"/>
  </r>
  <r>
    <x v="665"/>
    <s v="FN667"/>
    <s v="LN667"/>
    <x v="1"/>
    <n v="23"/>
    <x v="1"/>
    <x v="4"/>
    <x v="2"/>
    <x v="2"/>
    <x v="1"/>
    <s v="2025-03-21"/>
    <m/>
    <x v="0"/>
    <x v="55"/>
    <x v="0"/>
    <x v="35"/>
    <x v="665"/>
    <n v="21"/>
    <x v="17"/>
    <n v="73"/>
    <n v="8"/>
    <n v="42"/>
    <n v="61"/>
    <x v="1"/>
    <x v="0"/>
    <n v="1.4"/>
  </r>
  <r>
    <x v="666"/>
    <s v="FN668"/>
    <s v="LN668"/>
    <x v="1"/>
    <n v="26"/>
    <x v="5"/>
    <x v="6"/>
    <x v="3"/>
    <x v="2"/>
    <x v="1"/>
    <s v="2025-06-18"/>
    <m/>
    <x v="0"/>
    <x v="65"/>
    <x v="0"/>
    <x v="33"/>
    <x v="666"/>
    <n v="20"/>
    <x v="22"/>
    <n v="96"/>
    <n v="10"/>
    <n v="19"/>
    <n v="14"/>
    <x v="0"/>
    <x v="0"/>
    <n v="1.1000000000000001"/>
  </r>
  <r>
    <x v="667"/>
    <s v="FN669"/>
    <s v="LN669"/>
    <x v="1"/>
    <n v="34"/>
    <x v="3"/>
    <x v="2"/>
    <x v="4"/>
    <x v="0"/>
    <x v="0"/>
    <s v="2017-01-18"/>
    <m/>
    <x v="0"/>
    <x v="35"/>
    <x v="0"/>
    <x v="8"/>
    <x v="667"/>
    <n v="18"/>
    <x v="3"/>
    <n v="50"/>
    <n v="11"/>
    <n v="13"/>
    <n v="10"/>
    <x v="0"/>
    <x v="1"/>
    <n v="9.5"/>
  </r>
  <r>
    <x v="668"/>
    <s v="FN670"/>
    <s v="LN670"/>
    <x v="0"/>
    <n v="23"/>
    <x v="3"/>
    <x v="2"/>
    <x v="2"/>
    <x v="2"/>
    <x v="1"/>
    <s v="2016-04-25"/>
    <m/>
    <x v="0"/>
    <x v="62"/>
    <x v="0"/>
    <x v="23"/>
    <x v="668"/>
    <n v="23"/>
    <x v="2"/>
    <n v="63"/>
    <n v="0"/>
    <n v="34"/>
    <n v="63"/>
    <x v="1"/>
    <x v="1"/>
    <n v="10.3"/>
  </r>
  <r>
    <x v="669"/>
    <s v="FN671"/>
    <s v="LN671"/>
    <x v="0"/>
    <n v="30"/>
    <x v="4"/>
    <x v="6"/>
    <x v="2"/>
    <x v="1"/>
    <x v="1"/>
    <s v="2017-09-14"/>
    <m/>
    <x v="0"/>
    <x v="9"/>
    <x v="1"/>
    <x v="8"/>
    <x v="669"/>
    <n v="9"/>
    <x v="12"/>
    <n v="57"/>
    <n v="20"/>
    <n v="44"/>
    <n v="23"/>
    <x v="0"/>
    <x v="0"/>
    <n v="8.9"/>
  </r>
  <r>
    <x v="670"/>
    <s v="FN672"/>
    <s v="LN672"/>
    <x v="1"/>
    <n v="55"/>
    <x v="4"/>
    <x v="2"/>
    <x v="3"/>
    <x v="2"/>
    <x v="1"/>
    <s v="2022-09-17"/>
    <m/>
    <x v="0"/>
    <x v="25"/>
    <x v="1"/>
    <x v="4"/>
    <x v="670"/>
    <n v="24"/>
    <x v="8"/>
    <n v="89"/>
    <n v="7"/>
    <n v="30"/>
    <n v="43"/>
    <x v="0"/>
    <x v="1"/>
    <n v="3.9"/>
  </r>
  <r>
    <x v="671"/>
    <s v="FN673"/>
    <s v="LN673"/>
    <x v="1"/>
    <n v="29"/>
    <x v="1"/>
    <x v="4"/>
    <x v="3"/>
    <x v="2"/>
    <x v="0"/>
    <s v="2019-12-20"/>
    <m/>
    <x v="0"/>
    <x v="67"/>
    <x v="1"/>
    <x v="12"/>
    <x v="671"/>
    <n v="9"/>
    <x v="15"/>
    <n v="83"/>
    <n v="18"/>
    <n v="5"/>
    <n v="44"/>
    <x v="0"/>
    <x v="1"/>
    <n v="6.6"/>
  </r>
  <r>
    <x v="672"/>
    <s v="FN674"/>
    <s v="LN674"/>
    <x v="1"/>
    <n v="23"/>
    <x v="1"/>
    <x v="4"/>
    <x v="1"/>
    <x v="1"/>
    <x v="0"/>
    <s v="2023-03-09"/>
    <m/>
    <x v="0"/>
    <x v="22"/>
    <x v="0"/>
    <x v="9"/>
    <x v="672"/>
    <n v="23"/>
    <x v="9"/>
    <n v="86"/>
    <n v="13"/>
    <n v="60"/>
    <n v="26"/>
    <x v="1"/>
    <x v="1"/>
    <n v="3.4"/>
  </r>
  <r>
    <x v="673"/>
    <s v="FN675"/>
    <s v="LN675"/>
    <x v="1"/>
    <n v="23"/>
    <x v="3"/>
    <x v="10"/>
    <x v="4"/>
    <x v="1"/>
    <x v="1"/>
    <s v="2025-09-09"/>
    <m/>
    <x v="0"/>
    <x v="63"/>
    <x v="0"/>
    <x v="34"/>
    <x v="673"/>
    <n v="9"/>
    <x v="24"/>
    <n v="87"/>
    <n v="6"/>
    <n v="40"/>
    <n v="15"/>
    <x v="1"/>
    <x v="2"/>
    <n v="0.9"/>
  </r>
  <r>
    <x v="674"/>
    <s v="FN676"/>
    <s v="LN676"/>
    <x v="0"/>
    <n v="28"/>
    <x v="2"/>
    <x v="3"/>
    <x v="0"/>
    <x v="2"/>
    <x v="1"/>
    <s v="2023-01-15"/>
    <m/>
    <x v="0"/>
    <x v="60"/>
    <x v="1"/>
    <x v="18"/>
    <x v="674"/>
    <n v="13"/>
    <x v="14"/>
    <n v="57"/>
    <n v="1"/>
    <n v="41"/>
    <n v="28"/>
    <x v="0"/>
    <x v="1"/>
    <n v="3.5"/>
  </r>
  <r>
    <x v="675"/>
    <s v="FN677"/>
    <s v="LN677"/>
    <x v="1"/>
    <n v="48"/>
    <x v="4"/>
    <x v="2"/>
    <x v="4"/>
    <x v="2"/>
    <x v="0"/>
    <s v="2020-07-08"/>
    <m/>
    <x v="0"/>
    <x v="16"/>
    <x v="1"/>
    <x v="27"/>
    <x v="675"/>
    <n v="20"/>
    <x v="18"/>
    <n v="96"/>
    <n v="12"/>
    <n v="53"/>
    <n v="36"/>
    <x v="0"/>
    <x v="1"/>
    <n v="6.1"/>
  </r>
  <r>
    <x v="676"/>
    <s v="FN678"/>
    <s v="LN678"/>
    <x v="0"/>
    <n v="35"/>
    <x v="1"/>
    <x v="1"/>
    <x v="3"/>
    <x v="1"/>
    <x v="1"/>
    <s v="2018-10-28"/>
    <m/>
    <x v="0"/>
    <x v="71"/>
    <x v="1"/>
    <x v="0"/>
    <x v="676"/>
    <n v="18"/>
    <x v="22"/>
    <n v="64"/>
    <n v="15"/>
    <n v="49"/>
    <n v="44"/>
    <x v="0"/>
    <x v="2"/>
    <n v="7.8"/>
  </r>
  <r>
    <x v="677"/>
    <s v="FN679"/>
    <s v="LN679"/>
    <x v="1"/>
    <n v="57"/>
    <x v="5"/>
    <x v="2"/>
    <x v="4"/>
    <x v="1"/>
    <x v="0"/>
    <s v="2024-03-15"/>
    <m/>
    <x v="0"/>
    <x v="56"/>
    <x v="1"/>
    <x v="34"/>
    <x v="677"/>
    <n v="5"/>
    <x v="14"/>
    <n v="90"/>
    <n v="0"/>
    <n v="30"/>
    <n v="18"/>
    <x v="1"/>
    <x v="2"/>
    <n v="2.4"/>
  </r>
  <r>
    <x v="678"/>
    <s v="FN680"/>
    <s v="LN680"/>
    <x v="1"/>
    <n v="24"/>
    <x v="5"/>
    <x v="2"/>
    <x v="2"/>
    <x v="0"/>
    <x v="1"/>
    <s v="2018-06-19"/>
    <m/>
    <x v="0"/>
    <x v="18"/>
    <x v="0"/>
    <x v="21"/>
    <x v="678"/>
    <n v="17"/>
    <x v="15"/>
    <n v="78"/>
    <n v="6"/>
    <n v="46"/>
    <n v="12"/>
    <x v="1"/>
    <x v="0"/>
    <n v="8.1"/>
  </r>
  <r>
    <x v="679"/>
    <s v="FN681"/>
    <s v="LN681"/>
    <x v="0"/>
    <n v="41"/>
    <x v="5"/>
    <x v="2"/>
    <x v="3"/>
    <x v="0"/>
    <x v="1"/>
    <s v="2024-07-22"/>
    <m/>
    <x v="0"/>
    <x v="12"/>
    <x v="0"/>
    <x v="33"/>
    <x v="679"/>
    <n v="11"/>
    <x v="19"/>
    <n v="60"/>
    <n v="3"/>
    <n v="33"/>
    <n v="53"/>
    <x v="0"/>
    <x v="2"/>
    <n v="2"/>
  </r>
  <r>
    <x v="680"/>
    <s v="FN682"/>
    <s v="LN682"/>
    <x v="1"/>
    <n v="42"/>
    <x v="1"/>
    <x v="1"/>
    <x v="3"/>
    <x v="0"/>
    <x v="1"/>
    <s v="2025-06-14"/>
    <m/>
    <x v="0"/>
    <x v="21"/>
    <x v="1"/>
    <x v="29"/>
    <x v="680"/>
    <n v="11"/>
    <x v="2"/>
    <n v="81"/>
    <n v="11"/>
    <n v="7"/>
    <n v="25"/>
    <x v="0"/>
    <x v="2"/>
    <n v="1.1000000000000001"/>
  </r>
  <r>
    <x v="681"/>
    <s v="FN683"/>
    <s v="LN683"/>
    <x v="1"/>
    <n v="26"/>
    <x v="5"/>
    <x v="6"/>
    <x v="4"/>
    <x v="2"/>
    <x v="0"/>
    <s v="2025-03-30"/>
    <m/>
    <x v="0"/>
    <x v="47"/>
    <x v="1"/>
    <x v="23"/>
    <x v="681"/>
    <n v="12"/>
    <x v="12"/>
    <n v="53"/>
    <n v="15"/>
    <n v="48"/>
    <n v="34"/>
    <x v="1"/>
    <x v="1"/>
    <n v="1.3"/>
  </r>
  <r>
    <x v="682"/>
    <s v="FN684"/>
    <s v="LN684"/>
    <x v="1"/>
    <n v="29"/>
    <x v="2"/>
    <x v="3"/>
    <x v="2"/>
    <x v="2"/>
    <x v="0"/>
    <s v="2018-08-07"/>
    <m/>
    <x v="0"/>
    <x v="34"/>
    <x v="1"/>
    <x v="27"/>
    <x v="682"/>
    <n v="10"/>
    <x v="5"/>
    <n v="92"/>
    <n v="15"/>
    <n v="51"/>
    <n v="37"/>
    <x v="0"/>
    <x v="0"/>
    <n v="8"/>
  </r>
  <r>
    <x v="683"/>
    <s v="FN685"/>
    <s v="LN685"/>
    <x v="1"/>
    <n v="48"/>
    <x v="0"/>
    <x v="2"/>
    <x v="1"/>
    <x v="2"/>
    <x v="0"/>
    <s v="2023-10-17"/>
    <m/>
    <x v="0"/>
    <x v="12"/>
    <x v="2"/>
    <x v="5"/>
    <x v="683"/>
    <n v="20"/>
    <x v="21"/>
    <n v="89"/>
    <n v="14"/>
    <n v="26"/>
    <n v="16"/>
    <x v="1"/>
    <x v="1"/>
    <n v="2.8"/>
  </r>
  <r>
    <x v="684"/>
    <s v="FN686"/>
    <s v="LN686"/>
    <x v="1"/>
    <n v="32"/>
    <x v="0"/>
    <x v="2"/>
    <x v="2"/>
    <x v="2"/>
    <x v="1"/>
    <s v="2019-03-08"/>
    <m/>
    <x v="0"/>
    <x v="12"/>
    <x v="0"/>
    <x v="16"/>
    <x v="684"/>
    <n v="22"/>
    <x v="11"/>
    <n v="95"/>
    <n v="12"/>
    <n v="42"/>
    <n v="12"/>
    <x v="1"/>
    <x v="1"/>
    <n v="7.4"/>
  </r>
  <r>
    <x v="685"/>
    <s v="FN687"/>
    <s v="LN687"/>
    <x v="0"/>
    <n v="28"/>
    <x v="5"/>
    <x v="6"/>
    <x v="3"/>
    <x v="1"/>
    <x v="0"/>
    <s v="2025-07-09"/>
    <m/>
    <x v="0"/>
    <x v="29"/>
    <x v="1"/>
    <x v="9"/>
    <x v="685"/>
    <n v="21"/>
    <x v="7"/>
    <n v="66"/>
    <n v="7"/>
    <n v="52"/>
    <n v="31"/>
    <x v="1"/>
    <x v="0"/>
    <n v="1.1000000000000001"/>
  </r>
  <r>
    <x v="686"/>
    <s v="FN688"/>
    <s v="LN688"/>
    <x v="1"/>
    <n v="29"/>
    <x v="0"/>
    <x v="0"/>
    <x v="3"/>
    <x v="2"/>
    <x v="0"/>
    <s v="2018-01-02"/>
    <m/>
    <x v="0"/>
    <x v="43"/>
    <x v="0"/>
    <x v="29"/>
    <x v="686"/>
    <n v="25"/>
    <x v="12"/>
    <n v="81"/>
    <n v="2"/>
    <n v="4"/>
    <n v="10"/>
    <x v="1"/>
    <x v="1"/>
    <n v="8.6"/>
  </r>
  <r>
    <x v="687"/>
    <s v="FN689"/>
    <s v="LN689"/>
    <x v="0"/>
    <n v="29"/>
    <x v="3"/>
    <x v="2"/>
    <x v="4"/>
    <x v="1"/>
    <x v="1"/>
    <s v="2019-11-10"/>
    <m/>
    <x v="0"/>
    <x v="17"/>
    <x v="0"/>
    <x v="15"/>
    <x v="687"/>
    <n v="6"/>
    <x v="21"/>
    <n v="54"/>
    <n v="7"/>
    <n v="20"/>
    <n v="8"/>
    <x v="0"/>
    <x v="2"/>
    <n v="6.7"/>
  </r>
  <r>
    <x v="688"/>
    <s v="FN690"/>
    <s v="LN690"/>
    <x v="1"/>
    <n v="45"/>
    <x v="3"/>
    <x v="2"/>
    <x v="2"/>
    <x v="1"/>
    <x v="0"/>
    <s v="2024-12-03"/>
    <m/>
    <x v="0"/>
    <x v="37"/>
    <x v="1"/>
    <x v="33"/>
    <x v="688"/>
    <n v="23"/>
    <x v="0"/>
    <n v="76"/>
    <n v="15"/>
    <n v="3"/>
    <n v="60"/>
    <x v="0"/>
    <x v="0"/>
    <n v="1.7"/>
  </r>
  <r>
    <x v="689"/>
    <s v="FN691"/>
    <s v="LN691"/>
    <x v="0"/>
    <n v="48"/>
    <x v="2"/>
    <x v="3"/>
    <x v="1"/>
    <x v="0"/>
    <x v="0"/>
    <s v="2024-10-24"/>
    <s v="2029-10-22"/>
    <x v="1"/>
    <x v="18"/>
    <x v="0"/>
    <x v="33"/>
    <x v="689"/>
    <n v="19"/>
    <x v="4"/>
    <n v="80"/>
    <n v="13"/>
    <n v="53"/>
    <n v="8"/>
    <x v="1"/>
    <x v="1"/>
    <n v="1.8"/>
  </r>
  <r>
    <x v="690"/>
    <s v="FN692"/>
    <s v="LN692"/>
    <x v="0"/>
    <n v="26"/>
    <x v="2"/>
    <x v="3"/>
    <x v="0"/>
    <x v="0"/>
    <x v="0"/>
    <s v="2020-03-07"/>
    <m/>
    <x v="0"/>
    <x v="53"/>
    <x v="2"/>
    <x v="3"/>
    <x v="690"/>
    <n v="13"/>
    <x v="6"/>
    <n v="93"/>
    <n v="7"/>
    <n v="27"/>
    <n v="77"/>
    <x v="1"/>
    <x v="2"/>
    <n v="6.4"/>
  </r>
  <r>
    <x v="691"/>
    <s v="FN693"/>
    <s v="LN693"/>
    <x v="1"/>
    <n v="59"/>
    <x v="1"/>
    <x v="1"/>
    <x v="2"/>
    <x v="1"/>
    <x v="0"/>
    <s v="2016-11-24"/>
    <m/>
    <x v="0"/>
    <x v="26"/>
    <x v="1"/>
    <x v="4"/>
    <x v="691"/>
    <n v="8"/>
    <x v="1"/>
    <n v="88"/>
    <n v="13"/>
    <n v="55"/>
    <n v="59"/>
    <x v="1"/>
    <x v="1"/>
    <n v="9.6999999999999993"/>
  </r>
  <r>
    <x v="692"/>
    <s v="FN694"/>
    <s v="LN694"/>
    <x v="1"/>
    <n v="51"/>
    <x v="4"/>
    <x v="2"/>
    <x v="0"/>
    <x v="2"/>
    <x v="1"/>
    <s v="2017-02-06"/>
    <m/>
    <x v="0"/>
    <x v="19"/>
    <x v="2"/>
    <x v="31"/>
    <x v="692"/>
    <n v="8"/>
    <x v="19"/>
    <n v="71"/>
    <n v="18"/>
    <n v="19"/>
    <n v="1"/>
    <x v="0"/>
    <x v="0"/>
    <n v="9.5"/>
  </r>
  <r>
    <x v="693"/>
    <s v="FN695"/>
    <s v="LN695"/>
    <x v="0"/>
    <n v="50"/>
    <x v="3"/>
    <x v="10"/>
    <x v="3"/>
    <x v="1"/>
    <x v="0"/>
    <s v="2019-07-01"/>
    <m/>
    <x v="0"/>
    <x v="34"/>
    <x v="0"/>
    <x v="34"/>
    <x v="693"/>
    <n v="5"/>
    <x v="6"/>
    <n v="65"/>
    <n v="14"/>
    <n v="59"/>
    <n v="0"/>
    <x v="0"/>
    <x v="1"/>
    <n v="7.1"/>
  </r>
  <r>
    <x v="694"/>
    <s v="FN696"/>
    <s v="LN696"/>
    <x v="0"/>
    <n v="32"/>
    <x v="5"/>
    <x v="2"/>
    <x v="2"/>
    <x v="0"/>
    <x v="0"/>
    <s v="2018-01-06"/>
    <m/>
    <x v="0"/>
    <x v="15"/>
    <x v="2"/>
    <x v="21"/>
    <x v="694"/>
    <n v="17"/>
    <x v="15"/>
    <n v="87"/>
    <n v="11"/>
    <n v="4"/>
    <n v="34"/>
    <x v="0"/>
    <x v="0"/>
    <n v="8.6"/>
  </r>
  <r>
    <x v="695"/>
    <s v="FN697"/>
    <s v="LN697"/>
    <x v="1"/>
    <n v="51"/>
    <x v="3"/>
    <x v="2"/>
    <x v="0"/>
    <x v="0"/>
    <x v="0"/>
    <s v="2022-07-29"/>
    <m/>
    <x v="0"/>
    <x v="13"/>
    <x v="0"/>
    <x v="20"/>
    <x v="695"/>
    <n v="5"/>
    <x v="6"/>
    <n v="99"/>
    <n v="8"/>
    <n v="30"/>
    <n v="19"/>
    <x v="1"/>
    <x v="1"/>
    <n v="4"/>
  </r>
  <r>
    <x v="696"/>
    <s v="FN698"/>
    <s v="LN698"/>
    <x v="1"/>
    <n v="33"/>
    <x v="1"/>
    <x v="1"/>
    <x v="2"/>
    <x v="0"/>
    <x v="0"/>
    <s v="2024-02-02"/>
    <m/>
    <x v="0"/>
    <x v="33"/>
    <x v="1"/>
    <x v="33"/>
    <x v="696"/>
    <n v="6"/>
    <x v="0"/>
    <n v="50"/>
    <n v="8"/>
    <n v="13"/>
    <n v="42"/>
    <x v="1"/>
    <x v="1"/>
    <n v="2.5"/>
  </r>
  <r>
    <x v="697"/>
    <s v="FN699"/>
    <s v="LN699"/>
    <x v="1"/>
    <n v="42"/>
    <x v="5"/>
    <x v="8"/>
    <x v="4"/>
    <x v="1"/>
    <x v="0"/>
    <s v="2021-06-30"/>
    <m/>
    <x v="0"/>
    <x v="59"/>
    <x v="0"/>
    <x v="16"/>
    <x v="697"/>
    <n v="17"/>
    <x v="9"/>
    <n v="51"/>
    <n v="7"/>
    <n v="58"/>
    <n v="60"/>
    <x v="0"/>
    <x v="0"/>
    <n v="5.0999999999999996"/>
  </r>
  <r>
    <x v="698"/>
    <s v="FN700"/>
    <s v="LN700"/>
    <x v="1"/>
    <n v="58"/>
    <x v="0"/>
    <x v="2"/>
    <x v="4"/>
    <x v="1"/>
    <x v="1"/>
    <s v="2021-12-31"/>
    <m/>
    <x v="0"/>
    <x v="54"/>
    <x v="0"/>
    <x v="14"/>
    <x v="698"/>
    <n v="16"/>
    <x v="10"/>
    <n v="75"/>
    <n v="19"/>
    <n v="3"/>
    <n v="11"/>
    <x v="0"/>
    <x v="1"/>
    <n v="4.5999999999999996"/>
  </r>
  <r>
    <x v="699"/>
    <s v="FN701"/>
    <s v="LN701"/>
    <x v="0"/>
    <n v="45"/>
    <x v="0"/>
    <x v="2"/>
    <x v="1"/>
    <x v="2"/>
    <x v="1"/>
    <s v="2025-05-16"/>
    <m/>
    <x v="0"/>
    <x v="36"/>
    <x v="2"/>
    <x v="21"/>
    <x v="699"/>
    <n v="13"/>
    <x v="8"/>
    <n v="64"/>
    <n v="15"/>
    <n v="21"/>
    <n v="75"/>
    <x v="1"/>
    <x v="1"/>
    <n v="1.2"/>
  </r>
  <r>
    <x v="700"/>
    <s v="FN702"/>
    <s v="LN702"/>
    <x v="1"/>
    <n v="38"/>
    <x v="2"/>
    <x v="7"/>
    <x v="0"/>
    <x v="1"/>
    <x v="0"/>
    <s v="2021-10-19"/>
    <m/>
    <x v="0"/>
    <x v="50"/>
    <x v="1"/>
    <x v="13"/>
    <x v="700"/>
    <n v="15"/>
    <x v="19"/>
    <n v="90"/>
    <n v="8"/>
    <n v="1"/>
    <n v="1"/>
    <x v="1"/>
    <x v="2"/>
    <n v="4.8"/>
  </r>
  <r>
    <x v="701"/>
    <s v="FN703"/>
    <s v="LN703"/>
    <x v="1"/>
    <n v="46"/>
    <x v="2"/>
    <x v="5"/>
    <x v="0"/>
    <x v="1"/>
    <x v="0"/>
    <s v="2021-10-19"/>
    <m/>
    <x v="0"/>
    <x v="74"/>
    <x v="2"/>
    <x v="18"/>
    <x v="701"/>
    <n v="8"/>
    <x v="3"/>
    <n v="52"/>
    <n v="17"/>
    <n v="45"/>
    <n v="78"/>
    <x v="1"/>
    <x v="2"/>
    <n v="4.8"/>
  </r>
  <r>
    <x v="702"/>
    <s v="FN704"/>
    <s v="LN704"/>
    <x v="1"/>
    <n v="52"/>
    <x v="0"/>
    <x v="0"/>
    <x v="2"/>
    <x v="0"/>
    <x v="1"/>
    <s v="2016-07-15"/>
    <m/>
    <x v="0"/>
    <x v="26"/>
    <x v="0"/>
    <x v="26"/>
    <x v="702"/>
    <n v="16"/>
    <x v="10"/>
    <n v="87"/>
    <n v="13"/>
    <n v="29"/>
    <n v="11"/>
    <x v="0"/>
    <x v="1"/>
    <n v="10"/>
  </r>
  <r>
    <x v="703"/>
    <s v="FN705"/>
    <s v="LN705"/>
    <x v="0"/>
    <n v="46"/>
    <x v="3"/>
    <x v="2"/>
    <x v="4"/>
    <x v="2"/>
    <x v="1"/>
    <s v="2019-11-16"/>
    <m/>
    <x v="0"/>
    <x v="71"/>
    <x v="1"/>
    <x v="8"/>
    <x v="703"/>
    <n v="12"/>
    <x v="2"/>
    <n v="61"/>
    <n v="0"/>
    <n v="18"/>
    <n v="52"/>
    <x v="0"/>
    <x v="1"/>
    <n v="6.7"/>
  </r>
  <r>
    <x v="704"/>
    <s v="FN706"/>
    <s v="LN706"/>
    <x v="1"/>
    <n v="41"/>
    <x v="3"/>
    <x v="10"/>
    <x v="3"/>
    <x v="1"/>
    <x v="0"/>
    <s v="2016-11-12"/>
    <m/>
    <x v="0"/>
    <x v="11"/>
    <x v="2"/>
    <x v="0"/>
    <x v="704"/>
    <n v="19"/>
    <x v="20"/>
    <n v="61"/>
    <n v="16"/>
    <n v="35"/>
    <n v="63"/>
    <x v="1"/>
    <x v="2"/>
    <n v="9.6999999999999993"/>
  </r>
  <r>
    <x v="705"/>
    <s v="FN707"/>
    <s v="LN707"/>
    <x v="0"/>
    <n v="58"/>
    <x v="1"/>
    <x v="1"/>
    <x v="4"/>
    <x v="2"/>
    <x v="1"/>
    <s v="2022-09-27"/>
    <m/>
    <x v="0"/>
    <x v="20"/>
    <x v="2"/>
    <x v="12"/>
    <x v="705"/>
    <n v="10"/>
    <x v="23"/>
    <n v="95"/>
    <n v="16"/>
    <n v="11"/>
    <n v="35"/>
    <x v="0"/>
    <x v="2"/>
    <n v="3.8"/>
  </r>
  <r>
    <x v="706"/>
    <s v="FN708"/>
    <s v="LN708"/>
    <x v="1"/>
    <n v="33"/>
    <x v="0"/>
    <x v="2"/>
    <x v="3"/>
    <x v="2"/>
    <x v="0"/>
    <s v="2023-02-07"/>
    <m/>
    <x v="0"/>
    <x v="52"/>
    <x v="2"/>
    <x v="33"/>
    <x v="706"/>
    <n v="14"/>
    <x v="12"/>
    <n v="63"/>
    <n v="18"/>
    <n v="48"/>
    <n v="53"/>
    <x v="1"/>
    <x v="0"/>
    <n v="3.5"/>
  </r>
  <r>
    <x v="707"/>
    <s v="FN709"/>
    <s v="LN709"/>
    <x v="0"/>
    <n v="23"/>
    <x v="5"/>
    <x v="2"/>
    <x v="1"/>
    <x v="0"/>
    <x v="1"/>
    <s v="2024-12-07"/>
    <m/>
    <x v="0"/>
    <x v="69"/>
    <x v="1"/>
    <x v="35"/>
    <x v="707"/>
    <n v="16"/>
    <x v="2"/>
    <n v="80"/>
    <n v="12"/>
    <n v="5"/>
    <n v="15"/>
    <x v="0"/>
    <x v="2"/>
    <n v="1.6"/>
  </r>
  <r>
    <x v="708"/>
    <s v="FN710"/>
    <s v="LN710"/>
    <x v="1"/>
    <n v="31"/>
    <x v="2"/>
    <x v="3"/>
    <x v="1"/>
    <x v="1"/>
    <x v="0"/>
    <s v="2021-03-16"/>
    <m/>
    <x v="0"/>
    <x v="50"/>
    <x v="2"/>
    <x v="18"/>
    <x v="708"/>
    <n v="5"/>
    <x v="25"/>
    <n v="65"/>
    <n v="13"/>
    <n v="33"/>
    <n v="68"/>
    <x v="1"/>
    <x v="1"/>
    <n v="5.4"/>
  </r>
  <r>
    <x v="709"/>
    <s v="FN711"/>
    <s v="LN711"/>
    <x v="1"/>
    <n v="45"/>
    <x v="1"/>
    <x v="4"/>
    <x v="3"/>
    <x v="2"/>
    <x v="1"/>
    <s v="2025-03-13"/>
    <m/>
    <x v="0"/>
    <x v="50"/>
    <x v="1"/>
    <x v="34"/>
    <x v="709"/>
    <n v="15"/>
    <x v="24"/>
    <n v="99"/>
    <n v="18"/>
    <n v="7"/>
    <n v="32"/>
    <x v="1"/>
    <x v="2"/>
    <n v="1.4"/>
  </r>
  <r>
    <x v="710"/>
    <s v="FN712"/>
    <s v="LN712"/>
    <x v="0"/>
    <n v="26"/>
    <x v="3"/>
    <x v="10"/>
    <x v="1"/>
    <x v="1"/>
    <x v="1"/>
    <s v="2023-09-22"/>
    <m/>
    <x v="0"/>
    <x v="22"/>
    <x v="0"/>
    <x v="17"/>
    <x v="710"/>
    <n v="7"/>
    <x v="19"/>
    <n v="62"/>
    <n v="2"/>
    <n v="16"/>
    <n v="77"/>
    <x v="1"/>
    <x v="1"/>
    <n v="2.9"/>
  </r>
  <r>
    <x v="711"/>
    <s v="FN713"/>
    <s v="LN713"/>
    <x v="0"/>
    <n v="33"/>
    <x v="4"/>
    <x v="2"/>
    <x v="1"/>
    <x v="2"/>
    <x v="0"/>
    <s v="2022-07-24"/>
    <m/>
    <x v="0"/>
    <x v="14"/>
    <x v="2"/>
    <x v="17"/>
    <x v="711"/>
    <n v="12"/>
    <x v="25"/>
    <n v="74"/>
    <n v="16"/>
    <n v="4"/>
    <n v="7"/>
    <x v="0"/>
    <x v="0"/>
    <n v="4"/>
  </r>
  <r>
    <x v="712"/>
    <s v="FN714"/>
    <s v="LN714"/>
    <x v="0"/>
    <n v="49"/>
    <x v="5"/>
    <x v="6"/>
    <x v="1"/>
    <x v="2"/>
    <x v="1"/>
    <s v="2021-06-17"/>
    <m/>
    <x v="0"/>
    <x v="47"/>
    <x v="0"/>
    <x v="31"/>
    <x v="712"/>
    <n v="19"/>
    <x v="6"/>
    <n v="83"/>
    <n v="1"/>
    <n v="60"/>
    <n v="20"/>
    <x v="1"/>
    <x v="0"/>
    <n v="5.0999999999999996"/>
  </r>
  <r>
    <x v="713"/>
    <s v="FN715"/>
    <s v="LN715"/>
    <x v="1"/>
    <n v="21"/>
    <x v="4"/>
    <x v="6"/>
    <x v="4"/>
    <x v="0"/>
    <x v="0"/>
    <s v="2019-12-08"/>
    <m/>
    <x v="0"/>
    <x v="18"/>
    <x v="0"/>
    <x v="31"/>
    <x v="713"/>
    <n v="12"/>
    <x v="20"/>
    <n v="61"/>
    <n v="17"/>
    <n v="35"/>
    <n v="69"/>
    <x v="0"/>
    <x v="0"/>
    <n v="6.6"/>
  </r>
  <r>
    <x v="714"/>
    <s v="FN716"/>
    <s v="LN716"/>
    <x v="1"/>
    <n v="40"/>
    <x v="0"/>
    <x v="2"/>
    <x v="1"/>
    <x v="1"/>
    <x v="1"/>
    <s v="2022-05-09"/>
    <m/>
    <x v="0"/>
    <x v="7"/>
    <x v="0"/>
    <x v="21"/>
    <x v="714"/>
    <n v="9"/>
    <x v="20"/>
    <n v="73"/>
    <n v="19"/>
    <n v="50"/>
    <n v="40"/>
    <x v="0"/>
    <x v="0"/>
    <n v="4.2"/>
  </r>
  <r>
    <x v="715"/>
    <s v="FN717"/>
    <s v="LN717"/>
    <x v="0"/>
    <n v="31"/>
    <x v="1"/>
    <x v="1"/>
    <x v="3"/>
    <x v="2"/>
    <x v="0"/>
    <s v="2025-03-17"/>
    <m/>
    <x v="0"/>
    <x v="65"/>
    <x v="2"/>
    <x v="6"/>
    <x v="715"/>
    <n v="16"/>
    <x v="20"/>
    <n v="93"/>
    <n v="12"/>
    <n v="31"/>
    <n v="79"/>
    <x v="0"/>
    <x v="1"/>
    <n v="1.4"/>
  </r>
  <r>
    <x v="716"/>
    <s v="FN718"/>
    <s v="LN718"/>
    <x v="0"/>
    <n v="55"/>
    <x v="4"/>
    <x v="9"/>
    <x v="4"/>
    <x v="1"/>
    <x v="0"/>
    <s v="2024-11-05"/>
    <m/>
    <x v="0"/>
    <x v="56"/>
    <x v="0"/>
    <x v="26"/>
    <x v="716"/>
    <n v="7"/>
    <x v="23"/>
    <n v="77"/>
    <n v="11"/>
    <n v="5"/>
    <n v="59"/>
    <x v="1"/>
    <x v="0"/>
    <n v="1.7"/>
  </r>
  <r>
    <x v="717"/>
    <s v="FN719"/>
    <s v="LN719"/>
    <x v="1"/>
    <n v="46"/>
    <x v="2"/>
    <x v="7"/>
    <x v="2"/>
    <x v="0"/>
    <x v="0"/>
    <s v="2018-09-01"/>
    <m/>
    <x v="0"/>
    <x v="3"/>
    <x v="1"/>
    <x v="18"/>
    <x v="717"/>
    <n v="11"/>
    <x v="3"/>
    <n v="52"/>
    <n v="20"/>
    <n v="17"/>
    <n v="25"/>
    <x v="1"/>
    <x v="0"/>
    <n v="7.9"/>
  </r>
  <r>
    <x v="718"/>
    <s v="FN720"/>
    <s v="LN720"/>
    <x v="0"/>
    <n v="33"/>
    <x v="1"/>
    <x v="1"/>
    <x v="2"/>
    <x v="0"/>
    <x v="0"/>
    <s v="2022-01-01"/>
    <m/>
    <x v="0"/>
    <x v="78"/>
    <x v="0"/>
    <x v="31"/>
    <x v="718"/>
    <n v="15"/>
    <x v="14"/>
    <n v="81"/>
    <n v="10"/>
    <n v="2"/>
    <n v="80"/>
    <x v="0"/>
    <x v="1"/>
    <n v="4.5999999999999996"/>
  </r>
  <r>
    <x v="719"/>
    <s v="FN721"/>
    <s v="LN721"/>
    <x v="1"/>
    <n v="39"/>
    <x v="3"/>
    <x v="10"/>
    <x v="1"/>
    <x v="1"/>
    <x v="1"/>
    <s v="2019-03-11"/>
    <m/>
    <x v="0"/>
    <x v="11"/>
    <x v="0"/>
    <x v="26"/>
    <x v="719"/>
    <n v="8"/>
    <x v="14"/>
    <n v="77"/>
    <n v="12"/>
    <n v="49"/>
    <n v="10"/>
    <x v="1"/>
    <x v="0"/>
    <n v="7.4"/>
  </r>
  <r>
    <x v="720"/>
    <s v="FN722"/>
    <s v="LN722"/>
    <x v="1"/>
    <n v="45"/>
    <x v="4"/>
    <x v="6"/>
    <x v="2"/>
    <x v="2"/>
    <x v="0"/>
    <s v="2018-07-12"/>
    <m/>
    <x v="0"/>
    <x v="29"/>
    <x v="0"/>
    <x v="15"/>
    <x v="720"/>
    <n v="17"/>
    <x v="3"/>
    <n v="91"/>
    <n v="10"/>
    <n v="4"/>
    <n v="24"/>
    <x v="1"/>
    <x v="1"/>
    <n v="8.1"/>
  </r>
  <r>
    <x v="721"/>
    <s v="FN723"/>
    <s v="LN723"/>
    <x v="0"/>
    <n v="48"/>
    <x v="1"/>
    <x v="4"/>
    <x v="3"/>
    <x v="2"/>
    <x v="0"/>
    <s v="2019-10-15"/>
    <s v="2024-10-30"/>
    <x v="1"/>
    <x v="53"/>
    <x v="0"/>
    <x v="29"/>
    <x v="721"/>
    <n v="16"/>
    <x v="14"/>
    <n v="97"/>
    <n v="2"/>
    <n v="34"/>
    <n v="37"/>
    <x v="1"/>
    <x v="1"/>
    <n v="6.8"/>
  </r>
  <r>
    <x v="722"/>
    <s v="FN724"/>
    <s v="LN724"/>
    <x v="1"/>
    <n v="28"/>
    <x v="2"/>
    <x v="7"/>
    <x v="1"/>
    <x v="1"/>
    <x v="1"/>
    <s v="2022-02-01"/>
    <m/>
    <x v="0"/>
    <x v="74"/>
    <x v="1"/>
    <x v="7"/>
    <x v="722"/>
    <n v="11"/>
    <x v="7"/>
    <n v="68"/>
    <n v="20"/>
    <n v="43"/>
    <n v="70"/>
    <x v="0"/>
    <x v="2"/>
    <n v="4.5"/>
  </r>
  <r>
    <x v="723"/>
    <s v="FN725"/>
    <s v="LN725"/>
    <x v="0"/>
    <n v="42"/>
    <x v="4"/>
    <x v="9"/>
    <x v="2"/>
    <x v="0"/>
    <x v="0"/>
    <s v="2020-05-01"/>
    <m/>
    <x v="0"/>
    <x v="75"/>
    <x v="2"/>
    <x v="6"/>
    <x v="723"/>
    <n v="21"/>
    <x v="5"/>
    <n v="77"/>
    <n v="12"/>
    <n v="19"/>
    <n v="12"/>
    <x v="1"/>
    <x v="1"/>
    <n v="6.2"/>
  </r>
  <r>
    <x v="724"/>
    <s v="FN726"/>
    <s v="LN726"/>
    <x v="1"/>
    <n v="44"/>
    <x v="2"/>
    <x v="5"/>
    <x v="3"/>
    <x v="0"/>
    <x v="1"/>
    <s v="2022-08-13"/>
    <m/>
    <x v="0"/>
    <x v="76"/>
    <x v="1"/>
    <x v="0"/>
    <x v="724"/>
    <n v="24"/>
    <x v="12"/>
    <n v="85"/>
    <n v="7"/>
    <n v="60"/>
    <n v="27"/>
    <x v="0"/>
    <x v="0"/>
    <n v="4"/>
  </r>
  <r>
    <x v="725"/>
    <s v="FN727"/>
    <s v="LN727"/>
    <x v="1"/>
    <n v="21"/>
    <x v="1"/>
    <x v="1"/>
    <x v="4"/>
    <x v="1"/>
    <x v="1"/>
    <s v="2023-09-19"/>
    <m/>
    <x v="0"/>
    <x v="29"/>
    <x v="1"/>
    <x v="21"/>
    <x v="725"/>
    <n v="16"/>
    <x v="16"/>
    <n v="61"/>
    <n v="9"/>
    <n v="36"/>
    <n v="58"/>
    <x v="1"/>
    <x v="1"/>
    <n v="2.9"/>
  </r>
  <r>
    <x v="726"/>
    <s v="FN728"/>
    <s v="LN728"/>
    <x v="1"/>
    <n v="29"/>
    <x v="0"/>
    <x v="0"/>
    <x v="1"/>
    <x v="0"/>
    <x v="0"/>
    <s v="2024-10-05"/>
    <m/>
    <x v="0"/>
    <x v="12"/>
    <x v="2"/>
    <x v="8"/>
    <x v="726"/>
    <n v="20"/>
    <x v="5"/>
    <n v="70"/>
    <n v="13"/>
    <n v="39"/>
    <n v="20"/>
    <x v="0"/>
    <x v="1"/>
    <n v="1.8"/>
  </r>
  <r>
    <x v="727"/>
    <s v="FN729"/>
    <s v="LN729"/>
    <x v="1"/>
    <n v="27"/>
    <x v="3"/>
    <x v="10"/>
    <x v="4"/>
    <x v="0"/>
    <x v="0"/>
    <s v="2024-11-06"/>
    <m/>
    <x v="0"/>
    <x v="44"/>
    <x v="1"/>
    <x v="28"/>
    <x v="727"/>
    <n v="16"/>
    <x v="6"/>
    <n v="94"/>
    <n v="0"/>
    <n v="51"/>
    <n v="69"/>
    <x v="1"/>
    <x v="2"/>
    <n v="1.7"/>
  </r>
  <r>
    <x v="728"/>
    <s v="FN730"/>
    <s v="LN730"/>
    <x v="0"/>
    <n v="56"/>
    <x v="5"/>
    <x v="8"/>
    <x v="0"/>
    <x v="2"/>
    <x v="1"/>
    <s v="2017-04-13"/>
    <m/>
    <x v="0"/>
    <x v="79"/>
    <x v="0"/>
    <x v="13"/>
    <x v="728"/>
    <n v="17"/>
    <x v="16"/>
    <n v="68"/>
    <n v="10"/>
    <n v="26"/>
    <n v="15"/>
    <x v="1"/>
    <x v="0"/>
    <n v="9.3000000000000007"/>
  </r>
  <r>
    <x v="729"/>
    <s v="FN731"/>
    <s v="LN731"/>
    <x v="1"/>
    <n v="34"/>
    <x v="1"/>
    <x v="4"/>
    <x v="3"/>
    <x v="1"/>
    <x v="1"/>
    <s v="2023-01-23"/>
    <m/>
    <x v="0"/>
    <x v="60"/>
    <x v="1"/>
    <x v="21"/>
    <x v="729"/>
    <n v="15"/>
    <x v="22"/>
    <n v="57"/>
    <n v="2"/>
    <n v="10"/>
    <n v="28"/>
    <x v="0"/>
    <x v="0"/>
    <n v="3.5"/>
  </r>
  <r>
    <x v="730"/>
    <s v="FN732"/>
    <s v="LN732"/>
    <x v="0"/>
    <n v="34"/>
    <x v="2"/>
    <x v="3"/>
    <x v="0"/>
    <x v="2"/>
    <x v="1"/>
    <s v="2019-12-22"/>
    <m/>
    <x v="0"/>
    <x v="27"/>
    <x v="1"/>
    <x v="15"/>
    <x v="730"/>
    <n v="20"/>
    <x v="17"/>
    <n v="59"/>
    <n v="8"/>
    <n v="48"/>
    <n v="24"/>
    <x v="1"/>
    <x v="2"/>
    <n v="6.6"/>
  </r>
  <r>
    <x v="731"/>
    <s v="FN733"/>
    <s v="LN733"/>
    <x v="1"/>
    <n v="45"/>
    <x v="2"/>
    <x v="7"/>
    <x v="0"/>
    <x v="2"/>
    <x v="1"/>
    <s v="2023-05-19"/>
    <m/>
    <x v="0"/>
    <x v="20"/>
    <x v="1"/>
    <x v="17"/>
    <x v="731"/>
    <n v="9"/>
    <x v="4"/>
    <n v="53"/>
    <n v="15"/>
    <n v="0"/>
    <n v="68"/>
    <x v="1"/>
    <x v="1"/>
    <n v="3.2"/>
  </r>
  <r>
    <x v="732"/>
    <s v="FN734"/>
    <s v="LN734"/>
    <x v="0"/>
    <n v="53"/>
    <x v="3"/>
    <x v="10"/>
    <x v="3"/>
    <x v="2"/>
    <x v="0"/>
    <s v="2022-12-07"/>
    <m/>
    <x v="0"/>
    <x v="59"/>
    <x v="0"/>
    <x v="31"/>
    <x v="732"/>
    <n v="12"/>
    <x v="16"/>
    <n v="75"/>
    <n v="19"/>
    <n v="45"/>
    <n v="41"/>
    <x v="1"/>
    <x v="0"/>
    <n v="3.6"/>
  </r>
  <r>
    <x v="733"/>
    <s v="FN735"/>
    <s v="LN735"/>
    <x v="1"/>
    <n v="57"/>
    <x v="0"/>
    <x v="2"/>
    <x v="0"/>
    <x v="0"/>
    <x v="0"/>
    <s v="2016-03-13"/>
    <m/>
    <x v="0"/>
    <x v="14"/>
    <x v="2"/>
    <x v="30"/>
    <x v="733"/>
    <n v="24"/>
    <x v="0"/>
    <n v="93"/>
    <n v="5"/>
    <n v="43"/>
    <n v="65"/>
    <x v="1"/>
    <x v="2"/>
    <n v="10.4"/>
  </r>
  <r>
    <x v="734"/>
    <s v="FN736"/>
    <s v="LN736"/>
    <x v="1"/>
    <n v="25"/>
    <x v="3"/>
    <x v="2"/>
    <x v="3"/>
    <x v="1"/>
    <x v="1"/>
    <s v="2020-11-28"/>
    <m/>
    <x v="0"/>
    <x v="11"/>
    <x v="1"/>
    <x v="0"/>
    <x v="734"/>
    <n v="14"/>
    <x v="24"/>
    <n v="54"/>
    <n v="10"/>
    <n v="32"/>
    <n v="74"/>
    <x v="1"/>
    <x v="0"/>
    <n v="5.7"/>
  </r>
  <r>
    <x v="735"/>
    <s v="FN737"/>
    <s v="LN737"/>
    <x v="0"/>
    <n v="21"/>
    <x v="5"/>
    <x v="2"/>
    <x v="4"/>
    <x v="2"/>
    <x v="1"/>
    <s v="2019-09-03"/>
    <m/>
    <x v="0"/>
    <x v="64"/>
    <x v="2"/>
    <x v="29"/>
    <x v="735"/>
    <n v="17"/>
    <x v="7"/>
    <n v="80"/>
    <n v="8"/>
    <n v="59"/>
    <n v="47"/>
    <x v="0"/>
    <x v="1"/>
    <n v="6.9"/>
  </r>
  <r>
    <x v="736"/>
    <s v="FN738"/>
    <s v="LN738"/>
    <x v="1"/>
    <n v="26"/>
    <x v="0"/>
    <x v="2"/>
    <x v="3"/>
    <x v="2"/>
    <x v="0"/>
    <s v="2025-01-16"/>
    <m/>
    <x v="0"/>
    <x v="56"/>
    <x v="0"/>
    <x v="34"/>
    <x v="736"/>
    <n v="14"/>
    <x v="10"/>
    <n v="93"/>
    <n v="6"/>
    <n v="12"/>
    <n v="57"/>
    <x v="1"/>
    <x v="2"/>
    <n v="1.5"/>
  </r>
  <r>
    <x v="737"/>
    <s v="FN739"/>
    <s v="LN739"/>
    <x v="1"/>
    <n v="57"/>
    <x v="4"/>
    <x v="9"/>
    <x v="1"/>
    <x v="2"/>
    <x v="0"/>
    <s v="2024-10-27"/>
    <m/>
    <x v="0"/>
    <x v="51"/>
    <x v="1"/>
    <x v="21"/>
    <x v="737"/>
    <n v="9"/>
    <x v="16"/>
    <n v="67"/>
    <n v="15"/>
    <n v="35"/>
    <n v="42"/>
    <x v="1"/>
    <x v="0"/>
    <n v="1.8"/>
  </r>
  <r>
    <x v="738"/>
    <s v="FN740"/>
    <s v="LN740"/>
    <x v="0"/>
    <n v="47"/>
    <x v="0"/>
    <x v="0"/>
    <x v="3"/>
    <x v="1"/>
    <x v="0"/>
    <s v="2022-07-21"/>
    <m/>
    <x v="0"/>
    <x v="63"/>
    <x v="1"/>
    <x v="0"/>
    <x v="738"/>
    <n v="16"/>
    <x v="16"/>
    <n v="63"/>
    <n v="14"/>
    <n v="26"/>
    <n v="31"/>
    <x v="1"/>
    <x v="1"/>
    <n v="4"/>
  </r>
  <r>
    <x v="739"/>
    <s v="FN741"/>
    <s v="LN741"/>
    <x v="1"/>
    <n v="38"/>
    <x v="2"/>
    <x v="5"/>
    <x v="4"/>
    <x v="1"/>
    <x v="0"/>
    <s v="2023-08-22"/>
    <m/>
    <x v="0"/>
    <x v="33"/>
    <x v="1"/>
    <x v="22"/>
    <x v="739"/>
    <n v="12"/>
    <x v="21"/>
    <n v="58"/>
    <n v="18"/>
    <n v="38"/>
    <n v="36"/>
    <x v="0"/>
    <x v="0"/>
    <n v="2.9"/>
  </r>
  <r>
    <x v="740"/>
    <s v="FN742"/>
    <s v="LN742"/>
    <x v="0"/>
    <n v="27"/>
    <x v="1"/>
    <x v="1"/>
    <x v="1"/>
    <x v="2"/>
    <x v="0"/>
    <s v="2019-01-17"/>
    <m/>
    <x v="0"/>
    <x v="4"/>
    <x v="0"/>
    <x v="17"/>
    <x v="740"/>
    <n v="20"/>
    <x v="1"/>
    <n v="90"/>
    <n v="8"/>
    <n v="43"/>
    <n v="47"/>
    <x v="0"/>
    <x v="1"/>
    <n v="7.5"/>
  </r>
  <r>
    <x v="741"/>
    <s v="FN743"/>
    <s v="LN743"/>
    <x v="1"/>
    <n v="27"/>
    <x v="0"/>
    <x v="0"/>
    <x v="0"/>
    <x v="2"/>
    <x v="0"/>
    <s v="2020-05-01"/>
    <m/>
    <x v="0"/>
    <x v="23"/>
    <x v="1"/>
    <x v="30"/>
    <x v="741"/>
    <n v="25"/>
    <x v="17"/>
    <n v="92"/>
    <n v="14"/>
    <n v="47"/>
    <n v="13"/>
    <x v="0"/>
    <x v="1"/>
    <n v="6.2"/>
  </r>
  <r>
    <x v="742"/>
    <s v="FN744"/>
    <s v="LN744"/>
    <x v="0"/>
    <n v="34"/>
    <x v="3"/>
    <x v="10"/>
    <x v="3"/>
    <x v="0"/>
    <x v="1"/>
    <s v="2017-07-22"/>
    <m/>
    <x v="0"/>
    <x v="71"/>
    <x v="1"/>
    <x v="1"/>
    <x v="742"/>
    <n v="7"/>
    <x v="15"/>
    <n v="78"/>
    <n v="9"/>
    <n v="58"/>
    <n v="68"/>
    <x v="0"/>
    <x v="0"/>
    <n v="9"/>
  </r>
  <r>
    <x v="743"/>
    <s v="FN745"/>
    <s v="LN745"/>
    <x v="1"/>
    <n v="39"/>
    <x v="2"/>
    <x v="7"/>
    <x v="0"/>
    <x v="0"/>
    <x v="0"/>
    <s v="2024-04-23"/>
    <m/>
    <x v="0"/>
    <x v="50"/>
    <x v="1"/>
    <x v="15"/>
    <x v="743"/>
    <n v="17"/>
    <x v="23"/>
    <n v="70"/>
    <n v="18"/>
    <n v="3"/>
    <n v="15"/>
    <x v="1"/>
    <x v="1"/>
    <n v="2.2999999999999998"/>
  </r>
  <r>
    <x v="744"/>
    <s v="FN746"/>
    <s v="LN746"/>
    <x v="1"/>
    <n v="39"/>
    <x v="5"/>
    <x v="8"/>
    <x v="0"/>
    <x v="1"/>
    <x v="0"/>
    <s v="2021-08-18"/>
    <m/>
    <x v="0"/>
    <x v="3"/>
    <x v="1"/>
    <x v="28"/>
    <x v="744"/>
    <n v="22"/>
    <x v="12"/>
    <n v="81"/>
    <n v="3"/>
    <n v="6"/>
    <n v="31"/>
    <x v="1"/>
    <x v="0"/>
    <n v="4.9000000000000004"/>
  </r>
  <r>
    <x v="745"/>
    <s v="FN747"/>
    <s v="LN747"/>
    <x v="0"/>
    <n v="48"/>
    <x v="5"/>
    <x v="8"/>
    <x v="4"/>
    <x v="1"/>
    <x v="1"/>
    <s v="2023-07-02"/>
    <m/>
    <x v="0"/>
    <x v="41"/>
    <x v="1"/>
    <x v="14"/>
    <x v="745"/>
    <n v="7"/>
    <x v="14"/>
    <n v="94"/>
    <n v="14"/>
    <n v="54"/>
    <n v="76"/>
    <x v="0"/>
    <x v="2"/>
    <n v="3.1"/>
  </r>
  <r>
    <x v="746"/>
    <s v="FN748"/>
    <s v="LN748"/>
    <x v="0"/>
    <n v="44"/>
    <x v="0"/>
    <x v="0"/>
    <x v="1"/>
    <x v="2"/>
    <x v="0"/>
    <s v="2025-01-20"/>
    <m/>
    <x v="0"/>
    <x v="70"/>
    <x v="2"/>
    <x v="32"/>
    <x v="746"/>
    <n v="10"/>
    <x v="21"/>
    <n v="94"/>
    <n v="18"/>
    <n v="13"/>
    <n v="65"/>
    <x v="0"/>
    <x v="2"/>
    <n v="1.5"/>
  </r>
  <r>
    <x v="747"/>
    <s v="FN749"/>
    <s v="LN749"/>
    <x v="0"/>
    <n v="52"/>
    <x v="4"/>
    <x v="9"/>
    <x v="4"/>
    <x v="0"/>
    <x v="0"/>
    <s v="2025-07-24"/>
    <m/>
    <x v="0"/>
    <x v="43"/>
    <x v="2"/>
    <x v="21"/>
    <x v="747"/>
    <n v="11"/>
    <x v="10"/>
    <n v="55"/>
    <n v="16"/>
    <n v="26"/>
    <n v="38"/>
    <x v="1"/>
    <x v="1"/>
    <n v="1"/>
  </r>
  <r>
    <x v="748"/>
    <s v="FN750"/>
    <s v="LN750"/>
    <x v="0"/>
    <n v="41"/>
    <x v="5"/>
    <x v="8"/>
    <x v="2"/>
    <x v="1"/>
    <x v="0"/>
    <s v="2019-06-06"/>
    <m/>
    <x v="0"/>
    <x v="29"/>
    <x v="1"/>
    <x v="14"/>
    <x v="748"/>
    <n v="23"/>
    <x v="23"/>
    <n v="100"/>
    <n v="1"/>
    <n v="35"/>
    <n v="18"/>
    <x v="1"/>
    <x v="0"/>
    <n v="7.2"/>
  </r>
  <r>
    <x v="749"/>
    <s v="FN751"/>
    <s v="LN751"/>
    <x v="0"/>
    <n v="52"/>
    <x v="1"/>
    <x v="4"/>
    <x v="1"/>
    <x v="1"/>
    <x v="1"/>
    <s v="2023-08-14"/>
    <m/>
    <x v="0"/>
    <x v="42"/>
    <x v="0"/>
    <x v="19"/>
    <x v="749"/>
    <n v="14"/>
    <x v="11"/>
    <n v="51"/>
    <n v="6"/>
    <n v="42"/>
    <n v="38"/>
    <x v="1"/>
    <x v="1"/>
    <n v="3"/>
  </r>
  <r>
    <x v="750"/>
    <s v="FN752"/>
    <s v="LN752"/>
    <x v="0"/>
    <n v="26"/>
    <x v="2"/>
    <x v="5"/>
    <x v="1"/>
    <x v="2"/>
    <x v="0"/>
    <s v="2018-11-22"/>
    <m/>
    <x v="0"/>
    <x v="69"/>
    <x v="0"/>
    <x v="19"/>
    <x v="750"/>
    <n v="11"/>
    <x v="9"/>
    <n v="52"/>
    <n v="13"/>
    <n v="9"/>
    <n v="10"/>
    <x v="1"/>
    <x v="0"/>
    <n v="7.7"/>
  </r>
  <r>
    <x v="751"/>
    <s v="FN753"/>
    <s v="LN753"/>
    <x v="0"/>
    <n v="47"/>
    <x v="3"/>
    <x v="10"/>
    <x v="0"/>
    <x v="1"/>
    <x v="0"/>
    <s v="2016-11-02"/>
    <m/>
    <x v="0"/>
    <x v="41"/>
    <x v="2"/>
    <x v="34"/>
    <x v="751"/>
    <n v="22"/>
    <x v="6"/>
    <n v="91"/>
    <n v="5"/>
    <n v="48"/>
    <n v="26"/>
    <x v="0"/>
    <x v="1"/>
    <n v="9.6999999999999993"/>
  </r>
  <r>
    <x v="752"/>
    <s v="FN754"/>
    <s v="LN754"/>
    <x v="0"/>
    <n v="27"/>
    <x v="4"/>
    <x v="9"/>
    <x v="0"/>
    <x v="2"/>
    <x v="1"/>
    <s v="2016-10-04"/>
    <m/>
    <x v="0"/>
    <x v="20"/>
    <x v="0"/>
    <x v="31"/>
    <x v="752"/>
    <n v="19"/>
    <x v="18"/>
    <n v="90"/>
    <n v="10"/>
    <n v="39"/>
    <n v="40"/>
    <x v="1"/>
    <x v="0"/>
    <n v="9.8000000000000007"/>
  </r>
  <r>
    <x v="753"/>
    <s v="FN755"/>
    <s v="LN755"/>
    <x v="0"/>
    <n v="46"/>
    <x v="0"/>
    <x v="2"/>
    <x v="2"/>
    <x v="1"/>
    <x v="0"/>
    <s v="2021-07-17"/>
    <m/>
    <x v="0"/>
    <x v="0"/>
    <x v="0"/>
    <x v="34"/>
    <x v="753"/>
    <n v="8"/>
    <x v="6"/>
    <n v="59"/>
    <n v="18"/>
    <n v="52"/>
    <n v="67"/>
    <x v="0"/>
    <x v="0"/>
    <n v="5"/>
  </r>
  <r>
    <x v="754"/>
    <s v="FN756"/>
    <s v="LN756"/>
    <x v="1"/>
    <n v="39"/>
    <x v="5"/>
    <x v="2"/>
    <x v="2"/>
    <x v="1"/>
    <x v="1"/>
    <s v="2016-10-14"/>
    <s v="2020-04-17"/>
    <x v="1"/>
    <x v="70"/>
    <x v="0"/>
    <x v="16"/>
    <x v="754"/>
    <n v="8"/>
    <x v="23"/>
    <n v="93"/>
    <n v="0"/>
    <n v="39"/>
    <n v="38"/>
    <x v="1"/>
    <x v="1"/>
    <n v="9.8000000000000007"/>
  </r>
  <r>
    <x v="755"/>
    <s v="FN757"/>
    <s v="LN757"/>
    <x v="1"/>
    <n v="24"/>
    <x v="0"/>
    <x v="0"/>
    <x v="4"/>
    <x v="0"/>
    <x v="0"/>
    <s v="2022-11-25"/>
    <m/>
    <x v="0"/>
    <x v="71"/>
    <x v="2"/>
    <x v="8"/>
    <x v="755"/>
    <n v="7"/>
    <x v="4"/>
    <n v="87"/>
    <n v="17"/>
    <n v="18"/>
    <n v="78"/>
    <x v="1"/>
    <x v="1"/>
    <n v="3.7"/>
  </r>
  <r>
    <x v="756"/>
    <s v="FN758"/>
    <s v="LN758"/>
    <x v="1"/>
    <n v="47"/>
    <x v="3"/>
    <x v="2"/>
    <x v="1"/>
    <x v="1"/>
    <x v="1"/>
    <s v="2018-07-17"/>
    <m/>
    <x v="0"/>
    <x v="48"/>
    <x v="2"/>
    <x v="33"/>
    <x v="756"/>
    <n v="7"/>
    <x v="15"/>
    <n v="92"/>
    <n v="4"/>
    <n v="15"/>
    <n v="36"/>
    <x v="1"/>
    <x v="1"/>
    <n v="8"/>
  </r>
  <r>
    <x v="757"/>
    <s v="FN759"/>
    <s v="LN759"/>
    <x v="1"/>
    <n v="52"/>
    <x v="3"/>
    <x v="10"/>
    <x v="0"/>
    <x v="0"/>
    <x v="0"/>
    <s v="2025-12-15"/>
    <m/>
    <x v="0"/>
    <x v="64"/>
    <x v="1"/>
    <x v="30"/>
    <x v="757"/>
    <n v="7"/>
    <x v="15"/>
    <n v="67"/>
    <n v="9"/>
    <n v="10"/>
    <n v="33"/>
    <x v="0"/>
    <x v="0"/>
    <n v="0.6"/>
  </r>
  <r>
    <x v="758"/>
    <s v="FN760"/>
    <s v="LN760"/>
    <x v="1"/>
    <n v="39"/>
    <x v="0"/>
    <x v="2"/>
    <x v="0"/>
    <x v="1"/>
    <x v="1"/>
    <s v="2018-10-25"/>
    <m/>
    <x v="0"/>
    <x v="63"/>
    <x v="1"/>
    <x v="2"/>
    <x v="758"/>
    <n v="10"/>
    <x v="5"/>
    <n v="63"/>
    <n v="20"/>
    <n v="4"/>
    <n v="56"/>
    <x v="1"/>
    <x v="2"/>
    <n v="7.8"/>
  </r>
  <r>
    <x v="759"/>
    <s v="FN761"/>
    <s v="LN761"/>
    <x v="1"/>
    <n v="50"/>
    <x v="5"/>
    <x v="2"/>
    <x v="0"/>
    <x v="1"/>
    <x v="0"/>
    <s v="2025-02-28"/>
    <m/>
    <x v="0"/>
    <x v="24"/>
    <x v="2"/>
    <x v="10"/>
    <x v="759"/>
    <n v="7"/>
    <x v="21"/>
    <n v="83"/>
    <n v="20"/>
    <n v="27"/>
    <n v="51"/>
    <x v="1"/>
    <x v="1"/>
    <n v="1.4"/>
  </r>
  <r>
    <x v="760"/>
    <s v="FN762"/>
    <s v="LN762"/>
    <x v="1"/>
    <n v="29"/>
    <x v="2"/>
    <x v="7"/>
    <x v="4"/>
    <x v="2"/>
    <x v="0"/>
    <s v="2024-05-13"/>
    <m/>
    <x v="0"/>
    <x v="42"/>
    <x v="2"/>
    <x v="25"/>
    <x v="760"/>
    <n v="11"/>
    <x v="14"/>
    <n v="97"/>
    <n v="10"/>
    <n v="26"/>
    <n v="20"/>
    <x v="1"/>
    <x v="1"/>
    <n v="2.2000000000000002"/>
  </r>
  <r>
    <x v="761"/>
    <s v="FN763"/>
    <s v="LN763"/>
    <x v="1"/>
    <n v="29"/>
    <x v="1"/>
    <x v="4"/>
    <x v="4"/>
    <x v="0"/>
    <x v="1"/>
    <s v="2020-11-04"/>
    <m/>
    <x v="0"/>
    <x v="65"/>
    <x v="2"/>
    <x v="7"/>
    <x v="761"/>
    <n v="6"/>
    <x v="12"/>
    <n v="61"/>
    <n v="3"/>
    <n v="25"/>
    <n v="64"/>
    <x v="0"/>
    <x v="1"/>
    <n v="5.7"/>
  </r>
  <r>
    <x v="762"/>
    <s v="FN764"/>
    <s v="LN764"/>
    <x v="1"/>
    <n v="35"/>
    <x v="1"/>
    <x v="1"/>
    <x v="4"/>
    <x v="1"/>
    <x v="1"/>
    <s v="2021-06-21"/>
    <m/>
    <x v="0"/>
    <x v="13"/>
    <x v="0"/>
    <x v="29"/>
    <x v="762"/>
    <n v="21"/>
    <x v="25"/>
    <n v="56"/>
    <n v="8"/>
    <n v="6"/>
    <n v="42"/>
    <x v="0"/>
    <x v="2"/>
    <n v="5.0999999999999996"/>
  </r>
  <r>
    <x v="763"/>
    <s v="FN765"/>
    <s v="LN765"/>
    <x v="0"/>
    <n v="56"/>
    <x v="3"/>
    <x v="2"/>
    <x v="3"/>
    <x v="0"/>
    <x v="1"/>
    <s v="2026-02-11"/>
    <m/>
    <x v="0"/>
    <x v="58"/>
    <x v="1"/>
    <x v="11"/>
    <x v="763"/>
    <n v="21"/>
    <x v="7"/>
    <n v="89"/>
    <n v="14"/>
    <n v="41"/>
    <n v="10"/>
    <x v="1"/>
    <x v="1"/>
    <n v="0.5"/>
  </r>
  <r>
    <x v="764"/>
    <s v="FN766"/>
    <s v="LN766"/>
    <x v="1"/>
    <n v="23"/>
    <x v="5"/>
    <x v="6"/>
    <x v="4"/>
    <x v="1"/>
    <x v="0"/>
    <s v="2024-06-16"/>
    <s v="2025-08-06"/>
    <x v="1"/>
    <x v="49"/>
    <x v="1"/>
    <x v="31"/>
    <x v="764"/>
    <n v="19"/>
    <x v="10"/>
    <n v="98"/>
    <n v="4"/>
    <n v="54"/>
    <n v="18"/>
    <x v="0"/>
    <x v="2"/>
    <n v="2.1"/>
  </r>
  <r>
    <x v="765"/>
    <s v="FN767"/>
    <s v="LN767"/>
    <x v="1"/>
    <n v="35"/>
    <x v="2"/>
    <x v="3"/>
    <x v="1"/>
    <x v="2"/>
    <x v="0"/>
    <s v="2021-03-10"/>
    <m/>
    <x v="0"/>
    <x v="41"/>
    <x v="1"/>
    <x v="23"/>
    <x v="765"/>
    <n v="18"/>
    <x v="18"/>
    <n v="91"/>
    <n v="15"/>
    <n v="18"/>
    <n v="58"/>
    <x v="0"/>
    <x v="1"/>
    <n v="5.4"/>
  </r>
  <r>
    <x v="766"/>
    <s v="FN768"/>
    <s v="LN768"/>
    <x v="0"/>
    <n v="42"/>
    <x v="2"/>
    <x v="3"/>
    <x v="2"/>
    <x v="0"/>
    <x v="0"/>
    <s v="2025-05-25"/>
    <m/>
    <x v="0"/>
    <x v="43"/>
    <x v="1"/>
    <x v="5"/>
    <x v="766"/>
    <n v="12"/>
    <x v="18"/>
    <n v="83"/>
    <n v="4"/>
    <n v="38"/>
    <n v="67"/>
    <x v="1"/>
    <x v="1"/>
    <n v="1.2"/>
  </r>
  <r>
    <x v="767"/>
    <s v="FN769"/>
    <s v="LN769"/>
    <x v="0"/>
    <n v="57"/>
    <x v="4"/>
    <x v="9"/>
    <x v="4"/>
    <x v="2"/>
    <x v="0"/>
    <s v="2021-09-29"/>
    <m/>
    <x v="0"/>
    <x v="8"/>
    <x v="2"/>
    <x v="17"/>
    <x v="767"/>
    <n v="17"/>
    <x v="2"/>
    <n v="62"/>
    <n v="7"/>
    <n v="29"/>
    <n v="33"/>
    <x v="0"/>
    <x v="0"/>
    <n v="4.8"/>
  </r>
  <r>
    <x v="768"/>
    <s v="FN770"/>
    <s v="LN770"/>
    <x v="1"/>
    <n v="56"/>
    <x v="1"/>
    <x v="4"/>
    <x v="1"/>
    <x v="0"/>
    <x v="0"/>
    <s v="2020-12-07"/>
    <m/>
    <x v="0"/>
    <x v="37"/>
    <x v="1"/>
    <x v="21"/>
    <x v="768"/>
    <n v="14"/>
    <x v="20"/>
    <n v="57"/>
    <n v="7"/>
    <n v="60"/>
    <n v="80"/>
    <x v="1"/>
    <x v="1"/>
    <n v="5.6"/>
  </r>
  <r>
    <x v="769"/>
    <s v="FN771"/>
    <s v="LN771"/>
    <x v="0"/>
    <n v="58"/>
    <x v="3"/>
    <x v="10"/>
    <x v="1"/>
    <x v="1"/>
    <x v="0"/>
    <s v="2017-04-18"/>
    <m/>
    <x v="0"/>
    <x v="14"/>
    <x v="2"/>
    <x v="18"/>
    <x v="769"/>
    <n v="5"/>
    <x v="14"/>
    <n v="56"/>
    <n v="13"/>
    <n v="57"/>
    <n v="48"/>
    <x v="1"/>
    <x v="2"/>
    <n v="9.3000000000000007"/>
  </r>
  <r>
    <x v="770"/>
    <s v="FN772"/>
    <s v="LN772"/>
    <x v="1"/>
    <n v="39"/>
    <x v="0"/>
    <x v="2"/>
    <x v="4"/>
    <x v="0"/>
    <x v="0"/>
    <s v="2026-04-12"/>
    <m/>
    <x v="0"/>
    <x v="1"/>
    <x v="0"/>
    <x v="25"/>
    <x v="770"/>
    <n v="6"/>
    <x v="7"/>
    <n v="74"/>
    <n v="3"/>
    <n v="13"/>
    <n v="77"/>
    <x v="1"/>
    <x v="1"/>
    <n v="0.3"/>
  </r>
  <r>
    <x v="771"/>
    <s v="FN773"/>
    <s v="LN773"/>
    <x v="0"/>
    <n v="46"/>
    <x v="2"/>
    <x v="5"/>
    <x v="3"/>
    <x v="0"/>
    <x v="0"/>
    <s v="2023-09-08"/>
    <m/>
    <x v="0"/>
    <x v="23"/>
    <x v="0"/>
    <x v="26"/>
    <x v="771"/>
    <n v="20"/>
    <x v="19"/>
    <n v="81"/>
    <n v="15"/>
    <n v="27"/>
    <n v="16"/>
    <x v="0"/>
    <x v="2"/>
    <n v="2.9"/>
  </r>
  <r>
    <x v="772"/>
    <s v="FN774"/>
    <s v="LN774"/>
    <x v="1"/>
    <n v="25"/>
    <x v="4"/>
    <x v="6"/>
    <x v="2"/>
    <x v="0"/>
    <x v="1"/>
    <s v="2016-07-30"/>
    <m/>
    <x v="0"/>
    <x v="46"/>
    <x v="2"/>
    <x v="25"/>
    <x v="772"/>
    <n v="8"/>
    <x v="5"/>
    <n v="95"/>
    <n v="14"/>
    <n v="9"/>
    <n v="19"/>
    <x v="0"/>
    <x v="1"/>
    <n v="10"/>
  </r>
  <r>
    <x v="773"/>
    <s v="FN775"/>
    <s v="LN775"/>
    <x v="1"/>
    <n v="53"/>
    <x v="1"/>
    <x v="4"/>
    <x v="1"/>
    <x v="2"/>
    <x v="0"/>
    <s v="2016-11-14"/>
    <m/>
    <x v="0"/>
    <x v="2"/>
    <x v="2"/>
    <x v="30"/>
    <x v="773"/>
    <n v="23"/>
    <x v="19"/>
    <n v="52"/>
    <n v="7"/>
    <n v="53"/>
    <n v="51"/>
    <x v="1"/>
    <x v="0"/>
    <n v="9.6999999999999993"/>
  </r>
  <r>
    <x v="774"/>
    <s v="FN776"/>
    <s v="LN776"/>
    <x v="1"/>
    <n v="45"/>
    <x v="0"/>
    <x v="2"/>
    <x v="3"/>
    <x v="0"/>
    <x v="0"/>
    <s v="2022-07-21"/>
    <m/>
    <x v="0"/>
    <x v="5"/>
    <x v="0"/>
    <x v="34"/>
    <x v="774"/>
    <n v="25"/>
    <x v="18"/>
    <n v="83"/>
    <n v="2"/>
    <n v="13"/>
    <n v="42"/>
    <x v="0"/>
    <x v="0"/>
    <n v="4"/>
  </r>
  <r>
    <x v="775"/>
    <s v="FN777"/>
    <s v="LN777"/>
    <x v="0"/>
    <n v="56"/>
    <x v="4"/>
    <x v="9"/>
    <x v="1"/>
    <x v="0"/>
    <x v="0"/>
    <s v="2020-10-26"/>
    <m/>
    <x v="0"/>
    <x v="28"/>
    <x v="1"/>
    <x v="7"/>
    <x v="775"/>
    <n v="17"/>
    <x v="0"/>
    <n v="77"/>
    <n v="10"/>
    <n v="14"/>
    <n v="19"/>
    <x v="1"/>
    <x v="2"/>
    <n v="5.8"/>
  </r>
  <r>
    <x v="776"/>
    <s v="FN778"/>
    <s v="LN778"/>
    <x v="1"/>
    <n v="23"/>
    <x v="4"/>
    <x v="2"/>
    <x v="2"/>
    <x v="1"/>
    <x v="0"/>
    <s v="2022-12-31"/>
    <m/>
    <x v="0"/>
    <x v="56"/>
    <x v="1"/>
    <x v="12"/>
    <x v="776"/>
    <n v="8"/>
    <x v="7"/>
    <n v="51"/>
    <n v="7"/>
    <n v="59"/>
    <n v="68"/>
    <x v="0"/>
    <x v="2"/>
    <n v="3.6"/>
  </r>
  <r>
    <x v="777"/>
    <s v="FN779"/>
    <s v="LN779"/>
    <x v="0"/>
    <n v="25"/>
    <x v="1"/>
    <x v="1"/>
    <x v="4"/>
    <x v="0"/>
    <x v="1"/>
    <s v="2022-05-11"/>
    <s v="2026-11-14"/>
    <x v="1"/>
    <x v="59"/>
    <x v="1"/>
    <x v="17"/>
    <x v="777"/>
    <n v="23"/>
    <x v="3"/>
    <n v="60"/>
    <n v="2"/>
    <n v="57"/>
    <n v="0"/>
    <x v="1"/>
    <x v="2"/>
    <n v="4.2"/>
  </r>
  <r>
    <x v="778"/>
    <s v="FN780"/>
    <s v="LN780"/>
    <x v="1"/>
    <n v="34"/>
    <x v="5"/>
    <x v="2"/>
    <x v="1"/>
    <x v="1"/>
    <x v="0"/>
    <s v="2021-02-09"/>
    <m/>
    <x v="0"/>
    <x v="75"/>
    <x v="0"/>
    <x v="28"/>
    <x v="778"/>
    <n v="8"/>
    <x v="24"/>
    <n v="74"/>
    <n v="12"/>
    <n v="35"/>
    <n v="50"/>
    <x v="1"/>
    <x v="1"/>
    <n v="5.5"/>
  </r>
  <r>
    <x v="779"/>
    <s v="FN781"/>
    <s v="LN781"/>
    <x v="1"/>
    <n v="41"/>
    <x v="2"/>
    <x v="3"/>
    <x v="4"/>
    <x v="2"/>
    <x v="1"/>
    <s v="2017-08-30"/>
    <m/>
    <x v="0"/>
    <x v="7"/>
    <x v="2"/>
    <x v="11"/>
    <x v="779"/>
    <n v="14"/>
    <x v="4"/>
    <n v="53"/>
    <n v="12"/>
    <n v="51"/>
    <n v="46"/>
    <x v="1"/>
    <x v="2"/>
    <n v="8.9"/>
  </r>
  <r>
    <x v="780"/>
    <s v="FN782"/>
    <s v="LN782"/>
    <x v="0"/>
    <n v="37"/>
    <x v="5"/>
    <x v="2"/>
    <x v="1"/>
    <x v="0"/>
    <x v="1"/>
    <s v="2016-01-16"/>
    <s v="2018-12-01"/>
    <x v="1"/>
    <x v="48"/>
    <x v="2"/>
    <x v="25"/>
    <x v="780"/>
    <n v="10"/>
    <x v="10"/>
    <n v="97"/>
    <n v="19"/>
    <n v="40"/>
    <n v="54"/>
    <x v="1"/>
    <x v="2"/>
    <n v="10.5"/>
  </r>
  <r>
    <x v="781"/>
    <s v="FN783"/>
    <s v="LN783"/>
    <x v="0"/>
    <n v="47"/>
    <x v="0"/>
    <x v="2"/>
    <x v="3"/>
    <x v="1"/>
    <x v="0"/>
    <s v="2023-04-01"/>
    <m/>
    <x v="0"/>
    <x v="4"/>
    <x v="1"/>
    <x v="29"/>
    <x v="781"/>
    <n v="25"/>
    <x v="21"/>
    <n v="61"/>
    <n v="18"/>
    <n v="30"/>
    <n v="60"/>
    <x v="1"/>
    <x v="0"/>
    <n v="3.3"/>
  </r>
  <r>
    <x v="782"/>
    <s v="FN784"/>
    <s v="LN784"/>
    <x v="1"/>
    <n v="27"/>
    <x v="2"/>
    <x v="3"/>
    <x v="4"/>
    <x v="1"/>
    <x v="0"/>
    <s v="2024-12-07"/>
    <m/>
    <x v="0"/>
    <x v="3"/>
    <x v="1"/>
    <x v="29"/>
    <x v="782"/>
    <n v="22"/>
    <x v="10"/>
    <n v="55"/>
    <n v="3"/>
    <n v="14"/>
    <n v="17"/>
    <x v="1"/>
    <x v="1"/>
    <n v="1.6"/>
  </r>
  <r>
    <x v="783"/>
    <s v="FN785"/>
    <s v="LN785"/>
    <x v="0"/>
    <n v="32"/>
    <x v="1"/>
    <x v="4"/>
    <x v="2"/>
    <x v="2"/>
    <x v="1"/>
    <s v="2022-11-24"/>
    <m/>
    <x v="0"/>
    <x v="28"/>
    <x v="2"/>
    <x v="15"/>
    <x v="783"/>
    <n v="6"/>
    <x v="25"/>
    <n v="91"/>
    <n v="4"/>
    <n v="51"/>
    <n v="51"/>
    <x v="1"/>
    <x v="0"/>
    <n v="3.7"/>
  </r>
  <r>
    <x v="784"/>
    <s v="FN786"/>
    <s v="LN786"/>
    <x v="0"/>
    <n v="42"/>
    <x v="0"/>
    <x v="2"/>
    <x v="3"/>
    <x v="2"/>
    <x v="0"/>
    <s v="2025-07-23"/>
    <m/>
    <x v="0"/>
    <x v="25"/>
    <x v="0"/>
    <x v="35"/>
    <x v="784"/>
    <n v="13"/>
    <x v="5"/>
    <n v="72"/>
    <n v="15"/>
    <n v="38"/>
    <n v="28"/>
    <x v="0"/>
    <x v="2"/>
    <n v="1"/>
  </r>
  <r>
    <x v="785"/>
    <s v="FN787"/>
    <s v="LN787"/>
    <x v="1"/>
    <n v="38"/>
    <x v="4"/>
    <x v="6"/>
    <x v="1"/>
    <x v="2"/>
    <x v="0"/>
    <s v="2023-12-21"/>
    <m/>
    <x v="0"/>
    <x v="47"/>
    <x v="1"/>
    <x v="6"/>
    <x v="785"/>
    <n v="8"/>
    <x v="6"/>
    <n v="87"/>
    <n v="4"/>
    <n v="29"/>
    <n v="53"/>
    <x v="1"/>
    <x v="2"/>
    <n v="2.6"/>
  </r>
  <r>
    <x v="786"/>
    <s v="FN788"/>
    <s v="LN788"/>
    <x v="1"/>
    <n v="58"/>
    <x v="4"/>
    <x v="9"/>
    <x v="3"/>
    <x v="0"/>
    <x v="0"/>
    <s v="2019-04-13"/>
    <s v="2021-04-04"/>
    <x v="1"/>
    <x v="54"/>
    <x v="1"/>
    <x v="35"/>
    <x v="786"/>
    <n v="9"/>
    <x v="3"/>
    <n v="93"/>
    <n v="15"/>
    <n v="16"/>
    <n v="2"/>
    <x v="0"/>
    <x v="2"/>
    <n v="7.3"/>
  </r>
  <r>
    <x v="787"/>
    <s v="FN789"/>
    <s v="LN789"/>
    <x v="0"/>
    <n v="24"/>
    <x v="0"/>
    <x v="0"/>
    <x v="0"/>
    <x v="2"/>
    <x v="0"/>
    <s v="2025-03-03"/>
    <m/>
    <x v="0"/>
    <x v="67"/>
    <x v="0"/>
    <x v="27"/>
    <x v="787"/>
    <n v="11"/>
    <x v="0"/>
    <n v="94"/>
    <n v="3"/>
    <n v="12"/>
    <n v="27"/>
    <x v="0"/>
    <x v="1"/>
    <n v="1.4"/>
  </r>
  <r>
    <x v="788"/>
    <s v="FN790"/>
    <s v="LN790"/>
    <x v="1"/>
    <n v="26"/>
    <x v="2"/>
    <x v="7"/>
    <x v="3"/>
    <x v="0"/>
    <x v="0"/>
    <s v="2019-11-25"/>
    <m/>
    <x v="0"/>
    <x v="76"/>
    <x v="2"/>
    <x v="12"/>
    <x v="788"/>
    <n v="22"/>
    <x v="7"/>
    <n v="55"/>
    <n v="18"/>
    <n v="32"/>
    <n v="28"/>
    <x v="0"/>
    <x v="1"/>
    <n v="6.7"/>
  </r>
  <r>
    <x v="789"/>
    <s v="FN791"/>
    <s v="LN791"/>
    <x v="1"/>
    <n v="43"/>
    <x v="2"/>
    <x v="5"/>
    <x v="2"/>
    <x v="2"/>
    <x v="0"/>
    <s v="2020-02-09"/>
    <m/>
    <x v="0"/>
    <x v="16"/>
    <x v="2"/>
    <x v="0"/>
    <x v="789"/>
    <n v="6"/>
    <x v="13"/>
    <n v="52"/>
    <n v="3"/>
    <n v="45"/>
    <n v="58"/>
    <x v="0"/>
    <x v="2"/>
    <n v="6.5"/>
  </r>
  <r>
    <x v="790"/>
    <s v="FN792"/>
    <s v="LN792"/>
    <x v="0"/>
    <n v="42"/>
    <x v="2"/>
    <x v="5"/>
    <x v="3"/>
    <x v="2"/>
    <x v="1"/>
    <s v="2019-03-26"/>
    <m/>
    <x v="0"/>
    <x v="12"/>
    <x v="1"/>
    <x v="7"/>
    <x v="790"/>
    <n v="12"/>
    <x v="25"/>
    <n v="50"/>
    <n v="11"/>
    <n v="12"/>
    <n v="80"/>
    <x v="1"/>
    <x v="2"/>
    <n v="7.3"/>
  </r>
  <r>
    <x v="791"/>
    <s v="FN793"/>
    <s v="LN793"/>
    <x v="0"/>
    <n v="21"/>
    <x v="1"/>
    <x v="4"/>
    <x v="4"/>
    <x v="2"/>
    <x v="1"/>
    <s v="2019-06-29"/>
    <m/>
    <x v="0"/>
    <x v="62"/>
    <x v="2"/>
    <x v="16"/>
    <x v="791"/>
    <n v="24"/>
    <x v="17"/>
    <n v="98"/>
    <n v="17"/>
    <n v="39"/>
    <n v="12"/>
    <x v="1"/>
    <x v="1"/>
    <n v="7.1"/>
  </r>
  <r>
    <x v="792"/>
    <s v="FN794"/>
    <s v="LN794"/>
    <x v="1"/>
    <n v="30"/>
    <x v="1"/>
    <x v="1"/>
    <x v="4"/>
    <x v="0"/>
    <x v="0"/>
    <s v="2023-11-03"/>
    <m/>
    <x v="0"/>
    <x v="45"/>
    <x v="2"/>
    <x v="2"/>
    <x v="792"/>
    <n v="15"/>
    <x v="12"/>
    <n v="50"/>
    <n v="7"/>
    <n v="50"/>
    <n v="2"/>
    <x v="0"/>
    <x v="0"/>
    <n v="2.7"/>
  </r>
  <r>
    <x v="793"/>
    <s v="FN795"/>
    <s v="LN795"/>
    <x v="0"/>
    <n v="36"/>
    <x v="0"/>
    <x v="0"/>
    <x v="0"/>
    <x v="0"/>
    <x v="1"/>
    <s v="2017-10-27"/>
    <m/>
    <x v="0"/>
    <x v="32"/>
    <x v="0"/>
    <x v="1"/>
    <x v="793"/>
    <n v="25"/>
    <x v="14"/>
    <n v="58"/>
    <n v="7"/>
    <n v="12"/>
    <n v="45"/>
    <x v="1"/>
    <x v="1"/>
    <n v="8.8000000000000007"/>
  </r>
  <r>
    <x v="794"/>
    <s v="FN796"/>
    <s v="LN796"/>
    <x v="1"/>
    <n v="23"/>
    <x v="2"/>
    <x v="5"/>
    <x v="2"/>
    <x v="2"/>
    <x v="0"/>
    <s v="2017-12-21"/>
    <m/>
    <x v="0"/>
    <x v="72"/>
    <x v="1"/>
    <x v="30"/>
    <x v="794"/>
    <n v="8"/>
    <x v="11"/>
    <n v="92"/>
    <n v="16"/>
    <n v="34"/>
    <n v="48"/>
    <x v="1"/>
    <x v="2"/>
    <n v="8.6"/>
  </r>
  <r>
    <x v="795"/>
    <s v="FN797"/>
    <s v="LN797"/>
    <x v="0"/>
    <n v="40"/>
    <x v="1"/>
    <x v="4"/>
    <x v="0"/>
    <x v="1"/>
    <x v="0"/>
    <s v="2017-09-20"/>
    <m/>
    <x v="0"/>
    <x v="62"/>
    <x v="1"/>
    <x v="11"/>
    <x v="795"/>
    <n v="19"/>
    <x v="0"/>
    <n v="92"/>
    <n v="16"/>
    <n v="51"/>
    <n v="20"/>
    <x v="0"/>
    <x v="0"/>
    <n v="8.9"/>
  </r>
  <r>
    <x v="796"/>
    <s v="FN798"/>
    <s v="LN798"/>
    <x v="0"/>
    <n v="22"/>
    <x v="5"/>
    <x v="2"/>
    <x v="3"/>
    <x v="2"/>
    <x v="0"/>
    <s v="2021-12-12"/>
    <m/>
    <x v="0"/>
    <x v="9"/>
    <x v="0"/>
    <x v="4"/>
    <x v="796"/>
    <n v="15"/>
    <x v="4"/>
    <n v="78"/>
    <n v="16"/>
    <n v="27"/>
    <n v="27"/>
    <x v="0"/>
    <x v="0"/>
    <n v="4.5999999999999996"/>
  </r>
  <r>
    <x v="797"/>
    <s v="FN799"/>
    <s v="LN799"/>
    <x v="1"/>
    <n v="45"/>
    <x v="2"/>
    <x v="7"/>
    <x v="4"/>
    <x v="1"/>
    <x v="1"/>
    <s v="2019-11-01"/>
    <m/>
    <x v="0"/>
    <x v="58"/>
    <x v="2"/>
    <x v="3"/>
    <x v="797"/>
    <n v="8"/>
    <x v="13"/>
    <n v="92"/>
    <n v="7"/>
    <n v="50"/>
    <n v="27"/>
    <x v="1"/>
    <x v="0"/>
    <n v="6.7"/>
  </r>
  <r>
    <x v="798"/>
    <s v="FN800"/>
    <s v="LN800"/>
    <x v="1"/>
    <n v="29"/>
    <x v="5"/>
    <x v="6"/>
    <x v="4"/>
    <x v="2"/>
    <x v="0"/>
    <s v="2020-05-16"/>
    <s v="2024-10-27"/>
    <x v="1"/>
    <x v="56"/>
    <x v="0"/>
    <x v="25"/>
    <x v="798"/>
    <n v="7"/>
    <x v="19"/>
    <n v="90"/>
    <n v="14"/>
    <n v="18"/>
    <n v="80"/>
    <x v="0"/>
    <x v="0"/>
    <n v="6.2"/>
  </r>
  <r>
    <x v="799"/>
    <s v="FN801"/>
    <s v="LN801"/>
    <x v="0"/>
    <n v="52"/>
    <x v="5"/>
    <x v="2"/>
    <x v="4"/>
    <x v="1"/>
    <x v="1"/>
    <s v="2025-02-24"/>
    <m/>
    <x v="0"/>
    <x v="75"/>
    <x v="2"/>
    <x v="35"/>
    <x v="799"/>
    <n v="22"/>
    <x v="8"/>
    <n v="63"/>
    <n v="20"/>
    <n v="35"/>
    <n v="28"/>
    <x v="0"/>
    <x v="2"/>
    <n v="1.4"/>
  </r>
  <r>
    <x v="800"/>
    <s v="FN802"/>
    <s v="LN802"/>
    <x v="1"/>
    <n v="55"/>
    <x v="2"/>
    <x v="3"/>
    <x v="3"/>
    <x v="2"/>
    <x v="1"/>
    <s v="2019-12-05"/>
    <m/>
    <x v="0"/>
    <x v="45"/>
    <x v="0"/>
    <x v="25"/>
    <x v="800"/>
    <n v="18"/>
    <x v="2"/>
    <n v="81"/>
    <n v="9"/>
    <n v="24"/>
    <n v="42"/>
    <x v="1"/>
    <x v="2"/>
    <n v="6.7"/>
  </r>
  <r>
    <x v="801"/>
    <s v="FN803"/>
    <s v="LN803"/>
    <x v="0"/>
    <n v="39"/>
    <x v="2"/>
    <x v="7"/>
    <x v="3"/>
    <x v="2"/>
    <x v="0"/>
    <s v="2016-04-14"/>
    <m/>
    <x v="0"/>
    <x v="42"/>
    <x v="1"/>
    <x v="21"/>
    <x v="801"/>
    <n v="12"/>
    <x v="13"/>
    <n v="93"/>
    <n v="13"/>
    <n v="3"/>
    <n v="77"/>
    <x v="1"/>
    <x v="0"/>
    <n v="10.3"/>
  </r>
  <r>
    <x v="802"/>
    <s v="FN804"/>
    <s v="LN804"/>
    <x v="0"/>
    <n v="33"/>
    <x v="3"/>
    <x v="2"/>
    <x v="2"/>
    <x v="2"/>
    <x v="1"/>
    <s v="2020-12-11"/>
    <m/>
    <x v="0"/>
    <x v="79"/>
    <x v="0"/>
    <x v="2"/>
    <x v="802"/>
    <n v="19"/>
    <x v="4"/>
    <n v="60"/>
    <n v="5"/>
    <n v="46"/>
    <n v="66"/>
    <x v="0"/>
    <x v="1"/>
    <n v="5.6"/>
  </r>
  <r>
    <x v="803"/>
    <s v="FN805"/>
    <s v="LN805"/>
    <x v="1"/>
    <n v="30"/>
    <x v="0"/>
    <x v="0"/>
    <x v="0"/>
    <x v="1"/>
    <x v="1"/>
    <s v="2024-03-24"/>
    <m/>
    <x v="0"/>
    <x v="24"/>
    <x v="2"/>
    <x v="7"/>
    <x v="803"/>
    <n v="25"/>
    <x v="15"/>
    <n v="79"/>
    <n v="3"/>
    <n v="18"/>
    <n v="39"/>
    <x v="1"/>
    <x v="0"/>
    <n v="2.2999999999999998"/>
  </r>
  <r>
    <x v="804"/>
    <s v="FN806"/>
    <s v="LN806"/>
    <x v="0"/>
    <n v="33"/>
    <x v="3"/>
    <x v="10"/>
    <x v="1"/>
    <x v="2"/>
    <x v="0"/>
    <s v="2019-12-20"/>
    <m/>
    <x v="0"/>
    <x v="57"/>
    <x v="2"/>
    <x v="6"/>
    <x v="804"/>
    <n v="12"/>
    <x v="11"/>
    <n v="57"/>
    <n v="17"/>
    <n v="3"/>
    <n v="40"/>
    <x v="0"/>
    <x v="0"/>
    <n v="6.6"/>
  </r>
  <r>
    <x v="805"/>
    <s v="FN807"/>
    <s v="LN807"/>
    <x v="0"/>
    <n v="34"/>
    <x v="0"/>
    <x v="0"/>
    <x v="3"/>
    <x v="2"/>
    <x v="0"/>
    <s v="2025-01-18"/>
    <m/>
    <x v="0"/>
    <x v="68"/>
    <x v="1"/>
    <x v="27"/>
    <x v="805"/>
    <n v="21"/>
    <x v="9"/>
    <n v="95"/>
    <n v="16"/>
    <n v="24"/>
    <n v="55"/>
    <x v="0"/>
    <x v="0"/>
    <n v="1.5"/>
  </r>
  <r>
    <x v="806"/>
    <s v="FN808"/>
    <s v="LN808"/>
    <x v="1"/>
    <n v="38"/>
    <x v="3"/>
    <x v="2"/>
    <x v="1"/>
    <x v="0"/>
    <x v="1"/>
    <s v="2019-01-24"/>
    <m/>
    <x v="0"/>
    <x v="37"/>
    <x v="2"/>
    <x v="23"/>
    <x v="806"/>
    <n v="17"/>
    <x v="5"/>
    <n v="62"/>
    <n v="11"/>
    <n v="24"/>
    <n v="57"/>
    <x v="1"/>
    <x v="2"/>
    <n v="7.5"/>
  </r>
  <r>
    <x v="807"/>
    <s v="FN809"/>
    <s v="LN809"/>
    <x v="0"/>
    <n v="60"/>
    <x v="3"/>
    <x v="10"/>
    <x v="4"/>
    <x v="0"/>
    <x v="0"/>
    <s v="2021-12-05"/>
    <m/>
    <x v="0"/>
    <x v="58"/>
    <x v="2"/>
    <x v="12"/>
    <x v="807"/>
    <n v="25"/>
    <x v="23"/>
    <n v="57"/>
    <n v="20"/>
    <n v="46"/>
    <n v="36"/>
    <x v="1"/>
    <x v="2"/>
    <n v="4.5999999999999996"/>
  </r>
  <r>
    <x v="808"/>
    <s v="FN810"/>
    <s v="LN810"/>
    <x v="1"/>
    <n v="59"/>
    <x v="0"/>
    <x v="2"/>
    <x v="0"/>
    <x v="2"/>
    <x v="1"/>
    <s v="2020-01-16"/>
    <m/>
    <x v="0"/>
    <x v="77"/>
    <x v="2"/>
    <x v="8"/>
    <x v="808"/>
    <n v="12"/>
    <x v="19"/>
    <n v="60"/>
    <n v="20"/>
    <n v="17"/>
    <n v="45"/>
    <x v="0"/>
    <x v="2"/>
    <n v="6.5"/>
  </r>
  <r>
    <x v="809"/>
    <s v="FN811"/>
    <s v="LN811"/>
    <x v="0"/>
    <n v="37"/>
    <x v="3"/>
    <x v="2"/>
    <x v="2"/>
    <x v="0"/>
    <x v="1"/>
    <s v="2025-02-19"/>
    <m/>
    <x v="0"/>
    <x v="51"/>
    <x v="1"/>
    <x v="6"/>
    <x v="809"/>
    <n v="10"/>
    <x v="20"/>
    <n v="61"/>
    <n v="1"/>
    <n v="53"/>
    <n v="31"/>
    <x v="1"/>
    <x v="2"/>
    <n v="1.4"/>
  </r>
  <r>
    <x v="810"/>
    <s v="FN812"/>
    <s v="LN812"/>
    <x v="1"/>
    <n v="34"/>
    <x v="2"/>
    <x v="3"/>
    <x v="4"/>
    <x v="1"/>
    <x v="1"/>
    <s v="2021-09-09"/>
    <m/>
    <x v="0"/>
    <x v="15"/>
    <x v="1"/>
    <x v="14"/>
    <x v="810"/>
    <n v="5"/>
    <x v="16"/>
    <n v="90"/>
    <n v="4"/>
    <n v="17"/>
    <n v="46"/>
    <x v="0"/>
    <x v="0"/>
    <n v="4.9000000000000004"/>
  </r>
  <r>
    <x v="811"/>
    <s v="FN813"/>
    <s v="LN813"/>
    <x v="0"/>
    <n v="31"/>
    <x v="3"/>
    <x v="2"/>
    <x v="3"/>
    <x v="1"/>
    <x v="0"/>
    <s v="2022-02-09"/>
    <s v="2024-03-01"/>
    <x v="1"/>
    <x v="76"/>
    <x v="0"/>
    <x v="14"/>
    <x v="811"/>
    <n v="13"/>
    <x v="2"/>
    <n v="79"/>
    <n v="0"/>
    <n v="44"/>
    <n v="28"/>
    <x v="0"/>
    <x v="0"/>
    <n v="4.5"/>
  </r>
  <r>
    <x v="812"/>
    <s v="FN814"/>
    <s v="LN814"/>
    <x v="0"/>
    <n v="51"/>
    <x v="0"/>
    <x v="0"/>
    <x v="0"/>
    <x v="0"/>
    <x v="1"/>
    <s v="2018-08-05"/>
    <m/>
    <x v="0"/>
    <x v="55"/>
    <x v="1"/>
    <x v="5"/>
    <x v="812"/>
    <n v="8"/>
    <x v="18"/>
    <n v="95"/>
    <n v="20"/>
    <n v="49"/>
    <n v="68"/>
    <x v="0"/>
    <x v="2"/>
    <n v="8"/>
  </r>
  <r>
    <x v="813"/>
    <s v="FN815"/>
    <s v="LN815"/>
    <x v="1"/>
    <n v="53"/>
    <x v="3"/>
    <x v="10"/>
    <x v="4"/>
    <x v="1"/>
    <x v="0"/>
    <s v="2023-07-14"/>
    <m/>
    <x v="0"/>
    <x v="50"/>
    <x v="1"/>
    <x v="17"/>
    <x v="813"/>
    <n v="20"/>
    <x v="5"/>
    <n v="72"/>
    <n v="6"/>
    <n v="4"/>
    <n v="32"/>
    <x v="0"/>
    <x v="0"/>
    <n v="3"/>
  </r>
  <r>
    <x v="814"/>
    <s v="FN816"/>
    <s v="LN816"/>
    <x v="0"/>
    <n v="54"/>
    <x v="4"/>
    <x v="9"/>
    <x v="4"/>
    <x v="2"/>
    <x v="1"/>
    <s v="2023-12-02"/>
    <m/>
    <x v="0"/>
    <x v="15"/>
    <x v="0"/>
    <x v="22"/>
    <x v="814"/>
    <n v="23"/>
    <x v="9"/>
    <n v="81"/>
    <n v="19"/>
    <n v="46"/>
    <n v="20"/>
    <x v="1"/>
    <x v="0"/>
    <n v="2.7"/>
  </r>
  <r>
    <x v="815"/>
    <s v="FN817"/>
    <s v="LN817"/>
    <x v="1"/>
    <n v="60"/>
    <x v="0"/>
    <x v="2"/>
    <x v="1"/>
    <x v="0"/>
    <x v="1"/>
    <s v="2023-05-01"/>
    <m/>
    <x v="0"/>
    <x v="51"/>
    <x v="0"/>
    <x v="35"/>
    <x v="815"/>
    <n v="7"/>
    <x v="7"/>
    <n v="95"/>
    <n v="10"/>
    <n v="14"/>
    <n v="35"/>
    <x v="1"/>
    <x v="2"/>
    <n v="3.2"/>
  </r>
  <r>
    <x v="816"/>
    <s v="FN818"/>
    <s v="LN818"/>
    <x v="1"/>
    <n v="25"/>
    <x v="1"/>
    <x v="4"/>
    <x v="2"/>
    <x v="0"/>
    <x v="0"/>
    <s v="2024-11-28"/>
    <m/>
    <x v="0"/>
    <x v="78"/>
    <x v="0"/>
    <x v="8"/>
    <x v="816"/>
    <n v="13"/>
    <x v="25"/>
    <n v="55"/>
    <n v="5"/>
    <n v="36"/>
    <n v="42"/>
    <x v="0"/>
    <x v="0"/>
    <n v="1.7"/>
  </r>
  <r>
    <x v="817"/>
    <s v="FN819"/>
    <s v="LN819"/>
    <x v="0"/>
    <n v="37"/>
    <x v="2"/>
    <x v="3"/>
    <x v="3"/>
    <x v="0"/>
    <x v="1"/>
    <s v="2026-05-14"/>
    <s v="2028-12-07"/>
    <x v="1"/>
    <x v="39"/>
    <x v="1"/>
    <x v="15"/>
    <x v="817"/>
    <n v="15"/>
    <x v="23"/>
    <n v="93"/>
    <n v="6"/>
    <n v="31"/>
    <n v="43"/>
    <x v="0"/>
    <x v="1"/>
    <n v="0.2"/>
  </r>
  <r>
    <x v="818"/>
    <s v="FN820"/>
    <s v="LN820"/>
    <x v="0"/>
    <n v="43"/>
    <x v="5"/>
    <x v="6"/>
    <x v="2"/>
    <x v="0"/>
    <x v="0"/>
    <s v="2017-08-23"/>
    <m/>
    <x v="0"/>
    <x v="29"/>
    <x v="2"/>
    <x v="14"/>
    <x v="818"/>
    <n v="20"/>
    <x v="9"/>
    <n v="87"/>
    <n v="7"/>
    <n v="11"/>
    <n v="36"/>
    <x v="1"/>
    <x v="0"/>
    <n v="8.9"/>
  </r>
  <r>
    <x v="819"/>
    <s v="FN821"/>
    <s v="LN821"/>
    <x v="1"/>
    <n v="41"/>
    <x v="5"/>
    <x v="2"/>
    <x v="2"/>
    <x v="2"/>
    <x v="0"/>
    <s v="2023-09-16"/>
    <m/>
    <x v="0"/>
    <x v="55"/>
    <x v="1"/>
    <x v="31"/>
    <x v="819"/>
    <n v="7"/>
    <x v="11"/>
    <n v="56"/>
    <n v="8"/>
    <n v="13"/>
    <n v="33"/>
    <x v="0"/>
    <x v="1"/>
    <n v="2.9"/>
  </r>
  <r>
    <x v="820"/>
    <s v="FN822"/>
    <s v="LN822"/>
    <x v="0"/>
    <n v="37"/>
    <x v="4"/>
    <x v="2"/>
    <x v="1"/>
    <x v="0"/>
    <x v="0"/>
    <s v="2019-01-09"/>
    <m/>
    <x v="0"/>
    <x v="37"/>
    <x v="0"/>
    <x v="29"/>
    <x v="820"/>
    <n v="18"/>
    <x v="17"/>
    <n v="51"/>
    <n v="18"/>
    <n v="14"/>
    <n v="61"/>
    <x v="0"/>
    <x v="1"/>
    <n v="7.6"/>
  </r>
  <r>
    <x v="821"/>
    <s v="FN823"/>
    <s v="LN823"/>
    <x v="0"/>
    <n v="31"/>
    <x v="1"/>
    <x v="4"/>
    <x v="1"/>
    <x v="0"/>
    <x v="0"/>
    <s v="2022-05-20"/>
    <m/>
    <x v="0"/>
    <x v="10"/>
    <x v="0"/>
    <x v="13"/>
    <x v="821"/>
    <n v="23"/>
    <x v="8"/>
    <n v="63"/>
    <n v="11"/>
    <n v="55"/>
    <n v="1"/>
    <x v="1"/>
    <x v="0"/>
    <n v="4.2"/>
  </r>
  <r>
    <x v="822"/>
    <s v="FN824"/>
    <s v="LN824"/>
    <x v="1"/>
    <n v="56"/>
    <x v="0"/>
    <x v="2"/>
    <x v="4"/>
    <x v="1"/>
    <x v="1"/>
    <s v="2016-04-26"/>
    <m/>
    <x v="0"/>
    <x v="42"/>
    <x v="2"/>
    <x v="29"/>
    <x v="822"/>
    <n v="25"/>
    <x v="22"/>
    <n v="80"/>
    <n v="4"/>
    <n v="59"/>
    <n v="10"/>
    <x v="1"/>
    <x v="1"/>
    <n v="10.3"/>
  </r>
  <r>
    <x v="823"/>
    <s v="FN825"/>
    <s v="LN825"/>
    <x v="1"/>
    <n v="26"/>
    <x v="1"/>
    <x v="4"/>
    <x v="1"/>
    <x v="2"/>
    <x v="1"/>
    <s v="2021-12-04"/>
    <m/>
    <x v="0"/>
    <x v="35"/>
    <x v="0"/>
    <x v="22"/>
    <x v="823"/>
    <n v="13"/>
    <x v="23"/>
    <n v="99"/>
    <n v="20"/>
    <n v="14"/>
    <n v="70"/>
    <x v="0"/>
    <x v="2"/>
    <n v="4.7"/>
  </r>
  <r>
    <x v="824"/>
    <s v="FN826"/>
    <s v="LN826"/>
    <x v="0"/>
    <n v="37"/>
    <x v="3"/>
    <x v="2"/>
    <x v="4"/>
    <x v="0"/>
    <x v="0"/>
    <s v="2018-07-21"/>
    <m/>
    <x v="0"/>
    <x v="13"/>
    <x v="0"/>
    <x v="2"/>
    <x v="824"/>
    <n v="12"/>
    <x v="17"/>
    <n v="67"/>
    <n v="10"/>
    <n v="49"/>
    <n v="67"/>
    <x v="0"/>
    <x v="2"/>
    <n v="8"/>
  </r>
  <r>
    <x v="825"/>
    <s v="FN827"/>
    <s v="LN827"/>
    <x v="0"/>
    <n v="45"/>
    <x v="3"/>
    <x v="2"/>
    <x v="2"/>
    <x v="0"/>
    <x v="0"/>
    <s v="2022-04-25"/>
    <m/>
    <x v="0"/>
    <x v="6"/>
    <x v="2"/>
    <x v="7"/>
    <x v="825"/>
    <n v="11"/>
    <x v="19"/>
    <n v="72"/>
    <n v="16"/>
    <n v="9"/>
    <n v="38"/>
    <x v="0"/>
    <x v="1"/>
    <n v="4.3"/>
  </r>
  <r>
    <x v="826"/>
    <s v="FN828"/>
    <s v="LN828"/>
    <x v="0"/>
    <n v="50"/>
    <x v="0"/>
    <x v="0"/>
    <x v="3"/>
    <x v="0"/>
    <x v="0"/>
    <s v="2024-01-07"/>
    <s v="2028-10-06"/>
    <x v="1"/>
    <x v="9"/>
    <x v="0"/>
    <x v="19"/>
    <x v="826"/>
    <n v="20"/>
    <x v="24"/>
    <n v="79"/>
    <n v="4"/>
    <n v="36"/>
    <n v="5"/>
    <x v="0"/>
    <x v="2"/>
    <n v="2.6"/>
  </r>
  <r>
    <x v="827"/>
    <s v="FN829"/>
    <s v="LN829"/>
    <x v="1"/>
    <n v="49"/>
    <x v="0"/>
    <x v="0"/>
    <x v="1"/>
    <x v="0"/>
    <x v="0"/>
    <s v="2025-10-20"/>
    <m/>
    <x v="0"/>
    <x v="75"/>
    <x v="1"/>
    <x v="20"/>
    <x v="827"/>
    <n v="24"/>
    <x v="23"/>
    <n v="66"/>
    <n v="19"/>
    <n v="27"/>
    <n v="10"/>
    <x v="1"/>
    <x v="2"/>
    <n v="0.8"/>
  </r>
  <r>
    <x v="828"/>
    <s v="FN830"/>
    <s v="LN830"/>
    <x v="1"/>
    <n v="22"/>
    <x v="5"/>
    <x v="8"/>
    <x v="2"/>
    <x v="0"/>
    <x v="0"/>
    <s v="2017-07-08"/>
    <m/>
    <x v="0"/>
    <x v="45"/>
    <x v="1"/>
    <x v="13"/>
    <x v="828"/>
    <n v="18"/>
    <x v="11"/>
    <n v="84"/>
    <n v="15"/>
    <n v="1"/>
    <n v="52"/>
    <x v="1"/>
    <x v="2"/>
    <n v="9.1"/>
  </r>
  <r>
    <x v="829"/>
    <s v="FN831"/>
    <s v="LN831"/>
    <x v="1"/>
    <n v="46"/>
    <x v="0"/>
    <x v="0"/>
    <x v="1"/>
    <x v="1"/>
    <x v="1"/>
    <s v="2024-05-18"/>
    <s v="2026-12-10"/>
    <x v="1"/>
    <x v="51"/>
    <x v="0"/>
    <x v="33"/>
    <x v="829"/>
    <n v="7"/>
    <x v="6"/>
    <n v="94"/>
    <n v="4"/>
    <n v="40"/>
    <n v="11"/>
    <x v="0"/>
    <x v="2"/>
    <n v="2.2000000000000002"/>
  </r>
  <r>
    <x v="830"/>
    <s v="FN832"/>
    <s v="LN832"/>
    <x v="1"/>
    <n v="50"/>
    <x v="2"/>
    <x v="5"/>
    <x v="3"/>
    <x v="0"/>
    <x v="1"/>
    <s v="2020-07-10"/>
    <m/>
    <x v="0"/>
    <x v="10"/>
    <x v="2"/>
    <x v="19"/>
    <x v="830"/>
    <n v="24"/>
    <x v="7"/>
    <n v="61"/>
    <n v="20"/>
    <n v="3"/>
    <n v="59"/>
    <x v="0"/>
    <x v="1"/>
    <n v="6.1"/>
  </r>
  <r>
    <x v="831"/>
    <s v="FN833"/>
    <s v="LN833"/>
    <x v="0"/>
    <n v="37"/>
    <x v="0"/>
    <x v="0"/>
    <x v="4"/>
    <x v="0"/>
    <x v="1"/>
    <s v="2021-11-18"/>
    <m/>
    <x v="0"/>
    <x v="29"/>
    <x v="0"/>
    <x v="25"/>
    <x v="831"/>
    <n v="9"/>
    <x v="16"/>
    <n v="51"/>
    <n v="0"/>
    <n v="31"/>
    <n v="41"/>
    <x v="1"/>
    <x v="1"/>
    <n v="4.7"/>
  </r>
  <r>
    <x v="832"/>
    <s v="FN834"/>
    <s v="LN834"/>
    <x v="1"/>
    <n v="55"/>
    <x v="5"/>
    <x v="2"/>
    <x v="2"/>
    <x v="2"/>
    <x v="1"/>
    <s v="2019-11-18"/>
    <m/>
    <x v="0"/>
    <x v="45"/>
    <x v="1"/>
    <x v="4"/>
    <x v="832"/>
    <n v="19"/>
    <x v="3"/>
    <n v="94"/>
    <n v="10"/>
    <n v="17"/>
    <n v="69"/>
    <x v="1"/>
    <x v="0"/>
    <n v="6.7"/>
  </r>
  <r>
    <x v="833"/>
    <s v="FN835"/>
    <s v="LN835"/>
    <x v="0"/>
    <n v="30"/>
    <x v="2"/>
    <x v="7"/>
    <x v="0"/>
    <x v="1"/>
    <x v="1"/>
    <s v="2018-12-05"/>
    <s v="2027-01-12"/>
    <x v="1"/>
    <x v="15"/>
    <x v="0"/>
    <x v="22"/>
    <x v="833"/>
    <n v="15"/>
    <x v="17"/>
    <n v="75"/>
    <n v="5"/>
    <n v="43"/>
    <n v="14"/>
    <x v="1"/>
    <x v="0"/>
    <n v="7.7"/>
  </r>
  <r>
    <x v="834"/>
    <s v="FN836"/>
    <s v="LN836"/>
    <x v="0"/>
    <n v="28"/>
    <x v="2"/>
    <x v="5"/>
    <x v="3"/>
    <x v="0"/>
    <x v="1"/>
    <s v="2018-11-25"/>
    <m/>
    <x v="0"/>
    <x v="44"/>
    <x v="0"/>
    <x v="14"/>
    <x v="834"/>
    <n v="8"/>
    <x v="2"/>
    <n v="67"/>
    <n v="19"/>
    <n v="17"/>
    <n v="38"/>
    <x v="0"/>
    <x v="1"/>
    <n v="7.7"/>
  </r>
  <r>
    <x v="835"/>
    <s v="FN837"/>
    <s v="LN837"/>
    <x v="0"/>
    <n v="58"/>
    <x v="0"/>
    <x v="0"/>
    <x v="4"/>
    <x v="1"/>
    <x v="0"/>
    <s v="2021-02-01"/>
    <m/>
    <x v="0"/>
    <x v="41"/>
    <x v="2"/>
    <x v="1"/>
    <x v="835"/>
    <n v="8"/>
    <x v="19"/>
    <n v="55"/>
    <n v="9"/>
    <n v="43"/>
    <n v="45"/>
    <x v="0"/>
    <x v="2"/>
    <n v="5.5"/>
  </r>
  <r>
    <x v="836"/>
    <s v="FN838"/>
    <s v="LN838"/>
    <x v="1"/>
    <n v="44"/>
    <x v="3"/>
    <x v="2"/>
    <x v="4"/>
    <x v="0"/>
    <x v="1"/>
    <s v="2025-06-21"/>
    <s v="2029-05-06"/>
    <x v="1"/>
    <x v="15"/>
    <x v="1"/>
    <x v="15"/>
    <x v="836"/>
    <n v="9"/>
    <x v="16"/>
    <n v="62"/>
    <n v="7"/>
    <n v="51"/>
    <n v="60"/>
    <x v="0"/>
    <x v="0"/>
    <n v="1.1000000000000001"/>
  </r>
  <r>
    <x v="837"/>
    <s v="FN839"/>
    <s v="LN839"/>
    <x v="1"/>
    <n v="31"/>
    <x v="5"/>
    <x v="8"/>
    <x v="4"/>
    <x v="1"/>
    <x v="1"/>
    <s v="2020-07-12"/>
    <m/>
    <x v="0"/>
    <x v="38"/>
    <x v="1"/>
    <x v="18"/>
    <x v="837"/>
    <n v="21"/>
    <x v="22"/>
    <n v="61"/>
    <n v="8"/>
    <n v="12"/>
    <n v="12"/>
    <x v="0"/>
    <x v="2"/>
    <n v="6"/>
  </r>
  <r>
    <x v="838"/>
    <s v="FN840"/>
    <s v="LN840"/>
    <x v="0"/>
    <n v="43"/>
    <x v="5"/>
    <x v="6"/>
    <x v="2"/>
    <x v="0"/>
    <x v="1"/>
    <s v="2018-01-12"/>
    <m/>
    <x v="0"/>
    <x v="13"/>
    <x v="0"/>
    <x v="18"/>
    <x v="838"/>
    <n v="25"/>
    <x v="20"/>
    <n v="65"/>
    <n v="3"/>
    <n v="45"/>
    <n v="15"/>
    <x v="1"/>
    <x v="1"/>
    <n v="8.5"/>
  </r>
  <r>
    <x v="839"/>
    <s v="FN841"/>
    <s v="LN841"/>
    <x v="1"/>
    <n v="33"/>
    <x v="0"/>
    <x v="2"/>
    <x v="2"/>
    <x v="1"/>
    <x v="1"/>
    <s v="2024-02-11"/>
    <m/>
    <x v="0"/>
    <x v="5"/>
    <x v="2"/>
    <x v="11"/>
    <x v="839"/>
    <n v="18"/>
    <x v="8"/>
    <n v="76"/>
    <n v="8"/>
    <n v="55"/>
    <n v="78"/>
    <x v="1"/>
    <x v="0"/>
    <n v="2.5"/>
  </r>
  <r>
    <x v="840"/>
    <s v="FN842"/>
    <s v="LN842"/>
    <x v="0"/>
    <n v="42"/>
    <x v="5"/>
    <x v="8"/>
    <x v="3"/>
    <x v="0"/>
    <x v="0"/>
    <s v="2018-07-20"/>
    <m/>
    <x v="0"/>
    <x v="55"/>
    <x v="1"/>
    <x v="27"/>
    <x v="840"/>
    <n v="6"/>
    <x v="10"/>
    <n v="58"/>
    <n v="19"/>
    <n v="50"/>
    <n v="32"/>
    <x v="0"/>
    <x v="2"/>
    <n v="8"/>
  </r>
  <r>
    <x v="841"/>
    <s v="FN843"/>
    <s v="LN843"/>
    <x v="1"/>
    <n v="50"/>
    <x v="3"/>
    <x v="10"/>
    <x v="2"/>
    <x v="2"/>
    <x v="0"/>
    <s v="2026-02-13"/>
    <m/>
    <x v="0"/>
    <x v="49"/>
    <x v="1"/>
    <x v="34"/>
    <x v="841"/>
    <n v="20"/>
    <x v="7"/>
    <n v="58"/>
    <n v="8"/>
    <n v="15"/>
    <n v="7"/>
    <x v="0"/>
    <x v="2"/>
    <n v="0.5"/>
  </r>
  <r>
    <x v="842"/>
    <s v="FN844"/>
    <s v="LN844"/>
    <x v="0"/>
    <n v="21"/>
    <x v="4"/>
    <x v="9"/>
    <x v="2"/>
    <x v="0"/>
    <x v="1"/>
    <s v="2017-04-01"/>
    <m/>
    <x v="0"/>
    <x v="31"/>
    <x v="1"/>
    <x v="31"/>
    <x v="842"/>
    <n v="13"/>
    <x v="1"/>
    <n v="69"/>
    <n v="5"/>
    <n v="50"/>
    <n v="64"/>
    <x v="0"/>
    <x v="1"/>
    <n v="9.3000000000000007"/>
  </r>
  <r>
    <x v="843"/>
    <s v="FN845"/>
    <s v="LN845"/>
    <x v="0"/>
    <n v="42"/>
    <x v="1"/>
    <x v="4"/>
    <x v="0"/>
    <x v="0"/>
    <x v="0"/>
    <s v="2016-01-13"/>
    <m/>
    <x v="0"/>
    <x v="29"/>
    <x v="1"/>
    <x v="6"/>
    <x v="843"/>
    <n v="17"/>
    <x v="24"/>
    <n v="53"/>
    <n v="19"/>
    <n v="42"/>
    <n v="17"/>
    <x v="1"/>
    <x v="2"/>
    <n v="10.5"/>
  </r>
  <r>
    <x v="844"/>
    <s v="FN846"/>
    <s v="LN846"/>
    <x v="0"/>
    <n v="33"/>
    <x v="5"/>
    <x v="8"/>
    <x v="4"/>
    <x v="2"/>
    <x v="0"/>
    <s v="2017-05-09"/>
    <m/>
    <x v="0"/>
    <x v="63"/>
    <x v="1"/>
    <x v="18"/>
    <x v="844"/>
    <n v="15"/>
    <x v="12"/>
    <n v="92"/>
    <n v="5"/>
    <n v="17"/>
    <n v="24"/>
    <x v="1"/>
    <x v="0"/>
    <n v="9.1999999999999993"/>
  </r>
  <r>
    <x v="845"/>
    <s v="FN847"/>
    <s v="LN847"/>
    <x v="1"/>
    <n v="26"/>
    <x v="5"/>
    <x v="2"/>
    <x v="3"/>
    <x v="0"/>
    <x v="0"/>
    <s v="2025-11-23"/>
    <m/>
    <x v="0"/>
    <x v="5"/>
    <x v="2"/>
    <x v="1"/>
    <x v="845"/>
    <n v="8"/>
    <x v="10"/>
    <n v="71"/>
    <n v="20"/>
    <n v="26"/>
    <n v="72"/>
    <x v="1"/>
    <x v="2"/>
    <n v="0.7"/>
  </r>
  <r>
    <x v="846"/>
    <s v="FN848"/>
    <s v="LN848"/>
    <x v="1"/>
    <n v="54"/>
    <x v="5"/>
    <x v="2"/>
    <x v="1"/>
    <x v="1"/>
    <x v="0"/>
    <s v="2016-04-10"/>
    <m/>
    <x v="0"/>
    <x v="12"/>
    <x v="1"/>
    <x v="25"/>
    <x v="846"/>
    <n v="7"/>
    <x v="11"/>
    <n v="55"/>
    <n v="0"/>
    <n v="34"/>
    <n v="12"/>
    <x v="1"/>
    <x v="0"/>
    <n v="10.3"/>
  </r>
  <r>
    <x v="847"/>
    <s v="FN849"/>
    <s v="LN849"/>
    <x v="0"/>
    <n v="53"/>
    <x v="5"/>
    <x v="2"/>
    <x v="2"/>
    <x v="1"/>
    <x v="1"/>
    <s v="2021-05-05"/>
    <m/>
    <x v="0"/>
    <x v="36"/>
    <x v="1"/>
    <x v="8"/>
    <x v="847"/>
    <n v="9"/>
    <x v="15"/>
    <n v="98"/>
    <n v="2"/>
    <n v="10"/>
    <n v="34"/>
    <x v="1"/>
    <x v="2"/>
    <n v="5.2"/>
  </r>
  <r>
    <x v="848"/>
    <s v="FN850"/>
    <s v="LN850"/>
    <x v="0"/>
    <n v="53"/>
    <x v="2"/>
    <x v="7"/>
    <x v="3"/>
    <x v="1"/>
    <x v="1"/>
    <s v="2020-04-10"/>
    <s v="2024-03-15"/>
    <x v="1"/>
    <x v="59"/>
    <x v="1"/>
    <x v="20"/>
    <x v="848"/>
    <n v="19"/>
    <x v="0"/>
    <n v="72"/>
    <n v="20"/>
    <n v="14"/>
    <n v="57"/>
    <x v="0"/>
    <x v="2"/>
    <n v="6.3"/>
  </r>
  <r>
    <x v="849"/>
    <s v="FN851"/>
    <s v="LN851"/>
    <x v="0"/>
    <n v="55"/>
    <x v="0"/>
    <x v="2"/>
    <x v="2"/>
    <x v="1"/>
    <x v="0"/>
    <s v="2018-08-25"/>
    <s v="2023-01-18"/>
    <x v="1"/>
    <x v="58"/>
    <x v="2"/>
    <x v="12"/>
    <x v="849"/>
    <n v="18"/>
    <x v="19"/>
    <n v="64"/>
    <n v="9"/>
    <n v="14"/>
    <n v="35"/>
    <x v="1"/>
    <x v="2"/>
    <n v="7.9"/>
  </r>
  <r>
    <x v="850"/>
    <s v="FN852"/>
    <s v="LN852"/>
    <x v="0"/>
    <n v="23"/>
    <x v="3"/>
    <x v="2"/>
    <x v="2"/>
    <x v="1"/>
    <x v="1"/>
    <s v="2018-04-17"/>
    <m/>
    <x v="0"/>
    <x v="31"/>
    <x v="0"/>
    <x v="13"/>
    <x v="850"/>
    <n v="20"/>
    <x v="10"/>
    <n v="75"/>
    <n v="18"/>
    <n v="1"/>
    <n v="24"/>
    <x v="0"/>
    <x v="1"/>
    <n v="8.3000000000000007"/>
  </r>
  <r>
    <x v="851"/>
    <s v="FN853"/>
    <s v="LN853"/>
    <x v="1"/>
    <n v="54"/>
    <x v="0"/>
    <x v="2"/>
    <x v="1"/>
    <x v="0"/>
    <x v="1"/>
    <s v="2016-02-15"/>
    <m/>
    <x v="0"/>
    <x v="22"/>
    <x v="2"/>
    <x v="34"/>
    <x v="851"/>
    <n v="22"/>
    <x v="25"/>
    <n v="89"/>
    <n v="1"/>
    <n v="58"/>
    <n v="40"/>
    <x v="0"/>
    <x v="2"/>
    <n v="10.5"/>
  </r>
  <r>
    <x v="852"/>
    <s v="FN854"/>
    <s v="LN854"/>
    <x v="1"/>
    <n v="55"/>
    <x v="2"/>
    <x v="5"/>
    <x v="3"/>
    <x v="0"/>
    <x v="1"/>
    <s v="2026-04-26"/>
    <m/>
    <x v="0"/>
    <x v="13"/>
    <x v="2"/>
    <x v="18"/>
    <x v="852"/>
    <n v="16"/>
    <x v="3"/>
    <n v="77"/>
    <n v="15"/>
    <n v="2"/>
    <n v="21"/>
    <x v="1"/>
    <x v="0"/>
    <n v="0.3"/>
  </r>
  <r>
    <x v="853"/>
    <s v="FN855"/>
    <s v="LN855"/>
    <x v="1"/>
    <n v="47"/>
    <x v="1"/>
    <x v="4"/>
    <x v="0"/>
    <x v="2"/>
    <x v="0"/>
    <s v="2019-09-07"/>
    <m/>
    <x v="0"/>
    <x v="26"/>
    <x v="2"/>
    <x v="27"/>
    <x v="853"/>
    <n v="22"/>
    <x v="10"/>
    <n v="61"/>
    <n v="5"/>
    <n v="42"/>
    <n v="10"/>
    <x v="0"/>
    <x v="0"/>
    <n v="6.9"/>
  </r>
  <r>
    <x v="854"/>
    <s v="FN856"/>
    <s v="LN856"/>
    <x v="1"/>
    <n v="43"/>
    <x v="0"/>
    <x v="0"/>
    <x v="2"/>
    <x v="2"/>
    <x v="0"/>
    <s v="2018-02-05"/>
    <m/>
    <x v="0"/>
    <x v="11"/>
    <x v="2"/>
    <x v="1"/>
    <x v="854"/>
    <n v="18"/>
    <x v="23"/>
    <n v="60"/>
    <n v="0"/>
    <n v="52"/>
    <n v="45"/>
    <x v="0"/>
    <x v="0"/>
    <n v="8.5"/>
  </r>
  <r>
    <x v="855"/>
    <s v="FN857"/>
    <s v="LN857"/>
    <x v="1"/>
    <n v="49"/>
    <x v="0"/>
    <x v="0"/>
    <x v="4"/>
    <x v="1"/>
    <x v="1"/>
    <s v="2021-09-30"/>
    <m/>
    <x v="0"/>
    <x v="30"/>
    <x v="1"/>
    <x v="32"/>
    <x v="855"/>
    <n v="20"/>
    <x v="7"/>
    <n v="57"/>
    <n v="10"/>
    <n v="26"/>
    <n v="6"/>
    <x v="1"/>
    <x v="2"/>
    <n v="4.8"/>
  </r>
  <r>
    <x v="856"/>
    <s v="FN858"/>
    <s v="LN858"/>
    <x v="0"/>
    <n v="40"/>
    <x v="1"/>
    <x v="4"/>
    <x v="1"/>
    <x v="2"/>
    <x v="1"/>
    <s v="2016-11-29"/>
    <m/>
    <x v="0"/>
    <x v="79"/>
    <x v="2"/>
    <x v="34"/>
    <x v="856"/>
    <n v="13"/>
    <x v="16"/>
    <n v="83"/>
    <n v="18"/>
    <n v="17"/>
    <n v="51"/>
    <x v="0"/>
    <x v="0"/>
    <n v="9.6999999999999993"/>
  </r>
  <r>
    <x v="857"/>
    <s v="FN859"/>
    <s v="LN859"/>
    <x v="1"/>
    <n v="27"/>
    <x v="3"/>
    <x v="10"/>
    <x v="4"/>
    <x v="0"/>
    <x v="1"/>
    <s v="2021-05-10"/>
    <m/>
    <x v="0"/>
    <x v="57"/>
    <x v="0"/>
    <x v="21"/>
    <x v="857"/>
    <n v="19"/>
    <x v="8"/>
    <n v="54"/>
    <n v="9"/>
    <n v="5"/>
    <n v="25"/>
    <x v="1"/>
    <x v="2"/>
    <n v="5.2"/>
  </r>
  <r>
    <x v="858"/>
    <s v="FN860"/>
    <s v="LN860"/>
    <x v="0"/>
    <n v="44"/>
    <x v="0"/>
    <x v="0"/>
    <x v="2"/>
    <x v="1"/>
    <x v="0"/>
    <s v="2017-01-08"/>
    <s v="2021-09-12"/>
    <x v="1"/>
    <x v="16"/>
    <x v="1"/>
    <x v="8"/>
    <x v="858"/>
    <n v="7"/>
    <x v="21"/>
    <n v="60"/>
    <n v="2"/>
    <n v="59"/>
    <n v="46"/>
    <x v="0"/>
    <x v="1"/>
    <n v="9.6"/>
  </r>
  <r>
    <x v="859"/>
    <s v="FN861"/>
    <s v="LN861"/>
    <x v="0"/>
    <n v="50"/>
    <x v="5"/>
    <x v="6"/>
    <x v="2"/>
    <x v="0"/>
    <x v="0"/>
    <s v="2021-10-24"/>
    <m/>
    <x v="0"/>
    <x v="75"/>
    <x v="0"/>
    <x v="22"/>
    <x v="859"/>
    <n v="22"/>
    <x v="21"/>
    <n v="97"/>
    <n v="9"/>
    <n v="52"/>
    <n v="62"/>
    <x v="0"/>
    <x v="1"/>
    <n v="4.8"/>
  </r>
  <r>
    <x v="860"/>
    <s v="FN862"/>
    <s v="LN862"/>
    <x v="0"/>
    <n v="27"/>
    <x v="4"/>
    <x v="2"/>
    <x v="3"/>
    <x v="1"/>
    <x v="1"/>
    <s v="2019-08-17"/>
    <m/>
    <x v="0"/>
    <x v="15"/>
    <x v="2"/>
    <x v="20"/>
    <x v="860"/>
    <n v="18"/>
    <x v="11"/>
    <n v="94"/>
    <n v="6"/>
    <n v="60"/>
    <n v="32"/>
    <x v="0"/>
    <x v="2"/>
    <n v="7"/>
  </r>
  <r>
    <x v="861"/>
    <s v="FN863"/>
    <s v="LN863"/>
    <x v="0"/>
    <n v="48"/>
    <x v="5"/>
    <x v="8"/>
    <x v="4"/>
    <x v="0"/>
    <x v="1"/>
    <s v="2019-05-21"/>
    <m/>
    <x v="0"/>
    <x v="10"/>
    <x v="2"/>
    <x v="25"/>
    <x v="861"/>
    <n v="18"/>
    <x v="24"/>
    <n v="61"/>
    <n v="10"/>
    <n v="38"/>
    <n v="30"/>
    <x v="1"/>
    <x v="0"/>
    <n v="7.2"/>
  </r>
  <r>
    <x v="862"/>
    <s v="FN864"/>
    <s v="LN864"/>
    <x v="0"/>
    <n v="38"/>
    <x v="1"/>
    <x v="1"/>
    <x v="2"/>
    <x v="2"/>
    <x v="1"/>
    <s v="2018-07-30"/>
    <m/>
    <x v="0"/>
    <x v="56"/>
    <x v="0"/>
    <x v="26"/>
    <x v="862"/>
    <n v="23"/>
    <x v="6"/>
    <n v="70"/>
    <n v="18"/>
    <n v="19"/>
    <n v="22"/>
    <x v="0"/>
    <x v="2"/>
    <n v="8"/>
  </r>
  <r>
    <x v="863"/>
    <s v="FN865"/>
    <s v="LN865"/>
    <x v="1"/>
    <n v="40"/>
    <x v="2"/>
    <x v="3"/>
    <x v="3"/>
    <x v="2"/>
    <x v="1"/>
    <s v="2020-10-06"/>
    <m/>
    <x v="0"/>
    <x v="10"/>
    <x v="0"/>
    <x v="23"/>
    <x v="863"/>
    <n v="20"/>
    <x v="22"/>
    <n v="76"/>
    <n v="18"/>
    <n v="12"/>
    <n v="63"/>
    <x v="1"/>
    <x v="0"/>
    <n v="5.8"/>
  </r>
  <r>
    <x v="864"/>
    <s v="FN866"/>
    <s v="LN866"/>
    <x v="1"/>
    <n v="55"/>
    <x v="4"/>
    <x v="2"/>
    <x v="0"/>
    <x v="0"/>
    <x v="0"/>
    <s v="2024-11-14"/>
    <m/>
    <x v="0"/>
    <x v="4"/>
    <x v="1"/>
    <x v="17"/>
    <x v="864"/>
    <n v="9"/>
    <x v="4"/>
    <n v="79"/>
    <n v="4"/>
    <n v="24"/>
    <n v="67"/>
    <x v="1"/>
    <x v="2"/>
    <n v="1.7"/>
  </r>
  <r>
    <x v="865"/>
    <s v="FN867"/>
    <s v="LN867"/>
    <x v="1"/>
    <n v="43"/>
    <x v="3"/>
    <x v="10"/>
    <x v="1"/>
    <x v="0"/>
    <x v="1"/>
    <s v="2025-06-18"/>
    <m/>
    <x v="0"/>
    <x v="73"/>
    <x v="1"/>
    <x v="28"/>
    <x v="865"/>
    <n v="6"/>
    <x v="18"/>
    <n v="91"/>
    <n v="0"/>
    <n v="19"/>
    <n v="14"/>
    <x v="0"/>
    <x v="2"/>
    <n v="1.1000000000000001"/>
  </r>
  <r>
    <x v="866"/>
    <s v="FN868"/>
    <s v="LN868"/>
    <x v="1"/>
    <n v="30"/>
    <x v="3"/>
    <x v="2"/>
    <x v="4"/>
    <x v="1"/>
    <x v="1"/>
    <s v="2021-08-01"/>
    <s v="2024-10-08"/>
    <x v="1"/>
    <x v="20"/>
    <x v="1"/>
    <x v="2"/>
    <x v="866"/>
    <n v="15"/>
    <x v="3"/>
    <n v="79"/>
    <n v="19"/>
    <n v="16"/>
    <n v="41"/>
    <x v="0"/>
    <x v="0"/>
    <n v="5"/>
  </r>
  <r>
    <x v="867"/>
    <s v="FN869"/>
    <s v="LN869"/>
    <x v="0"/>
    <n v="36"/>
    <x v="5"/>
    <x v="8"/>
    <x v="1"/>
    <x v="0"/>
    <x v="0"/>
    <s v="2025-11-05"/>
    <m/>
    <x v="0"/>
    <x v="62"/>
    <x v="2"/>
    <x v="21"/>
    <x v="867"/>
    <n v="20"/>
    <x v="5"/>
    <n v="76"/>
    <n v="18"/>
    <n v="3"/>
    <n v="74"/>
    <x v="1"/>
    <x v="2"/>
    <n v="0.7"/>
  </r>
  <r>
    <x v="868"/>
    <s v="FN870"/>
    <s v="LN870"/>
    <x v="0"/>
    <n v="32"/>
    <x v="3"/>
    <x v="2"/>
    <x v="0"/>
    <x v="2"/>
    <x v="0"/>
    <s v="2019-10-01"/>
    <m/>
    <x v="0"/>
    <x v="69"/>
    <x v="0"/>
    <x v="30"/>
    <x v="868"/>
    <n v="22"/>
    <x v="16"/>
    <n v="89"/>
    <n v="6"/>
    <n v="8"/>
    <n v="31"/>
    <x v="1"/>
    <x v="0"/>
    <n v="6.8"/>
  </r>
  <r>
    <x v="869"/>
    <s v="FN871"/>
    <s v="LN871"/>
    <x v="1"/>
    <n v="53"/>
    <x v="4"/>
    <x v="9"/>
    <x v="2"/>
    <x v="1"/>
    <x v="0"/>
    <s v="2020-08-10"/>
    <m/>
    <x v="0"/>
    <x v="37"/>
    <x v="2"/>
    <x v="21"/>
    <x v="869"/>
    <n v="7"/>
    <x v="21"/>
    <n v="63"/>
    <n v="17"/>
    <n v="53"/>
    <n v="55"/>
    <x v="0"/>
    <x v="2"/>
    <n v="6"/>
  </r>
  <r>
    <x v="870"/>
    <s v="FN872"/>
    <s v="LN872"/>
    <x v="0"/>
    <n v="36"/>
    <x v="3"/>
    <x v="2"/>
    <x v="3"/>
    <x v="1"/>
    <x v="1"/>
    <s v="2019-05-15"/>
    <m/>
    <x v="0"/>
    <x v="73"/>
    <x v="2"/>
    <x v="32"/>
    <x v="870"/>
    <n v="13"/>
    <x v="5"/>
    <n v="69"/>
    <n v="16"/>
    <n v="10"/>
    <n v="20"/>
    <x v="1"/>
    <x v="2"/>
    <n v="7.2"/>
  </r>
  <r>
    <x v="871"/>
    <s v="FN873"/>
    <s v="LN873"/>
    <x v="0"/>
    <n v="42"/>
    <x v="4"/>
    <x v="9"/>
    <x v="1"/>
    <x v="1"/>
    <x v="1"/>
    <s v="2021-05-16"/>
    <s v="2028-10-19"/>
    <x v="1"/>
    <x v="20"/>
    <x v="1"/>
    <x v="28"/>
    <x v="871"/>
    <n v="7"/>
    <x v="23"/>
    <n v="86"/>
    <n v="7"/>
    <n v="37"/>
    <n v="38"/>
    <x v="0"/>
    <x v="1"/>
    <n v="5.2"/>
  </r>
  <r>
    <x v="872"/>
    <s v="FN874"/>
    <s v="LN874"/>
    <x v="1"/>
    <n v="25"/>
    <x v="5"/>
    <x v="8"/>
    <x v="3"/>
    <x v="1"/>
    <x v="0"/>
    <s v="2019-12-12"/>
    <m/>
    <x v="0"/>
    <x v="66"/>
    <x v="0"/>
    <x v="13"/>
    <x v="872"/>
    <n v="8"/>
    <x v="22"/>
    <n v="69"/>
    <n v="6"/>
    <n v="49"/>
    <n v="51"/>
    <x v="0"/>
    <x v="0"/>
    <n v="6.6"/>
  </r>
  <r>
    <x v="873"/>
    <s v="FN875"/>
    <s v="LN875"/>
    <x v="1"/>
    <n v="47"/>
    <x v="0"/>
    <x v="2"/>
    <x v="0"/>
    <x v="0"/>
    <x v="0"/>
    <s v="2019-09-13"/>
    <m/>
    <x v="0"/>
    <x v="6"/>
    <x v="1"/>
    <x v="19"/>
    <x v="873"/>
    <n v="23"/>
    <x v="17"/>
    <n v="70"/>
    <n v="0"/>
    <n v="41"/>
    <n v="52"/>
    <x v="1"/>
    <x v="0"/>
    <n v="6.9"/>
  </r>
  <r>
    <x v="874"/>
    <s v="FN876"/>
    <s v="LN876"/>
    <x v="0"/>
    <n v="27"/>
    <x v="3"/>
    <x v="10"/>
    <x v="2"/>
    <x v="0"/>
    <x v="0"/>
    <s v="2020-04-15"/>
    <s v="2028-02-05"/>
    <x v="1"/>
    <x v="17"/>
    <x v="2"/>
    <x v="35"/>
    <x v="874"/>
    <n v="22"/>
    <x v="18"/>
    <n v="80"/>
    <n v="0"/>
    <n v="28"/>
    <n v="7"/>
    <x v="0"/>
    <x v="0"/>
    <n v="6.3"/>
  </r>
  <r>
    <x v="875"/>
    <s v="FN877"/>
    <s v="LN877"/>
    <x v="0"/>
    <n v="31"/>
    <x v="4"/>
    <x v="2"/>
    <x v="1"/>
    <x v="0"/>
    <x v="0"/>
    <s v="2017-01-13"/>
    <m/>
    <x v="0"/>
    <x v="20"/>
    <x v="0"/>
    <x v="22"/>
    <x v="875"/>
    <n v="23"/>
    <x v="22"/>
    <n v="52"/>
    <n v="20"/>
    <n v="26"/>
    <n v="2"/>
    <x v="0"/>
    <x v="0"/>
    <n v="9.5"/>
  </r>
  <r>
    <x v="876"/>
    <s v="FN878"/>
    <s v="LN878"/>
    <x v="0"/>
    <n v="40"/>
    <x v="3"/>
    <x v="10"/>
    <x v="1"/>
    <x v="1"/>
    <x v="0"/>
    <s v="2018-07-28"/>
    <s v="2023-10-12"/>
    <x v="1"/>
    <x v="31"/>
    <x v="1"/>
    <x v="35"/>
    <x v="876"/>
    <n v="14"/>
    <x v="6"/>
    <n v="57"/>
    <n v="3"/>
    <n v="6"/>
    <n v="73"/>
    <x v="1"/>
    <x v="1"/>
    <n v="8"/>
  </r>
  <r>
    <x v="877"/>
    <s v="FN879"/>
    <s v="LN879"/>
    <x v="1"/>
    <n v="42"/>
    <x v="4"/>
    <x v="6"/>
    <x v="2"/>
    <x v="1"/>
    <x v="0"/>
    <s v="2022-07-01"/>
    <m/>
    <x v="0"/>
    <x v="38"/>
    <x v="0"/>
    <x v="28"/>
    <x v="877"/>
    <n v="18"/>
    <x v="5"/>
    <n v="78"/>
    <n v="0"/>
    <n v="8"/>
    <n v="46"/>
    <x v="1"/>
    <x v="1"/>
    <n v="4.0999999999999996"/>
  </r>
  <r>
    <x v="878"/>
    <s v="FN880"/>
    <s v="LN880"/>
    <x v="0"/>
    <n v="41"/>
    <x v="4"/>
    <x v="6"/>
    <x v="0"/>
    <x v="0"/>
    <x v="1"/>
    <s v="2023-03-19"/>
    <m/>
    <x v="0"/>
    <x v="16"/>
    <x v="0"/>
    <x v="12"/>
    <x v="878"/>
    <n v="14"/>
    <x v="10"/>
    <n v="81"/>
    <n v="3"/>
    <n v="11"/>
    <n v="66"/>
    <x v="0"/>
    <x v="1"/>
    <n v="3.4"/>
  </r>
  <r>
    <x v="879"/>
    <s v="FN881"/>
    <s v="LN881"/>
    <x v="0"/>
    <n v="27"/>
    <x v="1"/>
    <x v="1"/>
    <x v="2"/>
    <x v="0"/>
    <x v="1"/>
    <s v="2023-09-11"/>
    <m/>
    <x v="0"/>
    <x v="53"/>
    <x v="2"/>
    <x v="24"/>
    <x v="879"/>
    <n v="11"/>
    <x v="19"/>
    <n v="98"/>
    <n v="10"/>
    <n v="24"/>
    <n v="30"/>
    <x v="1"/>
    <x v="0"/>
    <n v="2.9"/>
  </r>
  <r>
    <x v="880"/>
    <s v="FN882"/>
    <s v="LN882"/>
    <x v="1"/>
    <n v="42"/>
    <x v="3"/>
    <x v="10"/>
    <x v="2"/>
    <x v="2"/>
    <x v="0"/>
    <s v="2025-03-02"/>
    <m/>
    <x v="0"/>
    <x v="70"/>
    <x v="2"/>
    <x v="24"/>
    <x v="880"/>
    <n v="6"/>
    <x v="4"/>
    <n v="59"/>
    <n v="13"/>
    <n v="14"/>
    <n v="46"/>
    <x v="0"/>
    <x v="2"/>
    <n v="1.4"/>
  </r>
  <r>
    <x v="881"/>
    <s v="FN883"/>
    <s v="LN883"/>
    <x v="0"/>
    <n v="23"/>
    <x v="1"/>
    <x v="1"/>
    <x v="1"/>
    <x v="0"/>
    <x v="0"/>
    <s v="2022-04-11"/>
    <m/>
    <x v="0"/>
    <x v="12"/>
    <x v="2"/>
    <x v="30"/>
    <x v="881"/>
    <n v="24"/>
    <x v="22"/>
    <n v="87"/>
    <n v="20"/>
    <n v="50"/>
    <n v="55"/>
    <x v="0"/>
    <x v="1"/>
    <n v="4.3"/>
  </r>
  <r>
    <x v="882"/>
    <s v="FN884"/>
    <s v="LN884"/>
    <x v="0"/>
    <n v="31"/>
    <x v="0"/>
    <x v="2"/>
    <x v="2"/>
    <x v="2"/>
    <x v="1"/>
    <s v="2025-02-26"/>
    <s v="2026-06-21"/>
    <x v="1"/>
    <x v="11"/>
    <x v="2"/>
    <x v="32"/>
    <x v="882"/>
    <n v="7"/>
    <x v="12"/>
    <n v="55"/>
    <n v="14"/>
    <n v="38"/>
    <n v="47"/>
    <x v="0"/>
    <x v="0"/>
    <n v="1.4"/>
  </r>
  <r>
    <x v="883"/>
    <s v="FN885"/>
    <s v="LN885"/>
    <x v="0"/>
    <n v="44"/>
    <x v="4"/>
    <x v="2"/>
    <x v="0"/>
    <x v="1"/>
    <x v="0"/>
    <s v="2024-10-19"/>
    <s v="2032-11-03"/>
    <x v="1"/>
    <x v="7"/>
    <x v="2"/>
    <x v="33"/>
    <x v="883"/>
    <n v="5"/>
    <x v="19"/>
    <n v="55"/>
    <n v="4"/>
    <n v="14"/>
    <n v="70"/>
    <x v="1"/>
    <x v="0"/>
    <n v="1.8"/>
  </r>
  <r>
    <x v="884"/>
    <s v="FN886"/>
    <s v="LN886"/>
    <x v="1"/>
    <n v="47"/>
    <x v="1"/>
    <x v="4"/>
    <x v="0"/>
    <x v="1"/>
    <x v="0"/>
    <s v="2019-04-09"/>
    <m/>
    <x v="0"/>
    <x v="50"/>
    <x v="2"/>
    <x v="5"/>
    <x v="884"/>
    <n v="14"/>
    <x v="3"/>
    <n v="60"/>
    <n v="1"/>
    <n v="7"/>
    <n v="35"/>
    <x v="1"/>
    <x v="1"/>
    <n v="7.3"/>
  </r>
  <r>
    <x v="885"/>
    <s v="FN887"/>
    <s v="LN887"/>
    <x v="1"/>
    <n v="29"/>
    <x v="4"/>
    <x v="6"/>
    <x v="3"/>
    <x v="1"/>
    <x v="1"/>
    <s v="2019-02-21"/>
    <s v="2026-09-21"/>
    <x v="1"/>
    <x v="70"/>
    <x v="0"/>
    <x v="29"/>
    <x v="885"/>
    <n v="16"/>
    <x v="7"/>
    <n v="63"/>
    <n v="8"/>
    <n v="40"/>
    <n v="73"/>
    <x v="1"/>
    <x v="2"/>
    <n v="7.4"/>
  </r>
  <r>
    <x v="886"/>
    <s v="FN888"/>
    <s v="LN888"/>
    <x v="1"/>
    <n v="41"/>
    <x v="0"/>
    <x v="2"/>
    <x v="1"/>
    <x v="1"/>
    <x v="0"/>
    <s v="2023-07-03"/>
    <m/>
    <x v="0"/>
    <x v="29"/>
    <x v="1"/>
    <x v="35"/>
    <x v="886"/>
    <n v="17"/>
    <x v="24"/>
    <n v="78"/>
    <n v="16"/>
    <n v="6"/>
    <n v="63"/>
    <x v="1"/>
    <x v="0"/>
    <n v="3.1"/>
  </r>
  <r>
    <x v="887"/>
    <s v="FN889"/>
    <s v="LN889"/>
    <x v="1"/>
    <n v="44"/>
    <x v="0"/>
    <x v="0"/>
    <x v="4"/>
    <x v="0"/>
    <x v="1"/>
    <s v="2022-09-12"/>
    <m/>
    <x v="0"/>
    <x v="37"/>
    <x v="1"/>
    <x v="19"/>
    <x v="887"/>
    <n v="23"/>
    <x v="10"/>
    <n v="78"/>
    <n v="12"/>
    <n v="18"/>
    <n v="64"/>
    <x v="1"/>
    <x v="1"/>
    <n v="3.9"/>
  </r>
  <r>
    <x v="888"/>
    <s v="FN890"/>
    <s v="LN890"/>
    <x v="0"/>
    <n v="39"/>
    <x v="4"/>
    <x v="9"/>
    <x v="1"/>
    <x v="0"/>
    <x v="0"/>
    <s v="2022-02-23"/>
    <m/>
    <x v="0"/>
    <x v="71"/>
    <x v="2"/>
    <x v="4"/>
    <x v="888"/>
    <n v="13"/>
    <x v="10"/>
    <n v="71"/>
    <n v="7"/>
    <n v="2"/>
    <n v="59"/>
    <x v="0"/>
    <x v="0"/>
    <n v="4.4000000000000004"/>
  </r>
  <r>
    <x v="889"/>
    <s v="FN891"/>
    <s v="LN891"/>
    <x v="1"/>
    <n v="47"/>
    <x v="0"/>
    <x v="2"/>
    <x v="1"/>
    <x v="2"/>
    <x v="1"/>
    <s v="2023-06-08"/>
    <m/>
    <x v="0"/>
    <x v="27"/>
    <x v="1"/>
    <x v="25"/>
    <x v="889"/>
    <n v="6"/>
    <x v="2"/>
    <n v="68"/>
    <n v="1"/>
    <n v="39"/>
    <n v="63"/>
    <x v="0"/>
    <x v="0"/>
    <n v="3.1"/>
  </r>
  <r>
    <x v="890"/>
    <s v="FN892"/>
    <s v="LN892"/>
    <x v="1"/>
    <n v="49"/>
    <x v="3"/>
    <x v="10"/>
    <x v="2"/>
    <x v="1"/>
    <x v="1"/>
    <s v="2018-05-07"/>
    <m/>
    <x v="0"/>
    <x v="77"/>
    <x v="1"/>
    <x v="15"/>
    <x v="890"/>
    <n v="22"/>
    <x v="5"/>
    <n v="96"/>
    <n v="13"/>
    <n v="25"/>
    <n v="43"/>
    <x v="1"/>
    <x v="1"/>
    <n v="8.1999999999999993"/>
  </r>
  <r>
    <x v="891"/>
    <s v="FN893"/>
    <s v="LN893"/>
    <x v="1"/>
    <n v="30"/>
    <x v="1"/>
    <x v="1"/>
    <x v="1"/>
    <x v="1"/>
    <x v="0"/>
    <s v="2020-06-28"/>
    <m/>
    <x v="0"/>
    <x v="65"/>
    <x v="0"/>
    <x v="30"/>
    <x v="891"/>
    <n v="23"/>
    <x v="17"/>
    <n v="96"/>
    <n v="2"/>
    <n v="43"/>
    <n v="48"/>
    <x v="1"/>
    <x v="1"/>
    <n v="6.1"/>
  </r>
  <r>
    <x v="892"/>
    <s v="FN894"/>
    <s v="LN894"/>
    <x v="0"/>
    <n v="49"/>
    <x v="2"/>
    <x v="7"/>
    <x v="0"/>
    <x v="0"/>
    <x v="0"/>
    <s v="2025-09-15"/>
    <m/>
    <x v="0"/>
    <x v="43"/>
    <x v="2"/>
    <x v="14"/>
    <x v="892"/>
    <n v="21"/>
    <x v="19"/>
    <n v="56"/>
    <n v="8"/>
    <n v="11"/>
    <n v="51"/>
    <x v="0"/>
    <x v="2"/>
    <n v="0.9"/>
  </r>
  <r>
    <x v="893"/>
    <s v="FN895"/>
    <s v="LN895"/>
    <x v="1"/>
    <n v="52"/>
    <x v="0"/>
    <x v="0"/>
    <x v="3"/>
    <x v="1"/>
    <x v="1"/>
    <s v="2021-06-09"/>
    <m/>
    <x v="0"/>
    <x v="28"/>
    <x v="2"/>
    <x v="32"/>
    <x v="893"/>
    <n v="19"/>
    <x v="23"/>
    <n v="62"/>
    <n v="11"/>
    <n v="15"/>
    <n v="50"/>
    <x v="1"/>
    <x v="2"/>
    <n v="5.0999999999999996"/>
  </r>
  <r>
    <x v="894"/>
    <s v="FN896"/>
    <s v="LN896"/>
    <x v="0"/>
    <n v="36"/>
    <x v="5"/>
    <x v="8"/>
    <x v="1"/>
    <x v="1"/>
    <x v="1"/>
    <s v="2022-05-08"/>
    <m/>
    <x v="0"/>
    <x v="77"/>
    <x v="2"/>
    <x v="28"/>
    <x v="894"/>
    <n v="16"/>
    <x v="12"/>
    <n v="95"/>
    <n v="11"/>
    <n v="10"/>
    <n v="7"/>
    <x v="1"/>
    <x v="0"/>
    <n v="4.2"/>
  </r>
  <r>
    <x v="895"/>
    <s v="FN897"/>
    <s v="LN897"/>
    <x v="0"/>
    <n v="49"/>
    <x v="5"/>
    <x v="2"/>
    <x v="4"/>
    <x v="1"/>
    <x v="0"/>
    <s v="2018-11-07"/>
    <m/>
    <x v="0"/>
    <x v="41"/>
    <x v="1"/>
    <x v="3"/>
    <x v="895"/>
    <n v="14"/>
    <x v="23"/>
    <n v="91"/>
    <n v="12"/>
    <n v="4"/>
    <n v="65"/>
    <x v="0"/>
    <x v="0"/>
    <n v="7.7"/>
  </r>
  <r>
    <x v="896"/>
    <s v="FN898"/>
    <s v="LN898"/>
    <x v="0"/>
    <n v="53"/>
    <x v="5"/>
    <x v="6"/>
    <x v="3"/>
    <x v="0"/>
    <x v="0"/>
    <s v="2016-09-06"/>
    <m/>
    <x v="0"/>
    <x v="29"/>
    <x v="1"/>
    <x v="30"/>
    <x v="896"/>
    <n v="22"/>
    <x v="8"/>
    <n v="66"/>
    <n v="16"/>
    <n v="57"/>
    <n v="51"/>
    <x v="0"/>
    <x v="2"/>
    <n v="9.9"/>
  </r>
  <r>
    <x v="897"/>
    <s v="FN899"/>
    <s v="LN899"/>
    <x v="1"/>
    <n v="46"/>
    <x v="5"/>
    <x v="6"/>
    <x v="0"/>
    <x v="2"/>
    <x v="0"/>
    <s v="2020-06-23"/>
    <m/>
    <x v="0"/>
    <x v="45"/>
    <x v="0"/>
    <x v="32"/>
    <x v="897"/>
    <n v="12"/>
    <x v="10"/>
    <n v="80"/>
    <n v="2"/>
    <n v="52"/>
    <n v="49"/>
    <x v="0"/>
    <x v="0"/>
    <n v="6.1"/>
  </r>
  <r>
    <x v="898"/>
    <s v="FN900"/>
    <s v="LN900"/>
    <x v="1"/>
    <n v="46"/>
    <x v="3"/>
    <x v="2"/>
    <x v="4"/>
    <x v="1"/>
    <x v="1"/>
    <s v="2016-05-16"/>
    <m/>
    <x v="0"/>
    <x v="21"/>
    <x v="0"/>
    <x v="18"/>
    <x v="898"/>
    <n v="11"/>
    <x v="21"/>
    <n v="100"/>
    <n v="19"/>
    <n v="23"/>
    <n v="53"/>
    <x v="0"/>
    <x v="1"/>
    <n v="10.199999999999999"/>
  </r>
  <r>
    <x v="899"/>
    <s v="FN901"/>
    <s v="LN901"/>
    <x v="1"/>
    <n v="25"/>
    <x v="4"/>
    <x v="6"/>
    <x v="4"/>
    <x v="0"/>
    <x v="0"/>
    <s v="2019-02-07"/>
    <m/>
    <x v="0"/>
    <x v="64"/>
    <x v="0"/>
    <x v="10"/>
    <x v="899"/>
    <n v="11"/>
    <x v="5"/>
    <n v="54"/>
    <n v="13"/>
    <n v="10"/>
    <n v="62"/>
    <x v="0"/>
    <x v="2"/>
    <n v="7.5"/>
  </r>
  <r>
    <x v="900"/>
    <s v="FN902"/>
    <s v="LN902"/>
    <x v="0"/>
    <n v="31"/>
    <x v="2"/>
    <x v="7"/>
    <x v="2"/>
    <x v="0"/>
    <x v="0"/>
    <s v="2017-04-25"/>
    <m/>
    <x v="0"/>
    <x v="0"/>
    <x v="0"/>
    <x v="26"/>
    <x v="900"/>
    <n v="23"/>
    <x v="25"/>
    <n v="100"/>
    <n v="15"/>
    <n v="55"/>
    <n v="43"/>
    <x v="1"/>
    <x v="1"/>
    <n v="9.3000000000000007"/>
  </r>
  <r>
    <x v="901"/>
    <s v="FN903"/>
    <s v="LN903"/>
    <x v="0"/>
    <n v="38"/>
    <x v="1"/>
    <x v="4"/>
    <x v="2"/>
    <x v="2"/>
    <x v="0"/>
    <s v="2022-10-12"/>
    <m/>
    <x v="0"/>
    <x v="41"/>
    <x v="2"/>
    <x v="28"/>
    <x v="901"/>
    <n v="11"/>
    <x v="20"/>
    <n v="51"/>
    <n v="6"/>
    <n v="40"/>
    <n v="38"/>
    <x v="0"/>
    <x v="2"/>
    <n v="3.8"/>
  </r>
  <r>
    <x v="902"/>
    <s v="FN904"/>
    <s v="LN904"/>
    <x v="1"/>
    <n v="21"/>
    <x v="4"/>
    <x v="9"/>
    <x v="3"/>
    <x v="2"/>
    <x v="0"/>
    <s v="2017-04-11"/>
    <m/>
    <x v="0"/>
    <x v="14"/>
    <x v="0"/>
    <x v="23"/>
    <x v="902"/>
    <n v="7"/>
    <x v="8"/>
    <n v="59"/>
    <n v="13"/>
    <n v="30"/>
    <n v="77"/>
    <x v="0"/>
    <x v="0"/>
    <n v="9.3000000000000007"/>
  </r>
  <r>
    <x v="903"/>
    <s v="FN905"/>
    <s v="LN905"/>
    <x v="0"/>
    <n v="36"/>
    <x v="3"/>
    <x v="2"/>
    <x v="1"/>
    <x v="0"/>
    <x v="0"/>
    <s v="2017-02-17"/>
    <s v="2024-02-07"/>
    <x v="1"/>
    <x v="63"/>
    <x v="2"/>
    <x v="18"/>
    <x v="903"/>
    <n v="23"/>
    <x v="11"/>
    <n v="96"/>
    <n v="8"/>
    <n v="55"/>
    <n v="5"/>
    <x v="0"/>
    <x v="0"/>
    <n v="9.4"/>
  </r>
  <r>
    <x v="904"/>
    <s v="FN906"/>
    <s v="LN906"/>
    <x v="0"/>
    <n v="56"/>
    <x v="2"/>
    <x v="5"/>
    <x v="3"/>
    <x v="2"/>
    <x v="0"/>
    <s v="2020-04-07"/>
    <m/>
    <x v="0"/>
    <x v="2"/>
    <x v="0"/>
    <x v="16"/>
    <x v="904"/>
    <n v="6"/>
    <x v="3"/>
    <n v="89"/>
    <n v="4"/>
    <n v="22"/>
    <n v="31"/>
    <x v="0"/>
    <x v="0"/>
    <n v="6.3"/>
  </r>
  <r>
    <x v="905"/>
    <s v="FN907"/>
    <s v="LN907"/>
    <x v="0"/>
    <n v="22"/>
    <x v="5"/>
    <x v="2"/>
    <x v="2"/>
    <x v="1"/>
    <x v="0"/>
    <s v="2023-05-30"/>
    <m/>
    <x v="0"/>
    <x v="78"/>
    <x v="1"/>
    <x v="9"/>
    <x v="905"/>
    <n v="14"/>
    <x v="3"/>
    <n v="53"/>
    <n v="18"/>
    <n v="29"/>
    <n v="53"/>
    <x v="1"/>
    <x v="1"/>
    <n v="3.2"/>
  </r>
  <r>
    <x v="906"/>
    <s v="FN908"/>
    <s v="LN908"/>
    <x v="0"/>
    <n v="29"/>
    <x v="2"/>
    <x v="5"/>
    <x v="2"/>
    <x v="1"/>
    <x v="1"/>
    <s v="2019-06-21"/>
    <m/>
    <x v="0"/>
    <x v="2"/>
    <x v="1"/>
    <x v="0"/>
    <x v="906"/>
    <n v="15"/>
    <x v="7"/>
    <n v="70"/>
    <n v="2"/>
    <n v="6"/>
    <n v="42"/>
    <x v="1"/>
    <x v="1"/>
    <n v="7.1"/>
  </r>
  <r>
    <x v="907"/>
    <s v="FN909"/>
    <s v="LN909"/>
    <x v="0"/>
    <n v="28"/>
    <x v="4"/>
    <x v="9"/>
    <x v="1"/>
    <x v="0"/>
    <x v="0"/>
    <s v="2021-03-12"/>
    <m/>
    <x v="0"/>
    <x v="3"/>
    <x v="0"/>
    <x v="5"/>
    <x v="907"/>
    <n v="21"/>
    <x v="11"/>
    <n v="52"/>
    <n v="0"/>
    <n v="20"/>
    <n v="9"/>
    <x v="1"/>
    <x v="1"/>
    <n v="5.4"/>
  </r>
  <r>
    <x v="908"/>
    <s v="FN910"/>
    <s v="LN910"/>
    <x v="1"/>
    <n v="29"/>
    <x v="2"/>
    <x v="3"/>
    <x v="0"/>
    <x v="2"/>
    <x v="0"/>
    <s v="2019-11-12"/>
    <m/>
    <x v="0"/>
    <x v="41"/>
    <x v="0"/>
    <x v="10"/>
    <x v="908"/>
    <n v="7"/>
    <x v="0"/>
    <n v="88"/>
    <n v="20"/>
    <n v="6"/>
    <n v="69"/>
    <x v="0"/>
    <x v="0"/>
    <n v="6.7"/>
  </r>
  <r>
    <x v="909"/>
    <s v="FN911"/>
    <s v="LN911"/>
    <x v="1"/>
    <n v="35"/>
    <x v="1"/>
    <x v="1"/>
    <x v="2"/>
    <x v="2"/>
    <x v="0"/>
    <s v="2026-04-09"/>
    <s v="2031-10-02"/>
    <x v="1"/>
    <x v="60"/>
    <x v="0"/>
    <x v="3"/>
    <x v="909"/>
    <n v="9"/>
    <x v="3"/>
    <n v="71"/>
    <n v="8"/>
    <n v="57"/>
    <n v="26"/>
    <x v="0"/>
    <x v="2"/>
    <n v="0.3"/>
  </r>
  <r>
    <x v="910"/>
    <s v="FN912"/>
    <s v="LN912"/>
    <x v="1"/>
    <n v="55"/>
    <x v="5"/>
    <x v="2"/>
    <x v="0"/>
    <x v="1"/>
    <x v="0"/>
    <s v="2021-04-20"/>
    <m/>
    <x v="0"/>
    <x v="35"/>
    <x v="2"/>
    <x v="4"/>
    <x v="910"/>
    <n v="12"/>
    <x v="13"/>
    <n v="74"/>
    <n v="1"/>
    <n v="13"/>
    <n v="57"/>
    <x v="1"/>
    <x v="1"/>
    <n v="5.3"/>
  </r>
  <r>
    <x v="911"/>
    <s v="FN913"/>
    <s v="LN913"/>
    <x v="1"/>
    <n v="46"/>
    <x v="5"/>
    <x v="8"/>
    <x v="2"/>
    <x v="0"/>
    <x v="0"/>
    <s v="2021-06-12"/>
    <m/>
    <x v="0"/>
    <x v="19"/>
    <x v="0"/>
    <x v="23"/>
    <x v="911"/>
    <n v="5"/>
    <x v="19"/>
    <n v="62"/>
    <n v="10"/>
    <n v="11"/>
    <n v="47"/>
    <x v="1"/>
    <x v="1"/>
    <n v="5.0999999999999996"/>
  </r>
  <r>
    <x v="912"/>
    <s v="FN914"/>
    <s v="LN914"/>
    <x v="1"/>
    <n v="51"/>
    <x v="3"/>
    <x v="10"/>
    <x v="1"/>
    <x v="1"/>
    <x v="1"/>
    <s v="2017-12-26"/>
    <m/>
    <x v="0"/>
    <x v="29"/>
    <x v="1"/>
    <x v="20"/>
    <x v="912"/>
    <n v="6"/>
    <x v="25"/>
    <n v="92"/>
    <n v="14"/>
    <n v="52"/>
    <n v="12"/>
    <x v="1"/>
    <x v="2"/>
    <n v="8.6"/>
  </r>
  <r>
    <x v="913"/>
    <s v="FN915"/>
    <s v="LN915"/>
    <x v="0"/>
    <n v="30"/>
    <x v="4"/>
    <x v="2"/>
    <x v="2"/>
    <x v="0"/>
    <x v="1"/>
    <s v="2024-08-11"/>
    <m/>
    <x v="0"/>
    <x v="12"/>
    <x v="2"/>
    <x v="33"/>
    <x v="913"/>
    <n v="5"/>
    <x v="15"/>
    <n v="58"/>
    <n v="8"/>
    <n v="40"/>
    <n v="4"/>
    <x v="1"/>
    <x v="0"/>
    <n v="2"/>
  </r>
  <r>
    <x v="914"/>
    <s v="FN916"/>
    <s v="LN916"/>
    <x v="0"/>
    <n v="27"/>
    <x v="3"/>
    <x v="10"/>
    <x v="1"/>
    <x v="0"/>
    <x v="0"/>
    <s v="2017-12-05"/>
    <m/>
    <x v="0"/>
    <x v="75"/>
    <x v="2"/>
    <x v="32"/>
    <x v="914"/>
    <n v="18"/>
    <x v="1"/>
    <n v="89"/>
    <n v="7"/>
    <n v="57"/>
    <n v="4"/>
    <x v="0"/>
    <x v="0"/>
    <n v="8.6999999999999993"/>
  </r>
  <r>
    <x v="915"/>
    <s v="FN917"/>
    <s v="LN917"/>
    <x v="0"/>
    <n v="33"/>
    <x v="1"/>
    <x v="1"/>
    <x v="2"/>
    <x v="1"/>
    <x v="0"/>
    <s v="2019-03-19"/>
    <m/>
    <x v="0"/>
    <x v="71"/>
    <x v="1"/>
    <x v="15"/>
    <x v="915"/>
    <n v="12"/>
    <x v="8"/>
    <n v="77"/>
    <n v="17"/>
    <n v="29"/>
    <n v="16"/>
    <x v="1"/>
    <x v="2"/>
    <n v="7.4"/>
  </r>
  <r>
    <x v="916"/>
    <s v="FN918"/>
    <s v="LN918"/>
    <x v="0"/>
    <n v="42"/>
    <x v="4"/>
    <x v="6"/>
    <x v="4"/>
    <x v="0"/>
    <x v="0"/>
    <s v="2016-12-13"/>
    <m/>
    <x v="0"/>
    <x v="40"/>
    <x v="2"/>
    <x v="31"/>
    <x v="916"/>
    <n v="8"/>
    <x v="13"/>
    <n v="81"/>
    <n v="10"/>
    <n v="15"/>
    <n v="21"/>
    <x v="1"/>
    <x v="2"/>
    <n v="9.6"/>
  </r>
  <r>
    <x v="917"/>
    <s v="FN919"/>
    <s v="LN919"/>
    <x v="0"/>
    <n v="27"/>
    <x v="2"/>
    <x v="7"/>
    <x v="2"/>
    <x v="1"/>
    <x v="1"/>
    <s v="2025-10-19"/>
    <m/>
    <x v="0"/>
    <x v="61"/>
    <x v="0"/>
    <x v="22"/>
    <x v="917"/>
    <n v="13"/>
    <x v="22"/>
    <n v="63"/>
    <n v="16"/>
    <n v="42"/>
    <n v="33"/>
    <x v="0"/>
    <x v="2"/>
    <n v="0.8"/>
  </r>
  <r>
    <x v="918"/>
    <s v="FN920"/>
    <s v="LN920"/>
    <x v="1"/>
    <n v="42"/>
    <x v="1"/>
    <x v="4"/>
    <x v="4"/>
    <x v="0"/>
    <x v="0"/>
    <s v="2017-05-25"/>
    <m/>
    <x v="0"/>
    <x v="55"/>
    <x v="0"/>
    <x v="23"/>
    <x v="918"/>
    <n v="13"/>
    <x v="12"/>
    <n v="51"/>
    <n v="17"/>
    <n v="7"/>
    <n v="50"/>
    <x v="0"/>
    <x v="1"/>
    <n v="9.1999999999999993"/>
  </r>
  <r>
    <x v="919"/>
    <s v="FN921"/>
    <s v="LN921"/>
    <x v="0"/>
    <n v="43"/>
    <x v="1"/>
    <x v="1"/>
    <x v="0"/>
    <x v="2"/>
    <x v="1"/>
    <s v="2017-02-03"/>
    <s v="2021-07-30"/>
    <x v="1"/>
    <x v="19"/>
    <x v="0"/>
    <x v="22"/>
    <x v="919"/>
    <n v="19"/>
    <x v="0"/>
    <n v="51"/>
    <n v="4"/>
    <n v="25"/>
    <n v="23"/>
    <x v="1"/>
    <x v="0"/>
    <n v="9.5"/>
  </r>
  <r>
    <x v="920"/>
    <s v="FN922"/>
    <s v="LN922"/>
    <x v="0"/>
    <n v="32"/>
    <x v="5"/>
    <x v="6"/>
    <x v="2"/>
    <x v="1"/>
    <x v="0"/>
    <s v="2023-12-09"/>
    <s v="2026-01-17"/>
    <x v="1"/>
    <x v="40"/>
    <x v="2"/>
    <x v="13"/>
    <x v="920"/>
    <n v="15"/>
    <x v="6"/>
    <n v="52"/>
    <n v="18"/>
    <n v="18"/>
    <n v="27"/>
    <x v="1"/>
    <x v="1"/>
    <n v="2.6"/>
  </r>
  <r>
    <x v="921"/>
    <s v="FN923"/>
    <s v="LN923"/>
    <x v="1"/>
    <n v="53"/>
    <x v="2"/>
    <x v="5"/>
    <x v="1"/>
    <x v="2"/>
    <x v="1"/>
    <s v="2019-06-09"/>
    <m/>
    <x v="0"/>
    <x v="79"/>
    <x v="1"/>
    <x v="1"/>
    <x v="921"/>
    <n v="16"/>
    <x v="6"/>
    <n v="70"/>
    <n v="18"/>
    <n v="52"/>
    <n v="68"/>
    <x v="1"/>
    <x v="0"/>
    <n v="7.1"/>
  </r>
  <r>
    <x v="922"/>
    <s v="FN924"/>
    <s v="LN924"/>
    <x v="1"/>
    <n v="38"/>
    <x v="0"/>
    <x v="0"/>
    <x v="2"/>
    <x v="2"/>
    <x v="1"/>
    <s v="2020-09-20"/>
    <m/>
    <x v="0"/>
    <x v="21"/>
    <x v="2"/>
    <x v="6"/>
    <x v="922"/>
    <n v="10"/>
    <x v="15"/>
    <n v="89"/>
    <n v="8"/>
    <n v="27"/>
    <n v="13"/>
    <x v="1"/>
    <x v="0"/>
    <n v="5.9"/>
  </r>
  <r>
    <x v="923"/>
    <s v="FN925"/>
    <s v="LN925"/>
    <x v="0"/>
    <n v="21"/>
    <x v="1"/>
    <x v="4"/>
    <x v="4"/>
    <x v="2"/>
    <x v="0"/>
    <s v="2022-08-08"/>
    <m/>
    <x v="0"/>
    <x v="45"/>
    <x v="2"/>
    <x v="31"/>
    <x v="923"/>
    <n v="6"/>
    <x v="12"/>
    <n v="86"/>
    <n v="20"/>
    <n v="59"/>
    <n v="3"/>
    <x v="0"/>
    <x v="1"/>
    <n v="4"/>
  </r>
  <r>
    <x v="924"/>
    <s v="FN926"/>
    <s v="LN926"/>
    <x v="1"/>
    <n v="44"/>
    <x v="0"/>
    <x v="2"/>
    <x v="3"/>
    <x v="0"/>
    <x v="0"/>
    <s v="2018-06-11"/>
    <s v="2023-12-21"/>
    <x v="1"/>
    <x v="65"/>
    <x v="1"/>
    <x v="11"/>
    <x v="924"/>
    <n v="6"/>
    <x v="19"/>
    <n v="75"/>
    <n v="13"/>
    <n v="18"/>
    <n v="46"/>
    <x v="0"/>
    <x v="1"/>
    <n v="8.1"/>
  </r>
  <r>
    <x v="925"/>
    <s v="FN927"/>
    <s v="LN927"/>
    <x v="1"/>
    <n v="48"/>
    <x v="5"/>
    <x v="8"/>
    <x v="0"/>
    <x v="0"/>
    <x v="0"/>
    <s v="2020-01-20"/>
    <m/>
    <x v="0"/>
    <x v="26"/>
    <x v="1"/>
    <x v="18"/>
    <x v="925"/>
    <n v="23"/>
    <x v="11"/>
    <n v="87"/>
    <n v="11"/>
    <n v="59"/>
    <n v="66"/>
    <x v="0"/>
    <x v="1"/>
    <n v="6.5"/>
  </r>
  <r>
    <x v="926"/>
    <s v="FN928"/>
    <s v="LN928"/>
    <x v="1"/>
    <n v="30"/>
    <x v="5"/>
    <x v="2"/>
    <x v="4"/>
    <x v="1"/>
    <x v="0"/>
    <s v="2023-02-26"/>
    <m/>
    <x v="0"/>
    <x v="37"/>
    <x v="0"/>
    <x v="11"/>
    <x v="926"/>
    <n v="13"/>
    <x v="17"/>
    <n v="50"/>
    <n v="4"/>
    <n v="40"/>
    <n v="23"/>
    <x v="0"/>
    <x v="0"/>
    <n v="3.4"/>
  </r>
  <r>
    <x v="927"/>
    <s v="FN929"/>
    <s v="LN929"/>
    <x v="1"/>
    <n v="25"/>
    <x v="2"/>
    <x v="5"/>
    <x v="0"/>
    <x v="0"/>
    <x v="0"/>
    <s v="2021-10-26"/>
    <m/>
    <x v="0"/>
    <x v="56"/>
    <x v="1"/>
    <x v="1"/>
    <x v="927"/>
    <n v="23"/>
    <x v="5"/>
    <n v="71"/>
    <n v="16"/>
    <n v="35"/>
    <n v="64"/>
    <x v="0"/>
    <x v="1"/>
    <n v="4.8"/>
  </r>
  <r>
    <x v="928"/>
    <s v="FN930"/>
    <s v="LN930"/>
    <x v="0"/>
    <n v="60"/>
    <x v="4"/>
    <x v="9"/>
    <x v="3"/>
    <x v="2"/>
    <x v="0"/>
    <s v="2018-10-03"/>
    <m/>
    <x v="0"/>
    <x v="70"/>
    <x v="1"/>
    <x v="9"/>
    <x v="928"/>
    <n v="5"/>
    <x v="8"/>
    <n v="54"/>
    <n v="7"/>
    <n v="24"/>
    <n v="41"/>
    <x v="1"/>
    <x v="2"/>
    <n v="7.8"/>
  </r>
  <r>
    <x v="929"/>
    <s v="FN931"/>
    <s v="LN931"/>
    <x v="1"/>
    <n v="31"/>
    <x v="0"/>
    <x v="0"/>
    <x v="3"/>
    <x v="2"/>
    <x v="0"/>
    <s v="2016-03-15"/>
    <s v="2018-11-12"/>
    <x v="1"/>
    <x v="26"/>
    <x v="1"/>
    <x v="7"/>
    <x v="929"/>
    <n v="25"/>
    <x v="19"/>
    <n v="66"/>
    <n v="20"/>
    <n v="45"/>
    <n v="27"/>
    <x v="0"/>
    <x v="1"/>
    <n v="10.4"/>
  </r>
  <r>
    <x v="930"/>
    <s v="FN932"/>
    <s v="LN932"/>
    <x v="1"/>
    <n v="39"/>
    <x v="3"/>
    <x v="10"/>
    <x v="2"/>
    <x v="2"/>
    <x v="1"/>
    <s v="2024-10-13"/>
    <m/>
    <x v="0"/>
    <x v="7"/>
    <x v="0"/>
    <x v="5"/>
    <x v="930"/>
    <n v="17"/>
    <x v="7"/>
    <n v="67"/>
    <n v="9"/>
    <n v="48"/>
    <n v="45"/>
    <x v="1"/>
    <x v="0"/>
    <n v="1.8"/>
  </r>
  <r>
    <x v="931"/>
    <s v="FN933"/>
    <s v="LN933"/>
    <x v="1"/>
    <n v="28"/>
    <x v="0"/>
    <x v="0"/>
    <x v="4"/>
    <x v="0"/>
    <x v="0"/>
    <s v="2016-06-16"/>
    <m/>
    <x v="0"/>
    <x v="11"/>
    <x v="2"/>
    <x v="35"/>
    <x v="931"/>
    <n v="24"/>
    <x v="18"/>
    <n v="89"/>
    <n v="11"/>
    <n v="55"/>
    <n v="42"/>
    <x v="1"/>
    <x v="2"/>
    <n v="10.1"/>
  </r>
  <r>
    <x v="932"/>
    <s v="FN934"/>
    <s v="LN934"/>
    <x v="0"/>
    <n v="36"/>
    <x v="3"/>
    <x v="2"/>
    <x v="2"/>
    <x v="1"/>
    <x v="0"/>
    <s v="2020-01-10"/>
    <m/>
    <x v="0"/>
    <x v="46"/>
    <x v="1"/>
    <x v="26"/>
    <x v="932"/>
    <n v="11"/>
    <x v="3"/>
    <n v="50"/>
    <n v="0"/>
    <n v="44"/>
    <n v="72"/>
    <x v="1"/>
    <x v="2"/>
    <n v="6.6"/>
  </r>
  <r>
    <x v="933"/>
    <s v="FN935"/>
    <s v="LN935"/>
    <x v="1"/>
    <n v="28"/>
    <x v="5"/>
    <x v="6"/>
    <x v="4"/>
    <x v="2"/>
    <x v="1"/>
    <s v="2016-04-17"/>
    <m/>
    <x v="0"/>
    <x v="46"/>
    <x v="2"/>
    <x v="6"/>
    <x v="933"/>
    <n v="9"/>
    <x v="25"/>
    <n v="70"/>
    <n v="13"/>
    <n v="44"/>
    <n v="57"/>
    <x v="1"/>
    <x v="1"/>
    <n v="10.3"/>
  </r>
  <r>
    <x v="934"/>
    <s v="FN936"/>
    <s v="LN936"/>
    <x v="1"/>
    <n v="35"/>
    <x v="4"/>
    <x v="2"/>
    <x v="1"/>
    <x v="2"/>
    <x v="0"/>
    <s v="2024-03-12"/>
    <m/>
    <x v="0"/>
    <x v="57"/>
    <x v="2"/>
    <x v="23"/>
    <x v="934"/>
    <n v="8"/>
    <x v="20"/>
    <n v="74"/>
    <n v="7"/>
    <n v="40"/>
    <n v="17"/>
    <x v="1"/>
    <x v="0"/>
    <n v="2.4"/>
  </r>
  <r>
    <x v="935"/>
    <s v="FN937"/>
    <s v="LN937"/>
    <x v="0"/>
    <n v="59"/>
    <x v="0"/>
    <x v="2"/>
    <x v="1"/>
    <x v="1"/>
    <x v="1"/>
    <s v="2016-03-02"/>
    <m/>
    <x v="0"/>
    <x v="36"/>
    <x v="2"/>
    <x v="23"/>
    <x v="935"/>
    <n v="7"/>
    <x v="3"/>
    <n v="92"/>
    <n v="13"/>
    <n v="54"/>
    <n v="23"/>
    <x v="1"/>
    <x v="0"/>
    <n v="10.4"/>
  </r>
  <r>
    <x v="936"/>
    <s v="FN938"/>
    <s v="LN938"/>
    <x v="1"/>
    <n v="28"/>
    <x v="0"/>
    <x v="0"/>
    <x v="4"/>
    <x v="0"/>
    <x v="0"/>
    <s v="2022-09-22"/>
    <m/>
    <x v="0"/>
    <x v="72"/>
    <x v="2"/>
    <x v="22"/>
    <x v="936"/>
    <n v="15"/>
    <x v="17"/>
    <n v="83"/>
    <n v="20"/>
    <n v="49"/>
    <n v="29"/>
    <x v="0"/>
    <x v="1"/>
    <n v="3.9"/>
  </r>
  <r>
    <x v="937"/>
    <s v="FN939"/>
    <s v="LN939"/>
    <x v="0"/>
    <n v="57"/>
    <x v="5"/>
    <x v="2"/>
    <x v="2"/>
    <x v="2"/>
    <x v="0"/>
    <s v="2025-06-26"/>
    <m/>
    <x v="0"/>
    <x v="13"/>
    <x v="1"/>
    <x v="10"/>
    <x v="937"/>
    <n v="14"/>
    <x v="5"/>
    <n v="67"/>
    <n v="5"/>
    <n v="19"/>
    <n v="8"/>
    <x v="1"/>
    <x v="1"/>
    <n v="1.1000000000000001"/>
  </r>
  <r>
    <x v="938"/>
    <s v="FN940"/>
    <s v="LN940"/>
    <x v="1"/>
    <n v="32"/>
    <x v="3"/>
    <x v="2"/>
    <x v="0"/>
    <x v="1"/>
    <x v="1"/>
    <s v="2026-01-04"/>
    <m/>
    <x v="0"/>
    <x v="1"/>
    <x v="0"/>
    <x v="34"/>
    <x v="938"/>
    <n v="7"/>
    <x v="12"/>
    <n v="95"/>
    <n v="19"/>
    <n v="22"/>
    <n v="77"/>
    <x v="0"/>
    <x v="1"/>
    <n v="0.6"/>
  </r>
  <r>
    <x v="939"/>
    <s v="FN941"/>
    <s v="LN941"/>
    <x v="1"/>
    <n v="38"/>
    <x v="0"/>
    <x v="0"/>
    <x v="4"/>
    <x v="2"/>
    <x v="1"/>
    <s v="2020-09-09"/>
    <m/>
    <x v="0"/>
    <x v="11"/>
    <x v="2"/>
    <x v="33"/>
    <x v="939"/>
    <n v="5"/>
    <x v="1"/>
    <n v="85"/>
    <n v="3"/>
    <n v="20"/>
    <n v="43"/>
    <x v="1"/>
    <x v="1"/>
    <n v="5.9"/>
  </r>
  <r>
    <x v="940"/>
    <s v="FN942"/>
    <s v="LN942"/>
    <x v="0"/>
    <n v="53"/>
    <x v="0"/>
    <x v="2"/>
    <x v="4"/>
    <x v="0"/>
    <x v="0"/>
    <s v="2023-08-10"/>
    <m/>
    <x v="0"/>
    <x v="49"/>
    <x v="2"/>
    <x v="15"/>
    <x v="940"/>
    <n v="23"/>
    <x v="0"/>
    <n v="67"/>
    <n v="17"/>
    <n v="57"/>
    <n v="29"/>
    <x v="0"/>
    <x v="0"/>
    <n v="3"/>
  </r>
  <r>
    <x v="941"/>
    <s v="FN943"/>
    <s v="LN943"/>
    <x v="0"/>
    <n v="58"/>
    <x v="1"/>
    <x v="4"/>
    <x v="3"/>
    <x v="2"/>
    <x v="1"/>
    <s v="2018-03-14"/>
    <s v="2025-01-20"/>
    <x v="1"/>
    <x v="31"/>
    <x v="1"/>
    <x v="32"/>
    <x v="941"/>
    <n v="16"/>
    <x v="11"/>
    <n v="78"/>
    <n v="20"/>
    <n v="29"/>
    <n v="68"/>
    <x v="0"/>
    <x v="2"/>
    <n v="8.4"/>
  </r>
  <r>
    <x v="942"/>
    <s v="FN944"/>
    <s v="LN944"/>
    <x v="0"/>
    <n v="31"/>
    <x v="2"/>
    <x v="3"/>
    <x v="2"/>
    <x v="1"/>
    <x v="0"/>
    <s v="2024-11-19"/>
    <m/>
    <x v="0"/>
    <x v="44"/>
    <x v="1"/>
    <x v="11"/>
    <x v="942"/>
    <n v="8"/>
    <x v="4"/>
    <n v="97"/>
    <n v="13"/>
    <n v="9"/>
    <n v="7"/>
    <x v="0"/>
    <x v="1"/>
    <n v="1.7"/>
  </r>
  <r>
    <x v="943"/>
    <s v="FN945"/>
    <s v="LN945"/>
    <x v="1"/>
    <n v="27"/>
    <x v="5"/>
    <x v="2"/>
    <x v="4"/>
    <x v="2"/>
    <x v="1"/>
    <s v="2019-10-14"/>
    <m/>
    <x v="0"/>
    <x v="56"/>
    <x v="0"/>
    <x v="25"/>
    <x v="943"/>
    <n v="15"/>
    <x v="18"/>
    <n v="57"/>
    <n v="9"/>
    <n v="34"/>
    <n v="30"/>
    <x v="1"/>
    <x v="2"/>
    <n v="6.8"/>
  </r>
  <r>
    <x v="944"/>
    <s v="FN946"/>
    <s v="LN946"/>
    <x v="0"/>
    <n v="23"/>
    <x v="0"/>
    <x v="0"/>
    <x v="3"/>
    <x v="0"/>
    <x v="0"/>
    <s v="2016-12-31"/>
    <m/>
    <x v="0"/>
    <x v="11"/>
    <x v="0"/>
    <x v="2"/>
    <x v="944"/>
    <n v="10"/>
    <x v="21"/>
    <n v="52"/>
    <n v="4"/>
    <n v="12"/>
    <n v="77"/>
    <x v="0"/>
    <x v="2"/>
    <n v="9.6"/>
  </r>
  <r>
    <x v="945"/>
    <s v="FN947"/>
    <s v="LN947"/>
    <x v="0"/>
    <n v="56"/>
    <x v="3"/>
    <x v="2"/>
    <x v="3"/>
    <x v="0"/>
    <x v="1"/>
    <s v="2016-04-18"/>
    <m/>
    <x v="0"/>
    <x v="21"/>
    <x v="1"/>
    <x v="29"/>
    <x v="945"/>
    <n v="11"/>
    <x v="8"/>
    <n v="85"/>
    <n v="15"/>
    <n v="19"/>
    <n v="80"/>
    <x v="0"/>
    <x v="2"/>
    <n v="10.3"/>
  </r>
  <r>
    <x v="946"/>
    <s v="FN948"/>
    <s v="LN948"/>
    <x v="1"/>
    <n v="56"/>
    <x v="3"/>
    <x v="10"/>
    <x v="4"/>
    <x v="2"/>
    <x v="0"/>
    <s v="2026-04-11"/>
    <m/>
    <x v="0"/>
    <x v="29"/>
    <x v="0"/>
    <x v="14"/>
    <x v="946"/>
    <n v="12"/>
    <x v="10"/>
    <n v="94"/>
    <n v="17"/>
    <n v="26"/>
    <n v="22"/>
    <x v="0"/>
    <x v="0"/>
    <n v="0.3"/>
  </r>
  <r>
    <x v="947"/>
    <s v="FN949"/>
    <s v="LN949"/>
    <x v="1"/>
    <n v="31"/>
    <x v="1"/>
    <x v="4"/>
    <x v="1"/>
    <x v="0"/>
    <x v="1"/>
    <s v="2016-02-24"/>
    <m/>
    <x v="0"/>
    <x v="61"/>
    <x v="0"/>
    <x v="16"/>
    <x v="947"/>
    <n v="12"/>
    <x v="5"/>
    <n v="73"/>
    <n v="9"/>
    <n v="2"/>
    <n v="19"/>
    <x v="0"/>
    <x v="2"/>
    <n v="10.4"/>
  </r>
  <r>
    <x v="948"/>
    <s v="FN950"/>
    <s v="LN950"/>
    <x v="1"/>
    <n v="30"/>
    <x v="1"/>
    <x v="1"/>
    <x v="1"/>
    <x v="1"/>
    <x v="0"/>
    <s v="2021-01-30"/>
    <s v="2022-01-02"/>
    <x v="1"/>
    <x v="36"/>
    <x v="2"/>
    <x v="11"/>
    <x v="948"/>
    <n v="13"/>
    <x v="21"/>
    <n v="50"/>
    <n v="17"/>
    <n v="24"/>
    <n v="60"/>
    <x v="1"/>
    <x v="0"/>
    <n v="5.5"/>
  </r>
  <r>
    <x v="949"/>
    <s v="FN951"/>
    <s v="LN951"/>
    <x v="0"/>
    <n v="43"/>
    <x v="4"/>
    <x v="6"/>
    <x v="4"/>
    <x v="2"/>
    <x v="1"/>
    <s v="2016-01-26"/>
    <m/>
    <x v="0"/>
    <x v="61"/>
    <x v="0"/>
    <x v="30"/>
    <x v="949"/>
    <n v="5"/>
    <x v="12"/>
    <n v="57"/>
    <n v="10"/>
    <n v="8"/>
    <n v="32"/>
    <x v="1"/>
    <x v="0"/>
    <n v="10.5"/>
  </r>
  <r>
    <x v="950"/>
    <s v="FN952"/>
    <s v="LN952"/>
    <x v="0"/>
    <n v="32"/>
    <x v="1"/>
    <x v="4"/>
    <x v="3"/>
    <x v="0"/>
    <x v="0"/>
    <s v="2024-12-25"/>
    <m/>
    <x v="0"/>
    <x v="25"/>
    <x v="1"/>
    <x v="20"/>
    <x v="950"/>
    <n v="23"/>
    <x v="15"/>
    <n v="93"/>
    <n v="13"/>
    <n v="45"/>
    <n v="70"/>
    <x v="0"/>
    <x v="0"/>
    <n v="1.6"/>
  </r>
  <r>
    <x v="951"/>
    <s v="FN953"/>
    <s v="LN953"/>
    <x v="0"/>
    <n v="23"/>
    <x v="0"/>
    <x v="0"/>
    <x v="3"/>
    <x v="0"/>
    <x v="0"/>
    <s v="2023-10-03"/>
    <m/>
    <x v="0"/>
    <x v="66"/>
    <x v="2"/>
    <x v="7"/>
    <x v="951"/>
    <n v="15"/>
    <x v="9"/>
    <n v="50"/>
    <n v="8"/>
    <n v="26"/>
    <n v="35"/>
    <x v="0"/>
    <x v="1"/>
    <n v="2.8"/>
  </r>
  <r>
    <x v="952"/>
    <s v="FN954"/>
    <s v="LN954"/>
    <x v="1"/>
    <n v="39"/>
    <x v="5"/>
    <x v="6"/>
    <x v="3"/>
    <x v="0"/>
    <x v="1"/>
    <s v="2024-07-06"/>
    <m/>
    <x v="0"/>
    <x v="44"/>
    <x v="0"/>
    <x v="9"/>
    <x v="952"/>
    <n v="22"/>
    <x v="9"/>
    <n v="66"/>
    <n v="19"/>
    <n v="60"/>
    <n v="74"/>
    <x v="0"/>
    <x v="0"/>
    <n v="2.1"/>
  </r>
  <r>
    <x v="953"/>
    <s v="FN955"/>
    <s v="LN955"/>
    <x v="1"/>
    <n v="52"/>
    <x v="3"/>
    <x v="10"/>
    <x v="0"/>
    <x v="1"/>
    <x v="0"/>
    <s v="2022-10-05"/>
    <m/>
    <x v="0"/>
    <x v="13"/>
    <x v="1"/>
    <x v="23"/>
    <x v="953"/>
    <n v="5"/>
    <x v="19"/>
    <n v="89"/>
    <n v="15"/>
    <n v="5"/>
    <n v="46"/>
    <x v="1"/>
    <x v="0"/>
    <n v="3.8"/>
  </r>
  <r>
    <x v="954"/>
    <s v="FN956"/>
    <s v="LN956"/>
    <x v="0"/>
    <n v="39"/>
    <x v="5"/>
    <x v="6"/>
    <x v="3"/>
    <x v="0"/>
    <x v="0"/>
    <s v="2023-08-07"/>
    <m/>
    <x v="0"/>
    <x v="53"/>
    <x v="2"/>
    <x v="22"/>
    <x v="954"/>
    <n v="15"/>
    <x v="8"/>
    <n v="84"/>
    <n v="0"/>
    <n v="11"/>
    <n v="66"/>
    <x v="0"/>
    <x v="2"/>
    <n v="3"/>
  </r>
  <r>
    <x v="955"/>
    <s v="FN957"/>
    <s v="LN957"/>
    <x v="1"/>
    <n v="56"/>
    <x v="1"/>
    <x v="1"/>
    <x v="0"/>
    <x v="2"/>
    <x v="0"/>
    <s v="2018-09-20"/>
    <m/>
    <x v="0"/>
    <x v="71"/>
    <x v="0"/>
    <x v="9"/>
    <x v="955"/>
    <n v="16"/>
    <x v="0"/>
    <n v="74"/>
    <n v="14"/>
    <n v="11"/>
    <n v="45"/>
    <x v="0"/>
    <x v="0"/>
    <n v="7.9"/>
  </r>
  <r>
    <x v="956"/>
    <s v="FN958"/>
    <s v="LN958"/>
    <x v="1"/>
    <n v="55"/>
    <x v="0"/>
    <x v="2"/>
    <x v="1"/>
    <x v="2"/>
    <x v="0"/>
    <s v="2021-06-28"/>
    <m/>
    <x v="0"/>
    <x v="16"/>
    <x v="2"/>
    <x v="33"/>
    <x v="956"/>
    <n v="15"/>
    <x v="11"/>
    <n v="66"/>
    <n v="11"/>
    <n v="46"/>
    <n v="10"/>
    <x v="0"/>
    <x v="2"/>
    <n v="5.0999999999999996"/>
  </r>
  <r>
    <x v="957"/>
    <s v="FN959"/>
    <s v="LN959"/>
    <x v="1"/>
    <n v="47"/>
    <x v="2"/>
    <x v="5"/>
    <x v="4"/>
    <x v="0"/>
    <x v="0"/>
    <s v="2020-07-27"/>
    <m/>
    <x v="0"/>
    <x v="2"/>
    <x v="1"/>
    <x v="21"/>
    <x v="957"/>
    <n v="6"/>
    <x v="13"/>
    <n v="56"/>
    <n v="13"/>
    <n v="15"/>
    <n v="77"/>
    <x v="1"/>
    <x v="0"/>
    <n v="6"/>
  </r>
  <r>
    <x v="958"/>
    <s v="FN960"/>
    <s v="LN960"/>
    <x v="1"/>
    <n v="58"/>
    <x v="5"/>
    <x v="8"/>
    <x v="0"/>
    <x v="1"/>
    <x v="0"/>
    <s v="2025-12-13"/>
    <m/>
    <x v="0"/>
    <x v="74"/>
    <x v="2"/>
    <x v="6"/>
    <x v="958"/>
    <n v="10"/>
    <x v="16"/>
    <n v="75"/>
    <n v="3"/>
    <n v="34"/>
    <n v="67"/>
    <x v="1"/>
    <x v="0"/>
    <n v="0.6"/>
  </r>
  <r>
    <x v="959"/>
    <s v="FN961"/>
    <s v="LN961"/>
    <x v="1"/>
    <n v="21"/>
    <x v="0"/>
    <x v="0"/>
    <x v="0"/>
    <x v="2"/>
    <x v="0"/>
    <s v="2026-02-25"/>
    <m/>
    <x v="0"/>
    <x v="53"/>
    <x v="0"/>
    <x v="11"/>
    <x v="959"/>
    <n v="20"/>
    <x v="11"/>
    <n v="89"/>
    <n v="7"/>
    <n v="60"/>
    <n v="5"/>
    <x v="0"/>
    <x v="0"/>
    <n v="0.4"/>
  </r>
  <r>
    <x v="960"/>
    <s v="FN962"/>
    <s v="LN962"/>
    <x v="0"/>
    <n v="55"/>
    <x v="5"/>
    <x v="8"/>
    <x v="2"/>
    <x v="1"/>
    <x v="1"/>
    <s v="2018-04-24"/>
    <m/>
    <x v="0"/>
    <x v="47"/>
    <x v="2"/>
    <x v="6"/>
    <x v="960"/>
    <n v="15"/>
    <x v="15"/>
    <n v="90"/>
    <n v="14"/>
    <n v="23"/>
    <n v="30"/>
    <x v="1"/>
    <x v="0"/>
    <n v="8.3000000000000007"/>
  </r>
  <r>
    <x v="961"/>
    <s v="FN963"/>
    <s v="LN963"/>
    <x v="1"/>
    <n v="44"/>
    <x v="1"/>
    <x v="4"/>
    <x v="4"/>
    <x v="2"/>
    <x v="0"/>
    <s v="2025-03-19"/>
    <m/>
    <x v="0"/>
    <x v="78"/>
    <x v="0"/>
    <x v="21"/>
    <x v="961"/>
    <n v="15"/>
    <x v="7"/>
    <n v="65"/>
    <n v="20"/>
    <n v="13"/>
    <n v="11"/>
    <x v="1"/>
    <x v="2"/>
    <n v="1.4"/>
  </r>
  <r>
    <x v="962"/>
    <s v="FN964"/>
    <s v="LN964"/>
    <x v="0"/>
    <n v="22"/>
    <x v="1"/>
    <x v="1"/>
    <x v="4"/>
    <x v="1"/>
    <x v="1"/>
    <s v="2019-06-27"/>
    <m/>
    <x v="0"/>
    <x v="35"/>
    <x v="2"/>
    <x v="15"/>
    <x v="962"/>
    <n v="10"/>
    <x v="12"/>
    <n v="95"/>
    <n v="2"/>
    <n v="13"/>
    <n v="17"/>
    <x v="1"/>
    <x v="2"/>
    <n v="7.1"/>
  </r>
  <r>
    <x v="963"/>
    <s v="FN965"/>
    <s v="LN965"/>
    <x v="0"/>
    <n v="42"/>
    <x v="0"/>
    <x v="2"/>
    <x v="3"/>
    <x v="2"/>
    <x v="1"/>
    <s v="2024-02-08"/>
    <m/>
    <x v="0"/>
    <x v="16"/>
    <x v="1"/>
    <x v="31"/>
    <x v="963"/>
    <n v="17"/>
    <x v="13"/>
    <n v="86"/>
    <n v="2"/>
    <n v="19"/>
    <n v="39"/>
    <x v="1"/>
    <x v="2"/>
    <n v="2.5"/>
  </r>
  <r>
    <x v="964"/>
    <s v="FN966"/>
    <s v="LN966"/>
    <x v="0"/>
    <n v="57"/>
    <x v="1"/>
    <x v="4"/>
    <x v="1"/>
    <x v="2"/>
    <x v="0"/>
    <s v="2020-03-16"/>
    <m/>
    <x v="0"/>
    <x v="25"/>
    <x v="0"/>
    <x v="24"/>
    <x v="964"/>
    <n v="18"/>
    <x v="25"/>
    <n v="54"/>
    <n v="19"/>
    <n v="24"/>
    <n v="17"/>
    <x v="0"/>
    <x v="0"/>
    <n v="6.4"/>
  </r>
  <r>
    <x v="965"/>
    <s v="FN967"/>
    <s v="LN967"/>
    <x v="0"/>
    <n v="24"/>
    <x v="2"/>
    <x v="7"/>
    <x v="3"/>
    <x v="1"/>
    <x v="1"/>
    <s v="2023-02-16"/>
    <m/>
    <x v="0"/>
    <x v="17"/>
    <x v="1"/>
    <x v="24"/>
    <x v="965"/>
    <n v="19"/>
    <x v="12"/>
    <n v="53"/>
    <n v="9"/>
    <n v="6"/>
    <n v="1"/>
    <x v="0"/>
    <x v="0"/>
    <n v="3.4"/>
  </r>
  <r>
    <x v="966"/>
    <s v="FN968"/>
    <s v="LN968"/>
    <x v="1"/>
    <n v="42"/>
    <x v="3"/>
    <x v="10"/>
    <x v="0"/>
    <x v="1"/>
    <x v="0"/>
    <s v="2022-05-11"/>
    <m/>
    <x v="0"/>
    <x v="22"/>
    <x v="0"/>
    <x v="15"/>
    <x v="966"/>
    <n v="15"/>
    <x v="5"/>
    <n v="96"/>
    <n v="2"/>
    <n v="40"/>
    <n v="45"/>
    <x v="1"/>
    <x v="0"/>
    <n v="4.2"/>
  </r>
  <r>
    <x v="967"/>
    <s v="FN969"/>
    <s v="LN969"/>
    <x v="0"/>
    <n v="35"/>
    <x v="1"/>
    <x v="4"/>
    <x v="1"/>
    <x v="0"/>
    <x v="0"/>
    <s v="2024-01-27"/>
    <m/>
    <x v="0"/>
    <x v="3"/>
    <x v="1"/>
    <x v="1"/>
    <x v="967"/>
    <n v="16"/>
    <x v="12"/>
    <n v="72"/>
    <n v="6"/>
    <n v="46"/>
    <n v="4"/>
    <x v="0"/>
    <x v="2"/>
    <n v="2.5"/>
  </r>
  <r>
    <x v="968"/>
    <s v="FN970"/>
    <s v="LN970"/>
    <x v="1"/>
    <n v="21"/>
    <x v="3"/>
    <x v="10"/>
    <x v="4"/>
    <x v="1"/>
    <x v="0"/>
    <s v="2021-04-28"/>
    <s v="2027-09-19"/>
    <x v="1"/>
    <x v="17"/>
    <x v="2"/>
    <x v="17"/>
    <x v="968"/>
    <n v="13"/>
    <x v="2"/>
    <n v="59"/>
    <n v="6"/>
    <n v="51"/>
    <n v="51"/>
    <x v="1"/>
    <x v="0"/>
    <n v="5.3"/>
  </r>
  <r>
    <x v="969"/>
    <s v="FN971"/>
    <s v="LN971"/>
    <x v="1"/>
    <n v="60"/>
    <x v="1"/>
    <x v="1"/>
    <x v="0"/>
    <x v="0"/>
    <x v="1"/>
    <s v="2016-07-16"/>
    <m/>
    <x v="0"/>
    <x v="15"/>
    <x v="0"/>
    <x v="6"/>
    <x v="969"/>
    <n v="25"/>
    <x v="9"/>
    <n v="53"/>
    <n v="16"/>
    <n v="7"/>
    <n v="5"/>
    <x v="1"/>
    <x v="0"/>
    <n v="10"/>
  </r>
  <r>
    <x v="970"/>
    <s v="FN972"/>
    <s v="LN972"/>
    <x v="0"/>
    <n v="39"/>
    <x v="3"/>
    <x v="2"/>
    <x v="3"/>
    <x v="1"/>
    <x v="0"/>
    <s v="2026-05-03"/>
    <m/>
    <x v="0"/>
    <x v="45"/>
    <x v="1"/>
    <x v="14"/>
    <x v="970"/>
    <n v="13"/>
    <x v="22"/>
    <n v="73"/>
    <n v="5"/>
    <n v="35"/>
    <n v="64"/>
    <x v="0"/>
    <x v="1"/>
    <n v="0.2"/>
  </r>
  <r>
    <x v="971"/>
    <s v="FN973"/>
    <s v="LN973"/>
    <x v="0"/>
    <n v="39"/>
    <x v="1"/>
    <x v="4"/>
    <x v="2"/>
    <x v="1"/>
    <x v="1"/>
    <s v="2023-10-25"/>
    <m/>
    <x v="0"/>
    <x v="50"/>
    <x v="2"/>
    <x v="32"/>
    <x v="971"/>
    <n v="18"/>
    <x v="4"/>
    <n v="91"/>
    <n v="15"/>
    <n v="4"/>
    <n v="32"/>
    <x v="0"/>
    <x v="0"/>
    <n v="2.8"/>
  </r>
  <r>
    <x v="972"/>
    <s v="FN974"/>
    <s v="LN974"/>
    <x v="0"/>
    <n v="39"/>
    <x v="2"/>
    <x v="5"/>
    <x v="3"/>
    <x v="1"/>
    <x v="0"/>
    <s v="2024-05-18"/>
    <m/>
    <x v="0"/>
    <x v="60"/>
    <x v="1"/>
    <x v="1"/>
    <x v="972"/>
    <n v="15"/>
    <x v="20"/>
    <n v="84"/>
    <n v="9"/>
    <n v="60"/>
    <n v="80"/>
    <x v="1"/>
    <x v="1"/>
    <n v="2.2000000000000002"/>
  </r>
  <r>
    <x v="973"/>
    <s v="FN975"/>
    <s v="LN975"/>
    <x v="0"/>
    <n v="35"/>
    <x v="3"/>
    <x v="2"/>
    <x v="2"/>
    <x v="2"/>
    <x v="1"/>
    <s v="2023-08-26"/>
    <s v="2031-11-07"/>
    <x v="1"/>
    <x v="3"/>
    <x v="0"/>
    <x v="28"/>
    <x v="973"/>
    <n v="18"/>
    <x v="5"/>
    <n v="55"/>
    <n v="3"/>
    <n v="11"/>
    <n v="20"/>
    <x v="0"/>
    <x v="0"/>
    <n v="2.9"/>
  </r>
  <r>
    <x v="974"/>
    <s v="FN976"/>
    <s v="LN976"/>
    <x v="1"/>
    <n v="29"/>
    <x v="4"/>
    <x v="2"/>
    <x v="0"/>
    <x v="1"/>
    <x v="1"/>
    <s v="2021-05-15"/>
    <m/>
    <x v="0"/>
    <x v="23"/>
    <x v="1"/>
    <x v="10"/>
    <x v="974"/>
    <n v="14"/>
    <x v="1"/>
    <n v="77"/>
    <n v="3"/>
    <n v="40"/>
    <n v="12"/>
    <x v="0"/>
    <x v="0"/>
    <n v="5.2"/>
  </r>
  <r>
    <x v="975"/>
    <s v="FN977"/>
    <s v="LN977"/>
    <x v="1"/>
    <n v="57"/>
    <x v="5"/>
    <x v="6"/>
    <x v="1"/>
    <x v="0"/>
    <x v="0"/>
    <s v="2018-11-11"/>
    <m/>
    <x v="0"/>
    <x v="41"/>
    <x v="2"/>
    <x v="20"/>
    <x v="975"/>
    <n v="22"/>
    <x v="6"/>
    <n v="94"/>
    <n v="2"/>
    <n v="15"/>
    <n v="5"/>
    <x v="0"/>
    <x v="2"/>
    <n v="7.7"/>
  </r>
  <r>
    <x v="976"/>
    <s v="FN978"/>
    <s v="LN978"/>
    <x v="0"/>
    <n v="59"/>
    <x v="0"/>
    <x v="2"/>
    <x v="1"/>
    <x v="1"/>
    <x v="1"/>
    <s v="2017-05-22"/>
    <m/>
    <x v="0"/>
    <x v="79"/>
    <x v="2"/>
    <x v="16"/>
    <x v="976"/>
    <n v="17"/>
    <x v="25"/>
    <n v="68"/>
    <n v="3"/>
    <n v="8"/>
    <n v="68"/>
    <x v="0"/>
    <x v="0"/>
    <n v="9.1999999999999993"/>
  </r>
  <r>
    <x v="977"/>
    <s v="FN979"/>
    <s v="LN979"/>
    <x v="1"/>
    <n v="36"/>
    <x v="2"/>
    <x v="3"/>
    <x v="0"/>
    <x v="0"/>
    <x v="0"/>
    <s v="2017-10-04"/>
    <m/>
    <x v="0"/>
    <x v="12"/>
    <x v="1"/>
    <x v="12"/>
    <x v="977"/>
    <n v="8"/>
    <x v="6"/>
    <n v="53"/>
    <n v="10"/>
    <n v="29"/>
    <n v="23"/>
    <x v="1"/>
    <x v="0"/>
    <n v="8.8000000000000007"/>
  </r>
  <r>
    <x v="978"/>
    <s v="FN980"/>
    <s v="LN980"/>
    <x v="1"/>
    <n v="45"/>
    <x v="1"/>
    <x v="4"/>
    <x v="2"/>
    <x v="2"/>
    <x v="1"/>
    <s v="2016-03-17"/>
    <m/>
    <x v="0"/>
    <x v="20"/>
    <x v="1"/>
    <x v="23"/>
    <x v="978"/>
    <n v="13"/>
    <x v="22"/>
    <n v="58"/>
    <n v="4"/>
    <n v="18"/>
    <n v="38"/>
    <x v="1"/>
    <x v="2"/>
    <n v="10.4"/>
  </r>
  <r>
    <x v="979"/>
    <s v="FN981"/>
    <s v="LN981"/>
    <x v="1"/>
    <n v="31"/>
    <x v="0"/>
    <x v="0"/>
    <x v="0"/>
    <x v="0"/>
    <x v="0"/>
    <s v="2018-04-05"/>
    <m/>
    <x v="0"/>
    <x v="8"/>
    <x v="0"/>
    <x v="30"/>
    <x v="979"/>
    <n v="15"/>
    <x v="22"/>
    <n v="100"/>
    <n v="7"/>
    <n v="48"/>
    <n v="51"/>
    <x v="1"/>
    <x v="0"/>
    <n v="8.3000000000000007"/>
  </r>
  <r>
    <x v="980"/>
    <s v="FN982"/>
    <s v="LN982"/>
    <x v="1"/>
    <n v="34"/>
    <x v="3"/>
    <x v="10"/>
    <x v="1"/>
    <x v="0"/>
    <x v="0"/>
    <s v="2017-04-14"/>
    <m/>
    <x v="0"/>
    <x v="9"/>
    <x v="2"/>
    <x v="26"/>
    <x v="980"/>
    <n v="18"/>
    <x v="24"/>
    <n v="81"/>
    <n v="3"/>
    <n v="3"/>
    <n v="38"/>
    <x v="0"/>
    <x v="0"/>
    <n v="9.3000000000000007"/>
  </r>
  <r>
    <x v="981"/>
    <s v="FN983"/>
    <s v="LN983"/>
    <x v="0"/>
    <n v="43"/>
    <x v="2"/>
    <x v="5"/>
    <x v="4"/>
    <x v="1"/>
    <x v="1"/>
    <s v="2022-07-27"/>
    <m/>
    <x v="0"/>
    <x v="46"/>
    <x v="1"/>
    <x v="21"/>
    <x v="981"/>
    <n v="22"/>
    <x v="12"/>
    <n v="100"/>
    <n v="13"/>
    <n v="32"/>
    <n v="31"/>
    <x v="1"/>
    <x v="0"/>
    <n v="4"/>
  </r>
  <r>
    <x v="982"/>
    <s v="FN984"/>
    <s v="LN984"/>
    <x v="0"/>
    <n v="54"/>
    <x v="3"/>
    <x v="2"/>
    <x v="0"/>
    <x v="1"/>
    <x v="1"/>
    <s v="2021-03-29"/>
    <m/>
    <x v="0"/>
    <x v="4"/>
    <x v="2"/>
    <x v="33"/>
    <x v="982"/>
    <n v="11"/>
    <x v="14"/>
    <n v="75"/>
    <n v="14"/>
    <n v="11"/>
    <n v="19"/>
    <x v="1"/>
    <x v="2"/>
    <n v="5.3"/>
  </r>
  <r>
    <x v="983"/>
    <s v="FN985"/>
    <s v="LN985"/>
    <x v="1"/>
    <n v="38"/>
    <x v="0"/>
    <x v="0"/>
    <x v="2"/>
    <x v="0"/>
    <x v="0"/>
    <s v="2018-04-26"/>
    <m/>
    <x v="0"/>
    <x v="12"/>
    <x v="2"/>
    <x v="22"/>
    <x v="983"/>
    <n v="5"/>
    <x v="4"/>
    <n v="58"/>
    <n v="12"/>
    <n v="2"/>
    <n v="36"/>
    <x v="1"/>
    <x v="0"/>
    <n v="8.3000000000000007"/>
  </r>
  <r>
    <x v="984"/>
    <s v="FN986"/>
    <s v="LN986"/>
    <x v="1"/>
    <n v="23"/>
    <x v="5"/>
    <x v="6"/>
    <x v="3"/>
    <x v="0"/>
    <x v="0"/>
    <s v="2021-07-23"/>
    <m/>
    <x v="0"/>
    <x v="45"/>
    <x v="1"/>
    <x v="31"/>
    <x v="984"/>
    <n v="5"/>
    <x v="20"/>
    <n v="90"/>
    <n v="7"/>
    <n v="44"/>
    <n v="34"/>
    <x v="0"/>
    <x v="2"/>
    <n v="5"/>
  </r>
  <r>
    <x v="985"/>
    <s v="FN987"/>
    <s v="LN987"/>
    <x v="0"/>
    <n v="32"/>
    <x v="0"/>
    <x v="0"/>
    <x v="2"/>
    <x v="2"/>
    <x v="1"/>
    <s v="2025-05-15"/>
    <m/>
    <x v="0"/>
    <x v="61"/>
    <x v="2"/>
    <x v="8"/>
    <x v="985"/>
    <n v="11"/>
    <x v="25"/>
    <n v="51"/>
    <n v="1"/>
    <n v="39"/>
    <n v="61"/>
    <x v="1"/>
    <x v="2"/>
    <n v="1.2"/>
  </r>
  <r>
    <x v="986"/>
    <s v="FN988"/>
    <s v="LN988"/>
    <x v="1"/>
    <n v="32"/>
    <x v="3"/>
    <x v="10"/>
    <x v="4"/>
    <x v="2"/>
    <x v="0"/>
    <s v="2017-01-19"/>
    <m/>
    <x v="0"/>
    <x v="7"/>
    <x v="2"/>
    <x v="6"/>
    <x v="986"/>
    <n v="6"/>
    <x v="7"/>
    <n v="79"/>
    <n v="1"/>
    <n v="27"/>
    <n v="39"/>
    <x v="0"/>
    <x v="2"/>
    <n v="9.5"/>
  </r>
  <r>
    <x v="987"/>
    <s v="FN989"/>
    <s v="LN989"/>
    <x v="0"/>
    <n v="29"/>
    <x v="1"/>
    <x v="1"/>
    <x v="1"/>
    <x v="2"/>
    <x v="1"/>
    <s v="2023-07-02"/>
    <m/>
    <x v="0"/>
    <x v="25"/>
    <x v="0"/>
    <x v="30"/>
    <x v="987"/>
    <n v="9"/>
    <x v="23"/>
    <n v="88"/>
    <n v="18"/>
    <n v="21"/>
    <n v="57"/>
    <x v="0"/>
    <x v="0"/>
    <n v="3.1"/>
  </r>
  <r>
    <x v="988"/>
    <s v="FN990"/>
    <s v="LN990"/>
    <x v="1"/>
    <n v="55"/>
    <x v="3"/>
    <x v="2"/>
    <x v="1"/>
    <x v="2"/>
    <x v="1"/>
    <s v="2021-08-22"/>
    <m/>
    <x v="0"/>
    <x v="54"/>
    <x v="1"/>
    <x v="21"/>
    <x v="988"/>
    <n v="22"/>
    <x v="13"/>
    <n v="87"/>
    <n v="0"/>
    <n v="46"/>
    <n v="58"/>
    <x v="0"/>
    <x v="1"/>
    <n v="4.9000000000000004"/>
  </r>
  <r>
    <x v="989"/>
    <s v="FN991"/>
    <s v="LN991"/>
    <x v="0"/>
    <n v="54"/>
    <x v="3"/>
    <x v="2"/>
    <x v="2"/>
    <x v="1"/>
    <x v="0"/>
    <s v="2017-08-15"/>
    <m/>
    <x v="0"/>
    <x v="28"/>
    <x v="2"/>
    <x v="16"/>
    <x v="989"/>
    <n v="20"/>
    <x v="19"/>
    <n v="68"/>
    <n v="6"/>
    <n v="37"/>
    <n v="53"/>
    <x v="0"/>
    <x v="1"/>
    <n v="9"/>
  </r>
  <r>
    <x v="990"/>
    <s v="FN992"/>
    <s v="LN992"/>
    <x v="0"/>
    <n v="36"/>
    <x v="2"/>
    <x v="5"/>
    <x v="3"/>
    <x v="1"/>
    <x v="0"/>
    <s v="2017-04-04"/>
    <s v="2025-03-10"/>
    <x v="1"/>
    <x v="16"/>
    <x v="1"/>
    <x v="33"/>
    <x v="990"/>
    <n v="17"/>
    <x v="15"/>
    <n v="67"/>
    <n v="4"/>
    <n v="58"/>
    <n v="40"/>
    <x v="0"/>
    <x v="0"/>
    <n v="9.3000000000000007"/>
  </r>
  <r>
    <x v="991"/>
    <s v="FN993"/>
    <s v="LN993"/>
    <x v="0"/>
    <n v="57"/>
    <x v="5"/>
    <x v="6"/>
    <x v="2"/>
    <x v="0"/>
    <x v="1"/>
    <s v="2024-06-17"/>
    <m/>
    <x v="0"/>
    <x v="21"/>
    <x v="2"/>
    <x v="8"/>
    <x v="991"/>
    <n v="11"/>
    <x v="20"/>
    <n v="60"/>
    <n v="5"/>
    <n v="51"/>
    <n v="42"/>
    <x v="0"/>
    <x v="2"/>
    <n v="2.1"/>
  </r>
  <r>
    <x v="992"/>
    <s v="FN994"/>
    <s v="LN994"/>
    <x v="1"/>
    <n v="35"/>
    <x v="2"/>
    <x v="3"/>
    <x v="3"/>
    <x v="1"/>
    <x v="1"/>
    <s v="2021-03-09"/>
    <m/>
    <x v="0"/>
    <x v="49"/>
    <x v="2"/>
    <x v="10"/>
    <x v="992"/>
    <n v="15"/>
    <x v="16"/>
    <n v="71"/>
    <n v="17"/>
    <n v="2"/>
    <n v="71"/>
    <x v="0"/>
    <x v="0"/>
    <n v="5.4"/>
  </r>
  <r>
    <x v="993"/>
    <s v="FN995"/>
    <s v="LN995"/>
    <x v="0"/>
    <n v="51"/>
    <x v="5"/>
    <x v="8"/>
    <x v="3"/>
    <x v="0"/>
    <x v="0"/>
    <s v="2016-06-14"/>
    <m/>
    <x v="0"/>
    <x v="22"/>
    <x v="1"/>
    <x v="34"/>
    <x v="993"/>
    <n v="21"/>
    <x v="4"/>
    <n v="61"/>
    <n v="16"/>
    <n v="34"/>
    <n v="77"/>
    <x v="1"/>
    <x v="1"/>
    <n v="10.1"/>
  </r>
  <r>
    <x v="994"/>
    <s v="FN996"/>
    <s v="LN996"/>
    <x v="0"/>
    <n v="41"/>
    <x v="1"/>
    <x v="4"/>
    <x v="4"/>
    <x v="1"/>
    <x v="0"/>
    <s v="2020-06-05"/>
    <m/>
    <x v="0"/>
    <x v="28"/>
    <x v="0"/>
    <x v="4"/>
    <x v="994"/>
    <n v="9"/>
    <x v="7"/>
    <n v="72"/>
    <n v="16"/>
    <n v="3"/>
    <n v="30"/>
    <x v="1"/>
    <x v="2"/>
    <n v="6.2"/>
  </r>
  <r>
    <x v="995"/>
    <s v="FN997"/>
    <s v="LN997"/>
    <x v="1"/>
    <n v="48"/>
    <x v="1"/>
    <x v="4"/>
    <x v="4"/>
    <x v="2"/>
    <x v="1"/>
    <s v="2017-11-03"/>
    <m/>
    <x v="0"/>
    <x v="14"/>
    <x v="2"/>
    <x v="13"/>
    <x v="995"/>
    <n v="21"/>
    <x v="7"/>
    <n v="53"/>
    <n v="0"/>
    <n v="10"/>
    <n v="25"/>
    <x v="1"/>
    <x v="2"/>
    <n v="8.6999999999999993"/>
  </r>
  <r>
    <x v="996"/>
    <s v="FN998"/>
    <s v="LN998"/>
    <x v="0"/>
    <n v="23"/>
    <x v="3"/>
    <x v="2"/>
    <x v="4"/>
    <x v="2"/>
    <x v="1"/>
    <s v="2018-12-15"/>
    <m/>
    <x v="0"/>
    <x v="73"/>
    <x v="0"/>
    <x v="14"/>
    <x v="996"/>
    <n v="16"/>
    <x v="12"/>
    <n v="52"/>
    <n v="16"/>
    <n v="21"/>
    <n v="19"/>
    <x v="1"/>
    <x v="0"/>
    <n v="7.6"/>
  </r>
  <r>
    <x v="997"/>
    <s v="FN999"/>
    <s v="LN999"/>
    <x v="0"/>
    <n v="36"/>
    <x v="1"/>
    <x v="4"/>
    <x v="0"/>
    <x v="2"/>
    <x v="0"/>
    <s v="2020-10-13"/>
    <s v="2022-11-25"/>
    <x v="1"/>
    <x v="48"/>
    <x v="1"/>
    <x v="12"/>
    <x v="997"/>
    <n v="10"/>
    <x v="12"/>
    <n v="60"/>
    <n v="6"/>
    <n v="26"/>
    <n v="33"/>
    <x v="0"/>
    <x v="0"/>
    <n v="5.8"/>
  </r>
  <r>
    <x v="998"/>
    <s v="FN1000"/>
    <s v="LN1000"/>
    <x v="1"/>
    <n v="34"/>
    <x v="1"/>
    <x v="1"/>
    <x v="1"/>
    <x v="0"/>
    <x v="1"/>
    <s v="2024-06-21"/>
    <m/>
    <x v="0"/>
    <x v="25"/>
    <x v="0"/>
    <x v="35"/>
    <x v="998"/>
    <n v="17"/>
    <x v="22"/>
    <n v="54"/>
    <n v="18"/>
    <n v="0"/>
    <n v="42"/>
    <x v="1"/>
    <x v="2"/>
    <n v="2.1"/>
  </r>
  <r>
    <x v="999"/>
    <s v="FN1001"/>
    <s v="LN1001"/>
    <x v="0"/>
    <n v="27"/>
    <x v="2"/>
    <x v="3"/>
    <x v="3"/>
    <x v="1"/>
    <x v="1"/>
    <s v="2021-09-22"/>
    <m/>
    <x v="0"/>
    <x v="23"/>
    <x v="2"/>
    <x v="20"/>
    <x v="999"/>
    <n v="10"/>
    <x v="4"/>
    <n v="94"/>
    <n v="7"/>
    <n v="14"/>
    <n v="15"/>
    <x v="0"/>
    <x v="0"/>
    <n v="4.9000000000000004"/>
  </r>
  <r>
    <x v="1000"/>
    <m/>
    <m/>
    <x v="2"/>
    <m/>
    <x v="6"/>
    <x v="11"/>
    <x v="5"/>
    <x v="3"/>
    <x v="2"/>
    <m/>
    <m/>
    <x v="2"/>
    <x v="80"/>
    <x v="3"/>
    <x v="36"/>
    <x v="1000"/>
    <m/>
    <x v="26"/>
    <m/>
    <m/>
    <m/>
    <m/>
    <x v="2"/>
    <x v="3"/>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00001"/>
    <s v="FN2"/>
    <s v="LN2"/>
    <x v="0"/>
    <n v="52"/>
    <x v="0"/>
    <x v="0"/>
    <x v="0"/>
    <x v="0"/>
    <x v="0"/>
    <x v="0"/>
    <m/>
    <x v="0"/>
    <x v="0"/>
    <s v="MBA"/>
    <n v="21"/>
    <n v="118808"/>
    <x v="0"/>
    <x v="0"/>
    <x v="0"/>
    <n v="8"/>
    <n v="45"/>
    <n v="35"/>
    <x v="0"/>
    <x v="0"/>
    <n v="4.8"/>
  </r>
  <r>
    <s v="E00002"/>
    <s v="FN3"/>
    <s v="LN3"/>
    <x v="1"/>
    <n v="24"/>
    <x v="1"/>
    <x v="1"/>
    <x v="1"/>
    <x v="1"/>
    <x v="1"/>
    <x v="1"/>
    <m/>
    <x v="0"/>
    <x v="1"/>
    <s v="Master"/>
    <n v="9"/>
    <n v="71860"/>
    <x v="1"/>
    <x v="1"/>
    <x v="1"/>
    <n v="20"/>
    <n v="50"/>
    <n v="52"/>
    <x v="0"/>
    <x v="0"/>
    <n v="1"/>
  </r>
  <r>
    <s v="E00003"/>
    <s v="FN4"/>
    <s v="LN4"/>
    <x v="0"/>
    <n v="59"/>
    <x v="0"/>
    <x v="2"/>
    <x v="2"/>
    <x v="2"/>
    <x v="1"/>
    <x v="2"/>
    <m/>
    <x v="0"/>
    <x v="2"/>
    <s v="Bachelor"/>
    <n v="31"/>
    <n v="63154"/>
    <x v="2"/>
    <x v="1"/>
    <x v="2"/>
    <n v="3"/>
    <n v="49"/>
    <n v="46"/>
    <x v="1"/>
    <x v="1"/>
    <n v="1.4"/>
  </r>
  <r>
    <s v="E00004"/>
    <s v="FN5"/>
    <s v="LN5"/>
    <x v="1"/>
    <n v="55"/>
    <x v="0"/>
    <x v="0"/>
    <x v="3"/>
    <x v="0"/>
    <x v="0"/>
    <x v="3"/>
    <m/>
    <x v="0"/>
    <x v="3"/>
    <s v="Master"/>
    <n v="8"/>
    <n v="80425"/>
    <x v="1"/>
    <x v="2"/>
    <x v="3"/>
    <n v="6"/>
    <n v="25"/>
    <n v="12"/>
    <x v="1"/>
    <x v="0"/>
    <n v="4.3"/>
  </r>
  <r>
    <s v="E00005"/>
    <s v="FN6"/>
    <s v="LN6"/>
    <x v="1"/>
    <n v="33"/>
    <x v="2"/>
    <x v="3"/>
    <x v="1"/>
    <x v="2"/>
    <x v="0"/>
    <x v="4"/>
    <s v="2023-05-21"/>
    <x v="1"/>
    <x v="4"/>
    <s v="MBA"/>
    <n v="27"/>
    <n v="174254"/>
    <x v="2"/>
    <x v="3"/>
    <x v="4"/>
    <n v="18"/>
    <n v="37"/>
    <n v="66"/>
    <x v="1"/>
    <x v="2"/>
    <n v="5.3"/>
  </r>
  <r>
    <s v="E00006"/>
    <s v="FN7"/>
    <s v="LN7"/>
    <x v="1"/>
    <n v="57"/>
    <x v="1"/>
    <x v="4"/>
    <x v="4"/>
    <x v="0"/>
    <x v="0"/>
    <x v="5"/>
    <s v="2031-10-06"/>
    <x v="1"/>
    <x v="5"/>
    <s v="MBA"/>
    <n v="6"/>
    <n v="149920"/>
    <x v="2"/>
    <x v="4"/>
    <x v="5"/>
    <n v="13"/>
    <n v="5"/>
    <n v="32"/>
    <x v="1"/>
    <x v="1"/>
    <n v="2.2000000000000002"/>
  </r>
  <r>
    <s v="E00007"/>
    <s v="FN8"/>
    <s v="LN8"/>
    <x v="1"/>
    <n v="49"/>
    <x v="3"/>
    <x v="2"/>
    <x v="0"/>
    <x v="1"/>
    <x v="1"/>
    <x v="6"/>
    <s v="2022-03-22"/>
    <x v="1"/>
    <x v="6"/>
    <s v="MBA"/>
    <n v="19"/>
    <n v="163556"/>
    <x v="3"/>
    <x v="4"/>
    <x v="5"/>
    <n v="5"/>
    <n v="15"/>
    <n v="31"/>
    <x v="0"/>
    <x v="0"/>
    <n v="5.9"/>
  </r>
  <r>
    <s v="E00008"/>
    <s v="FN9"/>
    <s v="LN9"/>
    <x v="1"/>
    <n v="49"/>
    <x v="2"/>
    <x v="5"/>
    <x v="0"/>
    <x v="1"/>
    <x v="1"/>
    <x v="7"/>
    <m/>
    <x v="0"/>
    <x v="7"/>
    <s v="Bachelor"/>
    <n v="23"/>
    <n v="164177"/>
    <x v="4"/>
    <x v="2"/>
    <x v="6"/>
    <n v="2"/>
    <n v="56"/>
    <n v="72"/>
    <x v="0"/>
    <x v="1"/>
    <n v="0.8"/>
  </r>
  <r>
    <s v="E00009"/>
    <s v="FN10"/>
    <s v="LN10"/>
    <x v="1"/>
    <n v="28"/>
    <x v="4"/>
    <x v="6"/>
    <x v="1"/>
    <x v="1"/>
    <x v="0"/>
    <x v="8"/>
    <m/>
    <x v="0"/>
    <x v="8"/>
    <s v="Master"/>
    <n v="14"/>
    <n v="95051"/>
    <x v="3"/>
    <x v="5"/>
    <x v="7"/>
    <n v="1"/>
    <n v="29"/>
    <n v="47"/>
    <x v="0"/>
    <x v="0"/>
    <n v="6"/>
  </r>
  <r>
    <s v="E00010"/>
    <s v="FN11"/>
    <s v="LN11"/>
    <x v="0"/>
    <n v="44"/>
    <x v="4"/>
    <x v="2"/>
    <x v="4"/>
    <x v="1"/>
    <x v="0"/>
    <x v="9"/>
    <m/>
    <x v="0"/>
    <x v="9"/>
    <s v="Bachelor"/>
    <n v="7"/>
    <n v="80971"/>
    <x v="0"/>
    <x v="6"/>
    <x v="8"/>
    <n v="2"/>
    <n v="35"/>
    <n v="19"/>
    <x v="1"/>
    <x v="0"/>
    <n v="4.5999999999999996"/>
  </r>
  <r>
    <s v="E00011"/>
    <s v="FN12"/>
    <s v="LN12"/>
    <x v="1"/>
    <n v="41"/>
    <x v="2"/>
    <x v="3"/>
    <x v="4"/>
    <x v="1"/>
    <x v="0"/>
    <x v="10"/>
    <m/>
    <x v="0"/>
    <x v="3"/>
    <s v="Bachelor"/>
    <n v="10"/>
    <n v="79334"/>
    <x v="1"/>
    <x v="7"/>
    <x v="7"/>
    <n v="20"/>
    <n v="15"/>
    <n v="8"/>
    <x v="0"/>
    <x v="1"/>
    <n v="10"/>
  </r>
  <r>
    <s v="E00012"/>
    <s v="FN13"/>
    <s v="LN13"/>
    <x v="0"/>
    <n v="55"/>
    <x v="0"/>
    <x v="0"/>
    <x v="1"/>
    <x v="2"/>
    <x v="1"/>
    <x v="11"/>
    <m/>
    <x v="0"/>
    <x v="10"/>
    <s v="Bachelor"/>
    <n v="33"/>
    <n v="54114"/>
    <x v="5"/>
    <x v="6"/>
    <x v="9"/>
    <n v="15"/>
    <n v="49"/>
    <n v="15"/>
    <x v="1"/>
    <x v="1"/>
    <n v="4.8"/>
  </r>
  <r>
    <s v="E00013"/>
    <s v="FN14"/>
    <s v="LN14"/>
    <x v="1"/>
    <n v="35"/>
    <x v="5"/>
    <x v="2"/>
    <x v="4"/>
    <x v="2"/>
    <x v="0"/>
    <x v="12"/>
    <m/>
    <x v="0"/>
    <x v="11"/>
    <s v="MBA"/>
    <n v="33"/>
    <n v="96554"/>
    <x v="6"/>
    <x v="8"/>
    <x v="10"/>
    <n v="10"/>
    <n v="28"/>
    <n v="36"/>
    <x v="0"/>
    <x v="0"/>
    <n v="7.4"/>
  </r>
  <r>
    <s v="E00014"/>
    <s v="FN15"/>
    <s v="LN15"/>
    <x v="1"/>
    <n v="34"/>
    <x v="1"/>
    <x v="4"/>
    <x v="1"/>
    <x v="2"/>
    <x v="0"/>
    <x v="13"/>
    <m/>
    <x v="0"/>
    <x v="12"/>
    <s v="MBA"/>
    <n v="18"/>
    <n v="49646"/>
    <x v="3"/>
    <x v="9"/>
    <x v="11"/>
    <n v="0"/>
    <n v="19"/>
    <n v="45"/>
    <x v="1"/>
    <x v="0"/>
    <n v="9.3000000000000007"/>
  </r>
  <r>
    <s v="E00015"/>
    <s v="FN16"/>
    <s v="LN16"/>
    <x v="0"/>
    <n v="27"/>
    <x v="2"/>
    <x v="7"/>
    <x v="1"/>
    <x v="2"/>
    <x v="1"/>
    <x v="14"/>
    <m/>
    <x v="0"/>
    <x v="13"/>
    <s v="Master"/>
    <n v="16"/>
    <n v="108457"/>
    <x v="3"/>
    <x v="10"/>
    <x v="12"/>
    <n v="13"/>
    <n v="58"/>
    <n v="18"/>
    <x v="0"/>
    <x v="1"/>
    <n v="0.5"/>
  </r>
  <r>
    <s v="E00016"/>
    <s v="FN17"/>
    <s v="LN17"/>
    <x v="0"/>
    <n v="43"/>
    <x v="5"/>
    <x v="8"/>
    <x v="3"/>
    <x v="2"/>
    <x v="0"/>
    <x v="15"/>
    <m/>
    <x v="0"/>
    <x v="14"/>
    <s v="Bachelor"/>
    <n v="29"/>
    <n v="155394"/>
    <x v="7"/>
    <x v="11"/>
    <x v="13"/>
    <n v="7"/>
    <n v="7"/>
    <n v="77"/>
    <x v="1"/>
    <x v="0"/>
    <n v="1.3"/>
  </r>
  <r>
    <s v="E00017"/>
    <s v="FN18"/>
    <s v="LN18"/>
    <x v="0"/>
    <n v="55"/>
    <x v="4"/>
    <x v="9"/>
    <x v="4"/>
    <x v="2"/>
    <x v="1"/>
    <x v="16"/>
    <m/>
    <x v="0"/>
    <x v="15"/>
    <s v="Master"/>
    <n v="29"/>
    <n v="150830"/>
    <x v="3"/>
    <x v="1"/>
    <x v="14"/>
    <n v="1"/>
    <n v="47"/>
    <n v="12"/>
    <x v="0"/>
    <x v="1"/>
    <n v="7.4"/>
  </r>
  <r>
    <s v="E00018"/>
    <s v="FN19"/>
    <s v="LN19"/>
    <x v="0"/>
    <n v="44"/>
    <x v="2"/>
    <x v="7"/>
    <x v="3"/>
    <x v="2"/>
    <x v="1"/>
    <x v="17"/>
    <s v="2024-02-15"/>
    <x v="1"/>
    <x v="16"/>
    <s v="Bachelor"/>
    <n v="7"/>
    <n v="111389"/>
    <x v="6"/>
    <x v="12"/>
    <x v="15"/>
    <n v="13"/>
    <n v="58"/>
    <n v="75"/>
    <x v="1"/>
    <x v="0"/>
    <n v="10"/>
  </r>
  <r>
    <s v="E00019"/>
    <s v="FN20"/>
    <s v="LN20"/>
    <x v="1"/>
    <n v="34"/>
    <x v="5"/>
    <x v="8"/>
    <x v="3"/>
    <x v="2"/>
    <x v="0"/>
    <x v="18"/>
    <m/>
    <x v="0"/>
    <x v="4"/>
    <s v="Master"/>
    <n v="33"/>
    <n v="88194"/>
    <x v="8"/>
    <x v="4"/>
    <x v="10"/>
    <n v="15"/>
    <n v="51"/>
    <n v="59"/>
    <x v="0"/>
    <x v="1"/>
    <n v="2.2000000000000002"/>
  </r>
  <r>
    <s v="E00020"/>
    <s v="FN21"/>
    <s v="LN21"/>
    <x v="0"/>
    <n v="43"/>
    <x v="2"/>
    <x v="7"/>
    <x v="2"/>
    <x v="2"/>
    <x v="1"/>
    <x v="19"/>
    <s v="2025-03-06"/>
    <x v="1"/>
    <x v="17"/>
    <s v="MBA"/>
    <n v="5"/>
    <n v="144840"/>
    <x v="9"/>
    <x v="13"/>
    <x v="6"/>
    <n v="17"/>
    <n v="20"/>
    <n v="56"/>
    <x v="0"/>
    <x v="0"/>
    <n v="4.8"/>
  </r>
  <r>
    <s v="E00021"/>
    <s v="FN22"/>
    <s v="LN22"/>
    <x v="0"/>
    <n v="37"/>
    <x v="1"/>
    <x v="1"/>
    <x v="0"/>
    <x v="0"/>
    <x v="0"/>
    <x v="20"/>
    <m/>
    <x v="0"/>
    <x v="18"/>
    <s v="MBA"/>
    <n v="10"/>
    <n v="101298"/>
    <x v="3"/>
    <x v="1"/>
    <x v="7"/>
    <n v="9"/>
    <n v="2"/>
    <n v="62"/>
    <x v="1"/>
    <x v="0"/>
    <n v="1.8"/>
  </r>
  <r>
    <s v="E00022"/>
    <s v="FN23"/>
    <s v="LN23"/>
    <x v="0"/>
    <n v="37"/>
    <x v="2"/>
    <x v="5"/>
    <x v="3"/>
    <x v="0"/>
    <x v="1"/>
    <x v="21"/>
    <m/>
    <x v="0"/>
    <x v="19"/>
    <s v="MBA"/>
    <n v="34"/>
    <n v="111643"/>
    <x v="10"/>
    <x v="14"/>
    <x v="16"/>
    <n v="13"/>
    <n v="45"/>
    <n v="26"/>
    <x v="0"/>
    <x v="1"/>
    <n v="7.6"/>
  </r>
  <r>
    <s v="E00023"/>
    <s v="FN24"/>
    <s v="LN24"/>
    <x v="0"/>
    <n v="29"/>
    <x v="1"/>
    <x v="4"/>
    <x v="3"/>
    <x v="1"/>
    <x v="1"/>
    <x v="22"/>
    <m/>
    <x v="0"/>
    <x v="20"/>
    <s v="Master"/>
    <n v="8"/>
    <n v="112822"/>
    <x v="11"/>
    <x v="11"/>
    <x v="13"/>
    <n v="4"/>
    <n v="26"/>
    <n v="33"/>
    <x v="0"/>
    <x v="1"/>
    <n v="6.8"/>
  </r>
  <r>
    <s v="E00024"/>
    <s v="FN25"/>
    <s v="LN25"/>
    <x v="1"/>
    <n v="42"/>
    <x v="2"/>
    <x v="3"/>
    <x v="4"/>
    <x v="1"/>
    <x v="0"/>
    <x v="23"/>
    <m/>
    <x v="0"/>
    <x v="5"/>
    <s v="MBA"/>
    <n v="3"/>
    <n v="71920"/>
    <x v="5"/>
    <x v="8"/>
    <x v="13"/>
    <n v="3"/>
    <n v="35"/>
    <n v="24"/>
    <x v="1"/>
    <x v="2"/>
    <n v="7"/>
  </r>
  <r>
    <s v="E00025"/>
    <s v="FN26"/>
    <s v="LN26"/>
    <x v="1"/>
    <n v="60"/>
    <x v="1"/>
    <x v="4"/>
    <x v="3"/>
    <x v="0"/>
    <x v="0"/>
    <x v="24"/>
    <m/>
    <x v="0"/>
    <x v="21"/>
    <s v="Master"/>
    <n v="32"/>
    <n v="61594"/>
    <x v="3"/>
    <x v="15"/>
    <x v="17"/>
    <n v="18"/>
    <n v="31"/>
    <n v="38"/>
    <x v="0"/>
    <x v="2"/>
    <n v="5"/>
  </r>
  <r>
    <s v="E00026"/>
    <s v="FN27"/>
    <s v="LN27"/>
    <x v="1"/>
    <n v="26"/>
    <x v="4"/>
    <x v="2"/>
    <x v="2"/>
    <x v="2"/>
    <x v="0"/>
    <x v="25"/>
    <m/>
    <x v="0"/>
    <x v="22"/>
    <s v="Master"/>
    <n v="7"/>
    <n v="136872"/>
    <x v="8"/>
    <x v="9"/>
    <x v="11"/>
    <n v="13"/>
    <n v="60"/>
    <n v="71"/>
    <x v="1"/>
    <x v="1"/>
    <n v="8.9"/>
  </r>
  <r>
    <s v="E00027"/>
    <s v="FN28"/>
    <s v="LN28"/>
    <x v="1"/>
    <n v="21"/>
    <x v="1"/>
    <x v="1"/>
    <x v="0"/>
    <x v="1"/>
    <x v="0"/>
    <x v="26"/>
    <m/>
    <x v="0"/>
    <x v="23"/>
    <s v="Bachelor"/>
    <n v="27"/>
    <n v="76726"/>
    <x v="12"/>
    <x v="1"/>
    <x v="2"/>
    <n v="6"/>
    <n v="17"/>
    <n v="65"/>
    <x v="1"/>
    <x v="2"/>
    <n v="9.6999999999999993"/>
  </r>
  <r>
    <s v="E00028"/>
    <s v="FN29"/>
    <s v="LN29"/>
    <x v="1"/>
    <n v="23"/>
    <x v="4"/>
    <x v="2"/>
    <x v="1"/>
    <x v="2"/>
    <x v="1"/>
    <x v="27"/>
    <m/>
    <x v="0"/>
    <x v="24"/>
    <s v="MBA"/>
    <n v="27"/>
    <n v="156168"/>
    <x v="4"/>
    <x v="2"/>
    <x v="10"/>
    <n v="13"/>
    <n v="16"/>
    <n v="61"/>
    <x v="0"/>
    <x v="1"/>
    <n v="8.6999999999999993"/>
  </r>
  <r>
    <s v="E00029"/>
    <s v="FN30"/>
    <s v="LN30"/>
    <x v="1"/>
    <n v="42"/>
    <x v="1"/>
    <x v="4"/>
    <x v="2"/>
    <x v="0"/>
    <x v="1"/>
    <x v="28"/>
    <m/>
    <x v="0"/>
    <x v="25"/>
    <s v="MBA"/>
    <n v="23"/>
    <n v="144008"/>
    <x v="8"/>
    <x v="7"/>
    <x v="18"/>
    <n v="7"/>
    <n v="34"/>
    <n v="64"/>
    <x v="0"/>
    <x v="2"/>
    <n v="2.7"/>
  </r>
  <r>
    <s v="E00030"/>
    <s v="FN31"/>
    <s v="LN31"/>
    <x v="1"/>
    <n v="33"/>
    <x v="2"/>
    <x v="7"/>
    <x v="4"/>
    <x v="2"/>
    <x v="1"/>
    <x v="29"/>
    <m/>
    <x v="0"/>
    <x v="26"/>
    <s v="Master"/>
    <n v="23"/>
    <n v="159451"/>
    <x v="10"/>
    <x v="16"/>
    <x v="2"/>
    <n v="18"/>
    <n v="53"/>
    <n v="78"/>
    <x v="1"/>
    <x v="2"/>
    <n v="1.3"/>
  </r>
  <r>
    <s v="E00031"/>
    <s v="FN32"/>
    <s v="LN32"/>
    <x v="0"/>
    <n v="38"/>
    <x v="3"/>
    <x v="2"/>
    <x v="2"/>
    <x v="1"/>
    <x v="1"/>
    <x v="30"/>
    <m/>
    <x v="0"/>
    <x v="27"/>
    <s v="Master"/>
    <n v="26"/>
    <n v="148132"/>
    <x v="3"/>
    <x v="14"/>
    <x v="19"/>
    <n v="14"/>
    <n v="11"/>
    <n v="1"/>
    <x v="1"/>
    <x v="1"/>
    <n v="0.9"/>
  </r>
  <r>
    <s v="E00032"/>
    <s v="FN33"/>
    <s v="LN33"/>
    <x v="0"/>
    <n v="29"/>
    <x v="4"/>
    <x v="6"/>
    <x v="3"/>
    <x v="0"/>
    <x v="1"/>
    <x v="31"/>
    <m/>
    <x v="0"/>
    <x v="28"/>
    <s v="Bachelor"/>
    <n v="12"/>
    <n v="42731"/>
    <x v="2"/>
    <x v="12"/>
    <x v="20"/>
    <n v="11"/>
    <n v="16"/>
    <n v="77"/>
    <x v="1"/>
    <x v="0"/>
    <n v="2.9"/>
  </r>
  <r>
    <s v="E00033"/>
    <s v="FN34"/>
    <s v="LN34"/>
    <x v="0"/>
    <n v="43"/>
    <x v="5"/>
    <x v="8"/>
    <x v="2"/>
    <x v="2"/>
    <x v="0"/>
    <x v="32"/>
    <m/>
    <x v="0"/>
    <x v="29"/>
    <s v="Master"/>
    <n v="33"/>
    <n v="113173"/>
    <x v="13"/>
    <x v="15"/>
    <x v="21"/>
    <n v="10"/>
    <n v="18"/>
    <n v="36"/>
    <x v="0"/>
    <x v="1"/>
    <n v="0.3"/>
  </r>
  <r>
    <s v="E00034"/>
    <s v="FN35"/>
    <s v="LN35"/>
    <x v="1"/>
    <n v="56"/>
    <x v="5"/>
    <x v="8"/>
    <x v="2"/>
    <x v="2"/>
    <x v="1"/>
    <x v="33"/>
    <m/>
    <x v="0"/>
    <x v="30"/>
    <s v="MBA"/>
    <n v="32"/>
    <n v="46855"/>
    <x v="14"/>
    <x v="17"/>
    <x v="13"/>
    <n v="17"/>
    <n v="1"/>
    <n v="13"/>
    <x v="0"/>
    <x v="2"/>
    <n v="8.5"/>
  </r>
  <r>
    <s v="E00035"/>
    <s v="FN36"/>
    <s v="LN36"/>
    <x v="1"/>
    <n v="41"/>
    <x v="2"/>
    <x v="5"/>
    <x v="1"/>
    <x v="1"/>
    <x v="1"/>
    <x v="34"/>
    <m/>
    <x v="0"/>
    <x v="2"/>
    <s v="MBA"/>
    <n v="19"/>
    <n v="170354"/>
    <x v="15"/>
    <x v="8"/>
    <x v="22"/>
    <n v="5"/>
    <n v="26"/>
    <n v="60"/>
    <x v="0"/>
    <x v="2"/>
    <n v="4.9000000000000004"/>
  </r>
  <r>
    <s v="E00036"/>
    <s v="FN37"/>
    <s v="LN37"/>
    <x v="0"/>
    <n v="33"/>
    <x v="3"/>
    <x v="2"/>
    <x v="4"/>
    <x v="0"/>
    <x v="1"/>
    <x v="35"/>
    <m/>
    <x v="0"/>
    <x v="31"/>
    <s v="Bachelor"/>
    <n v="26"/>
    <n v="145892"/>
    <x v="16"/>
    <x v="18"/>
    <x v="17"/>
    <n v="17"/>
    <n v="46"/>
    <n v="61"/>
    <x v="1"/>
    <x v="1"/>
    <n v="5.7"/>
  </r>
  <r>
    <s v="E00037"/>
    <s v="FN38"/>
    <s v="LN38"/>
    <x v="1"/>
    <n v="57"/>
    <x v="3"/>
    <x v="2"/>
    <x v="1"/>
    <x v="2"/>
    <x v="0"/>
    <x v="36"/>
    <m/>
    <x v="0"/>
    <x v="32"/>
    <s v="Master"/>
    <n v="10"/>
    <n v="40519"/>
    <x v="15"/>
    <x v="9"/>
    <x v="23"/>
    <n v="19"/>
    <n v="50"/>
    <n v="73"/>
    <x v="0"/>
    <x v="2"/>
    <n v="9.4"/>
  </r>
  <r>
    <s v="E00038"/>
    <s v="FN39"/>
    <s v="LN39"/>
    <x v="1"/>
    <n v="55"/>
    <x v="1"/>
    <x v="4"/>
    <x v="2"/>
    <x v="1"/>
    <x v="1"/>
    <x v="37"/>
    <m/>
    <x v="0"/>
    <x v="33"/>
    <s v="Bachelor"/>
    <n v="16"/>
    <n v="59440"/>
    <x v="0"/>
    <x v="19"/>
    <x v="6"/>
    <n v="12"/>
    <n v="18"/>
    <n v="2"/>
    <x v="0"/>
    <x v="1"/>
    <n v="1"/>
  </r>
  <r>
    <s v="E00039"/>
    <s v="FN40"/>
    <s v="LN40"/>
    <x v="1"/>
    <n v="54"/>
    <x v="5"/>
    <x v="2"/>
    <x v="4"/>
    <x v="1"/>
    <x v="1"/>
    <x v="38"/>
    <m/>
    <x v="0"/>
    <x v="34"/>
    <s v="MBA"/>
    <n v="35"/>
    <n v="88461"/>
    <x v="17"/>
    <x v="2"/>
    <x v="24"/>
    <n v="8"/>
    <n v="46"/>
    <n v="29"/>
    <x v="1"/>
    <x v="1"/>
    <n v="2.4"/>
  </r>
  <r>
    <s v="E00040"/>
    <s v="FN41"/>
    <s v="LN41"/>
    <x v="1"/>
    <n v="38"/>
    <x v="5"/>
    <x v="8"/>
    <x v="4"/>
    <x v="0"/>
    <x v="0"/>
    <x v="39"/>
    <m/>
    <x v="0"/>
    <x v="35"/>
    <s v="Bachelor"/>
    <n v="12"/>
    <n v="119960"/>
    <x v="14"/>
    <x v="8"/>
    <x v="25"/>
    <n v="9"/>
    <n v="30"/>
    <n v="5"/>
    <x v="1"/>
    <x v="2"/>
    <n v="9.1"/>
  </r>
  <r>
    <s v="E00041"/>
    <s v="FN42"/>
    <s v="LN42"/>
    <x v="1"/>
    <n v="38"/>
    <x v="0"/>
    <x v="0"/>
    <x v="2"/>
    <x v="1"/>
    <x v="1"/>
    <x v="40"/>
    <m/>
    <x v="0"/>
    <x v="36"/>
    <s v="MBA"/>
    <n v="14"/>
    <n v="135035"/>
    <x v="9"/>
    <x v="11"/>
    <x v="16"/>
    <n v="11"/>
    <n v="23"/>
    <n v="31"/>
    <x v="0"/>
    <x v="1"/>
    <n v="2.4"/>
  </r>
  <r>
    <s v="E00042"/>
    <s v="FN43"/>
    <s v="LN43"/>
    <x v="0"/>
    <n v="42"/>
    <x v="0"/>
    <x v="0"/>
    <x v="3"/>
    <x v="0"/>
    <x v="0"/>
    <x v="41"/>
    <m/>
    <x v="0"/>
    <x v="29"/>
    <s v="Master"/>
    <n v="35"/>
    <n v="164139"/>
    <x v="16"/>
    <x v="6"/>
    <x v="0"/>
    <n v="20"/>
    <n v="3"/>
    <n v="62"/>
    <x v="0"/>
    <x v="2"/>
    <n v="0.9"/>
  </r>
  <r>
    <s v="E00043"/>
    <s v="FN44"/>
    <s v="LN44"/>
    <x v="0"/>
    <n v="43"/>
    <x v="3"/>
    <x v="2"/>
    <x v="1"/>
    <x v="1"/>
    <x v="0"/>
    <x v="42"/>
    <m/>
    <x v="0"/>
    <x v="37"/>
    <s v="Bachelor"/>
    <n v="25"/>
    <n v="88969"/>
    <x v="9"/>
    <x v="20"/>
    <x v="0"/>
    <n v="16"/>
    <n v="51"/>
    <n v="17"/>
    <x v="1"/>
    <x v="2"/>
    <n v="4.5999999999999996"/>
  </r>
  <r>
    <s v="E00044"/>
    <s v="FN45"/>
    <s v="LN45"/>
    <x v="1"/>
    <n v="59"/>
    <x v="3"/>
    <x v="10"/>
    <x v="2"/>
    <x v="0"/>
    <x v="0"/>
    <x v="43"/>
    <m/>
    <x v="0"/>
    <x v="37"/>
    <s v="MBA"/>
    <n v="22"/>
    <n v="99375"/>
    <x v="0"/>
    <x v="9"/>
    <x v="26"/>
    <n v="16"/>
    <n v="38"/>
    <n v="66"/>
    <x v="0"/>
    <x v="1"/>
    <n v="2.5"/>
  </r>
  <r>
    <s v="E00045"/>
    <s v="FN46"/>
    <s v="LN46"/>
    <x v="0"/>
    <n v="37"/>
    <x v="5"/>
    <x v="2"/>
    <x v="2"/>
    <x v="0"/>
    <x v="1"/>
    <x v="11"/>
    <m/>
    <x v="0"/>
    <x v="38"/>
    <s v="Bachelor"/>
    <n v="14"/>
    <n v="144089"/>
    <x v="18"/>
    <x v="16"/>
    <x v="27"/>
    <n v="17"/>
    <n v="36"/>
    <n v="59"/>
    <x v="0"/>
    <x v="2"/>
    <n v="4.8"/>
  </r>
  <r>
    <s v="E00046"/>
    <s v="FN47"/>
    <s v="LN47"/>
    <x v="1"/>
    <n v="55"/>
    <x v="0"/>
    <x v="0"/>
    <x v="3"/>
    <x v="1"/>
    <x v="0"/>
    <x v="44"/>
    <m/>
    <x v="0"/>
    <x v="21"/>
    <s v="MBA"/>
    <n v="4"/>
    <n v="113866"/>
    <x v="11"/>
    <x v="21"/>
    <x v="28"/>
    <n v="5"/>
    <n v="34"/>
    <n v="24"/>
    <x v="0"/>
    <x v="2"/>
    <n v="6"/>
  </r>
  <r>
    <s v="E00047"/>
    <s v="FN48"/>
    <s v="LN48"/>
    <x v="0"/>
    <n v="50"/>
    <x v="0"/>
    <x v="2"/>
    <x v="3"/>
    <x v="2"/>
    <x v="1"/>
    <x v="45"/>
    <m/>
    <x v="0"/>
    <x v="39"/>
    <s v="MBA"/>
    <n v="18"/>
    <n v="126342"/>
    <x v="17"/>
    <x v="22"/>
    <x v="27"/>
    <n v="19"/>
    <n v="13"/>
    <n v="74"/>
    <x v="0"/>
    <x v="0"/>
    <n v="3"/>
  </r>
  <r>
    <s v="E00048"/>
    <s v="FN49"/>
    <s v="LN49"/>
    <x v="1"/>
    <n v="46"/>
    <x v="3"/>
    <x v="2"/>
    <x v="4"/>
    <x v="0"/>
    <x v="1"/>
    <x v="46"/>
    <m/>
    <x v="0"/>
    <x v="40"/>
    <s v="Master"/>
    <n v="20"/>
    <n v="95522"/>
    <x v="18"/>
    <x v="17"/>
    <x v="23"/>
    <n v="15"/>
    <n v="33"/>
    <n v="45"/>
    <x v="0"/>
    <x v="2"/>
    <n v="2.2000000000000002"/>
  </r>
  <r>
    <s v="E00049"/>
    <s v="FN50"/>
    <s v="LN50"/>
    <x v="0"/>
    <n v="28"/>
    <x v="1"/>
    <x v="4"/>
    <x v="2"/>
    <x v="1"/>
    <x v="1"/>
    <x v="47"/>
    <m/>
    <x v="0"/>
    <x v="3"/>
    <s v="Master"/>
    <n v="25"/>
    <n v="107006"/>
    <x v="8"/>
    <x v="23"/>
    <x v="22"/>
    <n v="15"/>
    <n v="3"/>
    <n v="36"/>
    <x v="0"/>
    <x v="2"/>
    <n v="6.9"/>
  </r>
  <r>
    <s v="E00050"/>
    <s v="FN51"/>
    <s v="LN51"/>
    <x v="0"/>
    <n v="39"/>
    <x v="0"/>
    <x v="0"/>
    <x v="1"/>
    <x v="0"/>
    <x v="1"/>
    <x v="48"/>
    <m/>
    <x v="0"/>
    <x v="41"/>
    <s v="MBA"/>
    <n v="12"/>
    <n v="123085"/>
    <x v="4"/>
    <x v="5"/>
    <x v="29"/>
    <n v="14"/>
    <n v="37"/>
    <n v="21"/>
    <x v="0"/>
    <x v="2"/>
    <n v="2.5"/>
  </r>
  <r>
    <s v="E00051"/>
    <s v="FN52"/>
    <s v="LN52"/>
    <x v="1"/>
    <n v="35"/>
    <x v="1"/>
    <x v="1"/>
    <x v="0"/>
    <x v="0"/>
    <x v="0"/>
    <x v="49"/>
    <m/>
    <x v="0"/>
    <x v="42"/>
    <s v="MBA"/>
    <n v="4"/>
    <n v="171028"/>
    <x v="19"/>
    <x v="6"/>
    <x v="30"/>
    <n v="4"/>
    <n v="31"/>
    <n v="0"/>
    <x v="1"/>
    <x v="0"/>
    <n v="4.5999999999999996"/>
  </r>
  <r>
    <s v="E00052"/>
    <s v="FN53"/>
    <s v="LN53"/>
    <x v="0"/>
    <n v="26"/>
    <x v="3"/>
    <x v="10"/>
    <x v="4"/>
    <x v="1"/>
    <x v="1"/>
    <x v="50"/>
    <m/>
    <x v="0"/>
    <x v="39"/>
    <s v="Master"/>
    <n v="4"/>
    <n v="161466"/>
    <x v="19"/>
    <x v="24"/>
    <x v="8"/>
    <n v="13"/>
    <n v="29"/>
    <n v="32"/>
    <x v="1"/>
    <x v="1"/>
    <n v="8.5"/>
  </r>
  <r>
    <s v="E00053"/>
    <s v="FN54"/>
    <s v="LN54"/>
    <x v="0"/>
    <n v="58"/>
    <x v="1"/>
    <x v="4"/>
    <x v="3"/>
    <x v="1"/>
    <x v="0"/>
    <x v="51"/>
    <m/>
    <x v="0"/>
    <x v="43"/>
    <s v="Bachelor"/>
    <n v="6"/>
    <n v="54929"/>
    <x v="7"/>
    <x v="17"/>
    <x v="1"/>
    <n v="2"/>
    <n v="4"/>
    <n v="55"/>
    <x v="0"/>
    <x v="1"/>
    <n v="7.5"/>
  </r>
  <r>
    <s v="E00054"/>
    <s v="FN55"/>
    <s v="LN55"/>
    <x v="1"/>
    <n v="39"/>
    <x v="2"/>
    <x v="3"/>
    <x v="0"/>
    <x v="0"/>
    <x v="0"/>
    <x v="52"/>
    <m/>
    <x v="0"/>
    <x v="44"/>
    <s v="Bachelor"/>
    <n v="15"/>
    <n v="70254"/>
    <x v="11"/>
    <x v="22"/>
    <x v="6"/>
    <n v="10"/>
    <n v="55"/>
    <n v="52"/>
    <x v="1"/>
    <x v="0"/>
    <n v="7.9"/>
  </r>
  <r>
    <s v="E00055"/>
    <s v="FN56"/>
    <s v="LN56"/>
    <x v="0"/>
    <n v="26"/>
    <x v="3"/>
    <x v="10"/>
    <x v="4"/>
    <x v="2"/>
    <x v="0"/>
    <x v="53"/>
    <m/>
    <x v="0"/>
    <x v="45"/>
    <s v="MBA"/>
    <n v="32"/>
    <n v="116475"/>
    <x v="18"/>
    <x v="3"/>
    <x v="31"/>
    <n v="3"/>
    <n v="54"/>
    <n v="53"/>
    <x v="1"/>
    <x v="2"/>
    <n v="7.9"/>
  </r>
  <r>
    <s v="E00056"/>
    <s v="FN57"/>
    <s v="LN57"/>
    <x v="1"/>
    <n v="45"/>
    <x v="5"/>
    <x v="8"/>
    <x v="1"/>
    <x v="1"/>
    <x v="0"/>
    <x v="7"/>
    <m/>
    <x v="0"/>
    <x v="46"/>
    <s v="MBA"/>
    <n v="28"/>
    <n v="177432"/>
    <x v="0"/>
    <x v="25"/>
    <x v="32"/>
    <n v="5"/>
    <n v="36"/>
    <n v="0"/>
    <x v="1"/>
    <x v="0"/>
    <n v="0.8"/>
  </r>
  <r>
    <s v="E00057"/>
    <s v="FN58"/>
    <s v="LN58"/>
    <x v="1"/>
    <n v="36"/>
    <x v="0"/>
    <x v="2"/>
    <x v="1"/>
    <x v="2"/>
    <x v="1"/>
    <x v="54"/>
    <m/>
    <x v="0"/>
    <x v="47"/>
    <s v="MBA"/>
    <n v="23"/>
    <n v="73694"/>
    <x v="19"/>
    <x v="6"/>
    <x v="33"/>
    <n v="3"/>
    <n v="45"/>
    <n v="79"/>
    <x v="1"/>
    <x v="1"/>
    <n v="5.0999999999999996"/>
  </r>
  <r>
    <s v="E00058"/>
    <s v="FN59"/>
    <s v="LN59"/>
    <x v="1"/>
    <n v="31"/>
    <x v="0"/>
    <x v="2"/>
    <x v="1"/>
    <x v="0"/>
    <x v="1"/>
    <x v="55"/>
    <s v="2021-09-01"/>
    <x v="1"/>
    <x v="48"/>
    <s v="Master"/>
    <n v="22"/>
    <n v="57389"/>
    <x v="20"/>
    <x v="21"/>
    <x v="11"/>
    <n v="0"/>
    <n v="34"/>
    <n v="7"/>
    <x v="1"/>
    <x v="1"/>
    <n v="7.8"/>
  </r>
  <r>
    <s v="E00059"/>
    <s v="FN60"/>
    <s v="LN60"/>
    <x v="1"/>
    <n v="28"/>
    <x v="4"/>
    <x v="6"/>
    <x v="3"/>
    <x v="0"/>
    <x v="1"/>
    <x v="56"/>
    <m/>
    <x v="0"/>
    <x v="49"/>
    <s v="MBA"/>
    <n v="35"/>
    <n v="110936"/>
    <x v="5"/>
    <x v="16"/>
    <x v="21"/>
    <n v="19"/>
    <n v="60"/>
    <n v="14"/>
    <x v="1"/>
    <x v="1"/>
    <n v="8.1999999999999993"/>
  </r>
  <r>
    <s v="E00060"/>
    <s v="FN61"/>
    <s v="LN61"/>
    <x v="1"/>
    <n v="45"/>
    <x v="5"/>
    <x v="8"/>
    <x v="0"/>
    <x v="0"/>
    <x v="0"/>
    <x v="57"/>
    <m/>
    <x v="0"/>
    <x v="50"/>
    <s v="MBA"/>
    <n v="27"/>
    <n v="139611"/>
    <x v="2"/>
    <x v="3"/>
    <x v="21"/>
    <n v="3"/>
    <n v="42"/>
    <n v="3"/>
    <x v="1"/>
    <x v="0"/>
    <n v="6.3"/>
  </r>
  <r>
    <s v="E00061"/>
    <s v="FN62"/>
    <s v="LN62"/>
    <x v="0"/>
    <n v="32"/>
    <x v="0"/>
    <x v="2"/>
    <x v="4"/>
    <x v="2"/>
    <x v="1"/>
    <x v="58"/>
    <m/>
    <x v="0"/>
    <x v="47"/>
    <s v="Master"/>
    <n v="15"/>
    <n v="88165"/>
    <x v="16"/>
    <x v="25"/>
    <x v="14"/>
    <n v="12"/>
    <n v="46"/>
    <n v="18"/>
    <x v="0"/>
    <x v="1"/>
    <n v="10"/>
  </r>
  <r>
    <s v="E00062"/>
    <s v="FN63"/>
    <s v="LN63"/>
    <x v="1"/>
    <n v="31"/>
    <x v="0"/>
    <x v="0"/>
    <x v="2"/>
    <x v="1"/>
    <x v="1"/>
    <x v="59"/>
    <s v="2025-04-16"/>
    <x v="1"/>
    <x v="51"/>
    <s v="MBA"/>
    <n v="19"/>
    <n v="48396"/>
    <x v="1"/>
    <x v="2"/>
    <x v="34"/>
    <n v="16"/>
    <n v="26"/>
    <n v="37"/>
    <x v="1"/>
    <x v="2"/>
    <n v="7.3"/>
  </r>
  <r>
    <s v="E00063"/>
    <s v="FN64"/>
    <s v="LN64"/>
    <x v="1"/>
    <n v="55"/>
    <x v="0"/>
    <x v="2"/>
    <x v="2"/>
    <x v="0"/>
    <x v="1"/>
    <x v="60"/>
    <m/>
    <x v="0"/>
    <x v="28"/>
    <s v="Master"/>
    <n v="19"/>
    <n v="170987"/>
    <x v="0"/>
    <x v="25"/>
    <x v="23"/>
    <n v="13"/>
    <n v="5"/>
    <n v="45"/>
    <x v="0"/>
    <x v="2"/>
    <n v="6.4"/>
  </r>
  <r>
    <s v="E00064"/>
    <s v="FN65"/>
    <s v="LN65"/>
    <x v="1"/>
    <n v="58"/>
    <x v="5"/>
    <x v="2"/>
    <x v="1"/>
    <x v="1"/>
    <x v="1"/>
    <x v="61"/>
    <m/>
    <x v="0"/>
    <x v="38"/>
    <s v="Master"/>
    <n v="6"/>
    <n v="101299"/>
    <x v="13"/>
    <x v="9"/>
    <x v="10"/>
    <n v="11"/>
    <n v="26"/>
    <n v="57"/>
    <x v="1"/>
    <x v="1"/>
    <n v="0.4"/>
  </r>
  <r>
    <s v="E00065"/>
    <s v="FN66"/>
    <s v="LN66"/>
    <x v="1"/>
    <n v="43"/>
    <x v="3"/>
    <x v="10"/>
    <x v="4"/>
    <x v="1"/>
    <x v="0"/>
    <x v="62"/>
    <m/>
    <x v="0"/>
    <x v="52"/>
    <s v="MBA"/>
    <n v="7"/>
    <n v="157430"/>
    <x v="3"/>
    <x v="22"/>
    <x v="12"/>
    <n v="19"/>
    <n v="60"/>
    <n v="2"/>
    <x v="0"/>
    <x v="2"/>
    <n v="2.9"/>
  </r>
  <r>
    <s v="E00066"/>
    <s v="FN67"/>
    <s v="LN67"/>
    <x v="0"/>
    <n v="40"/>
    <x v="0"/>
    <x v="2"/>
    <x v="1"/>
    <x v="0"/>
    <x v="1"/>
    <x v="63"/>
    <m/>
    <x v="0"/>
    <x v="53"/>
    <s v="MBA"/>
    <n v="20"/>
    <n v="161388"/>
    <x v="9"/>
    <x v="1"/>
    <x v="30"/>
    <n v="4"/>
    <n v="15"/>
    <n v="62"/>
    <x v="0"/>
    <x v="1"/>
    <n v="6"/>
  </r>
  <r>
    <s v="E00067"/>
    <s v="FN68"/>
    <s v="LN68"/>
    <x v="0"/>
    <n v="60"/>
    <x v="3"/>
    <x v="2"/>
    <x v="2"/>
    <x v="0"/>
    <x v="1"/>
    <x v="64"/>
    <s v="2023-10-29"/>
    <x v="1"/>
    <x v="4"/>
    <s v="Bachelor"/>
    <n v="18"/>
    <n v="44561"/>
    <x v="15"/>
    <x v="10"/>
    <x v="35"/>
    <n v="2"/>
    <n v="1"/>
    <n v="55"/>
    <x v="0"/>
    <x v="0"/>
    <n v="9.6"/>
  </r>
  <r>
    <s v="E00068"/>
    <s v="FN69"/>
    <s v="LN69"/>
    <x v="0"/>
    <n v="56"/>
    <x v="4"/>
    <x v="2"/>
    <x v="3"/>
    <x v="1"/>
    <x v="0"/>
    <x v="65"/>
    <m/>
    <x v="0"/>
    <x v="54"/>
    <s v="Bachelor"/>
    <n v="21"/>
    <n v="140278"/>
    <x v="8"/>
    <x v="13"/>
    <x v="26"/>
    <n v="3"/>
    <n v="27"/>
    <n v="72"/>
    <x v="0"/>
    <x v="2"/>
    <n v="2.2000000000000002"/>
  </r>
  <r>
    <s v="E00069"/>
    <s v="FN70"/>
    <s v="LN70"/>
    <x v="1"/>
    <n v="29"/>
    <x v="0"/>
    <x v="2"/>
    <x v="1"/>
    <x v="0"/>
    <x v="0"/>
    <x v="66"/>
    <m/>
    <x v="0"/>
    <x v="50"/>
    <s v="MBA"/>
    <n v="13"/>
    <n v="177172"/>
    <x v="9"/>
    <x v="12"/>
    <x v="3"/>
    <n v="1"/>
    <n v="55"/>
    <n v="64"/>
    <x v="1"/>
    <x v="0"/>
    <n v="10.199999999999999"/>
  </r>
  <r>
    <s v="E00070"/>
    <s v="FN71"/>
    <s v="LN71"/>
    <x v="0"/>
    <n v="42"/>
    <x v="0"/>
    <x v="2"/>
    <x v="4"/>
    <x v="2"/>
    <x v="0"/>
    <x v="67"/>
    <m/>
    <x v="0"/>
    <x v="8"/>
    <s v="Bachelor"/>
    <n v="35"/>
    <n v="56718"/>
    <x v="7"/>
    <x v="14"/>
    <x v="36"/>
    <n v="6"/>
    <n v="14"/>
    <n v="63"/>
    <x v="1"/>
    <x v="2"/>
    <n v="6.9"/>
  </r>
  <r>
    <s v="E00071"/>
    <s v="FN72"/>
    <s v="LN72"/>
    <x v="1"/>
    <n v="44"/>
    <x v="2"/>
    <x v="5"/>
    <x v="4"/>
    <x v="1"/>
    <x v="0"/>
    <x v="68"/>
    <m/>
    <x v="0"/>
    <x v="47"/>
    <s v="Master"/>
    <n v="32"/>
    <n v="115806"/>
    <x v="20"/>
    <x v="6"/>
    <x v="37"/>
    <n v="15"/>
    <n v="17"/>
    <n v="51"/>
    <x v="0"/>
    <x v="2"/>
    <n v="5.2"/>
  </r>
  <r>
    <s v="E00072"/>
    <s v="FN73"/>
    <s v="LN73"/>
    <x v="0"/>
    <n v="39"/>
    <x v="5"/>
    <x v="2"/>
    <x v="1"/>
    <x v="1"/>
    <x v="0"/>
    <x v="69"/>
    <m/>
    <x v="0"/>
    <x v="41"/>
    <s v="Master"/>
    <n v="9"/>
    <n v="102691"/>
    <x v="17"/>
    <x v="23"/>
    <x v="38"/>
    <n v="17"/>
    <n v="33"/>
    <n v="72"/>
    <x v="1"/>
    <x v="0"/>
    <n v="7.6"/>
  </r>
  <r>
    <s v="E00073"/>
    <s v="FN74"/>
    <s v="LN74"/>
    <x v="0"/>
    <n v="26"/>
    <x v="1"/>
    <x v="1"/>
    <x v="1"/>
    <x v="0"/>
    <x v="1"/>
    <x v="70"/>
    <m/>
    <x v="0"/>
    <x v="42"/>
    <s v="Bachelor"/>
    <n v="12"/>
    <n v="48974"/>
    <x v="19"/>
    <x v="10"/>
    <x v="39"/>
    <n v="12"/>
    <n v="15"/>
    <n v="37"/>
    <x v="0"/>
    <x v="2"/>
    <n v="3.2"/>
  </r>
  <r>
    <s v="E00074"/>
    <s v="FN75"/>
    <s v="LN75"/>
    <x v="0"/>
    <n v="43"/>
    <x v="5"/>
    <x v="8"/>
    <x v="2"/>
    <x v="0"/>
    <x v="0"/>
    <x v="71"/>
    <m/>
    <x v="0"/>
    <x v="55"/>
    <s v="Bachelor"/>
    <n v="16"/>
    <n v="109663"/>
    <x v="8"/>
    <x v="6"/>
    <x v="11"/>
    <n v="15"/>
    <n v="53"/>
    <n v="67"/>
    <x v="0"/>
    <x v="1"/>
    <n v="9.1999999999999993"/>
  </r>
  <r>
    <s v="E00075"/>
    <s v="FN76"/>
    <s v="LN76"/>
    <x v="1"/>
    <n v="48"/>
    <x v="1"/>
    <x v="4"/>
    <x v="2"/>
    <x v="1"/>
    <x v="0"/>
    <x v="31"/>
    <m/>
    <x v="0"/>
    <x v="43"/>
    <s v="Master"/>
    <n v="26"/>
    <n v="161777"/>
    <x v="10"/>
    <x v="14"/>
    <x v="6"/>
    <n v="5"/>
    <n v="44"/>
    <n v="42"/>
    <x v="0"/>
    <x v="0"/>
    <n v="2.9"/>
  </r>
  <r>
    <s v="E00076"/>
    <s v="FN77"/>
    <s v="LN77"/>
    <x v="0"/>
    <n v="43"/>
    <x v="2"/>
    <x v="7"/>
    <x v="0"/>
    <x v="0"/>
    <x v="1"/>
    <x v="72"/>
    <m/>
    <x v="0"/>
    <x v="14"/>
    <s v="Bachelor"/>
    <n v="33"/>
    <n v="152209"/>
    <x v="20"/>
    <x v="3"/>
    <x v="7"/>
    <n v="15"/>
    <n v="56"/>
    <n v="37"/>
    <x v="0"/>
    <x v="1"/>
    <n v="3.3"/>
  </r>
  <r>
    <s v="E00077"/>
    <s v="FN78"/>
    <s v="LN78"/>
    <x v="1"/>
    <n v="58"/>
    <x v="2"/>
    <x v="3"/>
    <x v="1"/>
    <x v="1"/>
    <x v="0"/>
    <x v="73"/>
    <m/>
    <x v="0"/>
    <x v="45"/>
    <s v="MBA"/>
    <n v="6"/>
    <n v="57581"/>
    <x v="4"/>
    <x v="19"/>
    <x v="25"/>
    <n v="1"/>
    <n v="24"/>
    <n v="14"/>
    <x v="0"/>
    <x v="0"/>
    <n v="4.0999999999999996"/>
  </r>
  <r>
    <s v="E00078"/>
    <s v="FN79"/>
    <s v="LN79"/>
    <x v="0"/>
    <n v="24"/>
    <x v="2"/>
    <x v="3"/>
    <x v="1"/>
    <x v="1"/>
    <x v="0"/>
    <x v="74"/>
    <m/>
    <x v="0"/>
    <x v="2"/>
    <s v="MBA"/>
    <n v="32"/>
    <n v="162624"/>
    <x v="4"/>
    <x v="23"/>
    <x v="28"/>
    <n v="18"/>
    <n v="23"/>
    <n v="77"/>
    <x v="0"/>
    <x v="2"/>
    <n v="8.5"/>
  </r>
  <r>
    <s v="E00079"/>
    <s v="FN80"/>
    <s v="LN80"/>
    <x v="1"/>
    <n v="29"/>
    <x v="4"/>
    <x v="9"/>
    <x v="2"/>
    <x v="2"/>
    <x v="0"/>
    <x v="75"/>
    <s v="2025-06-19"/>
    <x v="1"/>
    <x v="46"/>
    <s v="Master"/>
    <n v="28"/>
    <n v="126221"/>
    <x v="9"/>
    <x v="0"/>
    <x v="40"/>
    <n v="19"/>
    <n v="15"/>
    <n v="6"/>
    <x v="0"/>
    <x v="1"/>
    <n v="9.1999999999999993"/>
  </r>
  <r>
    <s v="E00080"/>
    <s v="FN81"/>
    <s v="LN81"/>
    <x v="0"/>
    <n v="27"/>
    <x v="5"/>
    <x v="6"/>
    <x v="3"/>
    <x v="0"/>
    <x v="0"/>
    <x v="76"/>
    <m/>
    <x v="0"/>
    <x v="22"/>
    <s v="Master"/>
    <n v="31"/>
    <n v="171312"/>
    <x v="13"/>
    <x v="17"/>
    <x v="35"/>
    <n v="16"/>
    <n v="12"/>
    <n v="70"/>
    <x v="1"/>
    <x v="0"/>
    <n v="1.4"/>
  </r>
  <r>
    <s v="E00081"/>
    <s v="FN82"/>
    <s v="LN82"/>
    <x v="1"/>
    <n v="60"/>
    <x v="1"/>
    <x v="1"/>
    <x v="4"/>
    <x v="1"/>
    <x v="0"/>
    <x v="77"/>
    <m/>
    <x v="0"/>
    <x v="14"/>
    <s v="Master"/>
    <n v="16"/>
    <n v="171614"/>
    <x v="20"/>
    <x v="21"/>
    <x v="40"/>
    <n v="20"/>
    <n v="19"/>
    <n v="64"/>
    <x v="1"/>
    <x v="1"/>
    <n v="5.0999999999999996"/>
  </r>
  <r>
    <s v="E00082"/>
    <s v="FN83"/>
    <s v="LN83"/>
    <x v="1"/>
    <n v="57"/>
    <x v="0"/>
    <x v="0"/>
    <x v="2"/>
    <x v="0"/>
    <x v="0"/>
    <x v="78"/>
    <m/>
    <x v="0"/>
    <x v="32"/>
    <s v="Master"/>
    <n v="20"/>
    <n v="174282"/>
    <x v="5"/>
    <x v="0"/>
    <x v="19"/>
    <n v="15"/>
    <n v="19"/>
    <n v="59"/>
    <x v="1"/>
    <x v="1"/>
    <n v="5.4"/>
  </r>
  <r>
    <s v="E00083"/>
    <s v="FN84"/>
    <s v="LN84"/>
    <x v="1"/>
    <n v="42"/>
    <x v="0"/>
    <x v="2"/>
    <x v="0"/>
    <x v="1"/>
    <x v="1"/>
    <x v="79"/>
    <m/>
    <x v="0"/>
    <x v="24"/>
    <s v="Bachelor"/>
    <n v="23"/>
    <n v="156283"/>
    <x v="11"/>
    <x v="7"/>
    <x v="41"/>
    <n v="10"/>
    <n v="34"/>
    <n v="66"/>
    <x v="0"/>
    <x v="0"/>
    <n v="5.5"/>
  </r>
  <r>
    <s v="E00084"/>
    <s v="FN85"/>
    <s v="LN85"/>
    <x v="0"/>
    <n v="32"/>
    <x v="5"/>
    <x v="2"/>
    <x v="0"/>
    <x v="0"/>
    <x v="1"/>
    <x v="80"/>
    <m/>
    <x v="0"/>
    <x v="37"/>
    <s v="MBA"/>
    <n v="14"/>
    <n v="41132"/>
    <x v="2"/>
    <x v="7"/>
    <x v="7"/>
    <n v="15"/>
    <n v="40"/>
    <n v="33"/>
    <x v="1"/>
    <x v="0"/>
    <n v="7.8"/>
  </r>
  <r>
    <s v="E00085"/>
    <s v="FN86"/>
    <s v="LN86"/>
    <x v="1"/>
    <n v="22"/>
    <x v="3"/>
    <x v="10"/>
    <x v="3"/>
    <x v="0"/>
    <x v="1"/>
    <x v="81"/>
    <s v="2021-01-05"/>
    <x v="1"/>
    <x v="32"/>
    <s v="Bachelor"/>
    <n v="3"/>
    <n v="110653"/>
    <x v="20"/>
    <x v="18"/>
    <x v="22"/>
    <n v="3"/>
    <n v="45"/>
    <n v="11"/>
    <x v="1"/>
    <x v="0"/>
    <n v="6.6"/>
  </r>
  <r>
    <s v="E00086"/>
    <s v="FN87"/>
    <s v="LN87"/>
    <x v="1"/>
    <n v="26"/>
    <x v="2"/>
    <x v="7"/>
    <x v="1"/>
    <x v="2"/>
    <x v="0"/>
    <x v="82"/>
    <m/>
    <x v="0"/>
    <x v="56"/>
    <s v="MBA"/>
    <n v="3"/>
    <n v="170246"/>
    <x v="8"/>
    <x v="14"/>
    <x v="42"/>
    <n v="18"/>
    <n v="8"/>
    <n v="27"/>
    <x v="1"/>
    <x v="2"/>
    <n v="0.9"/>
  </r>
  <r>
    <s v="E00087"/>
    <s v="FN88"/>
    <s v="LN88"/>
    <x v="0"/>
    <n v="24"/>
    <x v="0"/>
    <x v="0"/>
    <x v="2"/>
    <x v="0"/>
    <x v="1"/>
    <x v="83"/>
    <m/>
    <x v="0"/>
    <x v="43"/>
    <s v="MBA"/>
    <n v="13"/>
    <n v="144520"/>
    <x v="2"/>
    <x v="8"/>
    <x v="3"/>
    <n v="12"/>
    <n v="12"/>
    <n v="20"/>
    <x v="1"/>
    <x v="0"/>
    <n v="4.4000000000000004"/>
  </r>
  <r>
    <s v="E00088"/>
    <s v="FN89"/>
    <s v="LN89"/>
    <x v="1"/>
    <n v="47"/>
    <x v="4"/>
    <x v="2"/>
    <x v="0"/>
    <x v="1"/>
    <x v="1"/>
    <x v="84"/>
    <m/>
    <x v="0"/>
    <x v="25"/>
    <s v="Master"/>
    <n v="3"/>
    <n v="144245"/>
    <x v="2"/>
    <x v="10"/>
    <x v="22"/>
    <n v="0"/>
    <n v="56"/>
    <n v="72"/>
    <x v="1"/>
    <x v="1"/>
    <n v="5"/>
  </r>
  <r>
    <s v="E00089"/>
    <s v="FN90"/>
    <s v="LN90"/>
    <x v="0"/>
    <n v="59"/>
    <x v="0"/>
    <x v="0"/>
    <x v="1"/>
    <x v="1"/>
    <x v="1"/>
    <x v="85"/>
    <m/>
    <x v="0"/>
    <x v="38"/>
    <s v="Master"/>
    <n v="31"/>
    <n v="127332"/>
    <x v="3"/>
    <x v="22"/>
    <x v="43"/>
    <n v="6"/>
    <n v="23"/>
    <n v="74"/>
    <x v="0"/>
    <x v="2"/>
    <n v="3.6"/>
  </r>
  <r>
    <s v="E00090"/>
    <s v="FN91"/>
    <s v="LN91"/>
    <x v="0"/>
    <n v="57"/>
    <x v="0"/>
    <x v="2"/>
    <x v="2"/>
    <x v="1"/>
    <x v="1"/>
    <x v="86"/>
    <s v="2024-03-09"/>
    <x v="1"/>
    <x v="16"/>
    <s v="Master"/>
    <n v="29"/>
    <n v="125933"/>
    <x v="13"/>
    <x v="22"/>
    <x v="20"/>
    <n v="6"/>
    <n v="59"/>
    <n v="57"/>
    <x v="0"/>
    <x v="0"/>
    <n v="6.9"/>
  </r>
  <r>
    <s v="E00091"/>
    <s v="FN92"/>
    <s v="LN92"/>
    <x v="0"/>
    <n v="29"/>
    <x v="0"/>
    <x v="0"/>
    <x v="1"/>
    <x v="2"/>
    <x v="0"/>
    <x v="87"/>
    <m/>
    <x v="0"/>
    <x v="57"/>
    <s v="Bachelor"/>
    <n v="23"/>
    <n v="164358"/>
    <x v="3"/>
    <x v="15"/>
    <x v="27"/>
    <n v="15"/>
    <n v="54"/>
    <n v="46"/>
    <x v="0"/>
    <x v="1"/>
    <n v="10.1"/>
  </r>
  <r>
    <s v="E00092"/>
    <s v="FN93"/>
    <s v="LN93"/>
    <x v="1"/>
    <n v="44"/>
    <x v="2"/>
    <x v="7"/>
    <x v="4"/>
    <x v="2"/>
    <x v="0"/>
    <x v="88"/>
    <m/>
    <x v="0"/>
    <x v="7"/>
    <s v="Bachelor"/>
    <n v="19"/>
    <n v="133887"/>
    <x v="8"/>
    <x v="14"/>
    <x v="41"/>
    <n v="16"/>
    <n v="11"/>
    <n v="3"/>
    <x v="0"/>
    <x v="1"/>
    <n v="9.6"/>
  </r>
  <r>
    <s v="E00093"/>
    <s v="FN94"/>
    <s v="LN94"/>
    <x v="1"/>
    <n v="49"/>
    <x v="2"/>
    <x v="5"/>
    <x v="3"/>
    <x v="0"/>
    <x v="0"/>
    <x v="89"/>
    <s v="2029-10-26"/>
    <x v="1"/>
    <x v="16"/>
    <s v="Master"/>
    <n v="28"/>
    <n v="66584"/>
    <x v="7"/>
    <x v="16"/>
    <x v="44"/>
    <n v="16"/>
    <n v="3"/>
    <n v="67"/>
    <x v="1"/>
    <x v="0"/>
    <n v="2.4"/>
  </r>
  <r>
    <s v="E00094"/>
    <s v="FN95"/>
    <s v="LN95"/>
    <x v="1"/>
    <n v="27"/>
    <x v="1"/>
    <x v="4"/>
    <x v="0"/>
    <x v="2"/>
    <x v="1"/>
    <x v="90"/>
    <m/>
    <x v="0"/>
    <x v="58"/>
    <s v="Bachelor"/>
    <n v="16"/>
    <n v="173489"/>
    <x v="11"/>
    <x v="3"/>
    <x v="22"/>
    <n v="15"/>
    <n v="53"/>
    <n v="53"/>
    <x v="1"/>
    <x v="2"/>
    <n v="4.3"/>
  </r>
  <r>
    <s v="E00095"/>
    <s v="FN96"/>
    <s v="LN96"/>
    <x v="0"/>
    <n v="41"/>
    <x v="0"/>
    <x v="0"/>
    <x v="3"/>
    <x v="2"/>
    <x v="1"/>
    <x v="91"/>
    <m/>
    <x v="0"/>
    <x v="59"/>
    <s v="Master"/>
    <n v="25"/>
    <n v="44291"/>
    <x v="7"/>
    <x v="13"/>
    <x v="35"/>
    <n v="0"/>
    <n v="21"/>
    <n v="48"/>
    <x v="1"/>
    <x v="0"/>
    <n v="1.3"/>
  </r>
  <r>
    <s v="E00096"/>
    <s v="FN97"/>
    <s v="LN97"/>
    <x v="1"/>
    <n v="48"/>
    <x v="2"/>
    <x v="5"/>
    <x v="2"/>
    <x v="1"/>
    <x v="1"/>
    <x v="92"/>
    <m/>
    <x v="0"/>
    <x v="1"/>
    <s v="MBA"/>
    <n v="20"/>
    <n v="73719"/>
    <x v="15"/>
    <x v="23"/>
    <x v="26"/>
    <n v="7"/>
    <n v="22"/>
    <n v="68"/>
    <x v="1"/>
    <x v="0"/>
    <n v="3.1"/>
  </r>
  <r>
    <s v="E00097"/>
    <s v="FN98"/>
    <s v="LN98"/>
    <x v="1"/>
    <n v="30"/>
    <x v="5"/>
    <x v="8"/>
    <x v="3"/>
    <x v="2"/>
    <x v="0"/>
    <x v="93"/>
    <m/>
    <x v="0"/>
    <x v="15"/>
    <s v="MBA"/>
    <n v="10"/>
    <n v="125540"/>
    <x v="6"/>
    <x v="3"/>
    <x v="45"/>
    <n v="18"/>
    <n v="1"/>
    <n v="72"/>
    <x v="0"/>
    <x v="1"/>
    <n v="2.2999999999999998"/>
  </r>
  <r>
    <s v="E00098"/>
    <s v="FN99"/>
    <s v="LN99"/>
    <x v="1"/>
    <n v="54"/>
    <x v="1"/>
    <x v="1"/>
    <x v="4"/>
    <x v="1"/>
    <x v="0"/>
    <x v="94"/>
    <m/>
    <x v="0"/>
    <x v="12"/>
    <s v="Bachelor"/>
    <n v="18"/>
    <n v="178436"/>
    <x v="3"/>
    <x v="2"/>
    <x v="4"/>
    <n v="10"/>
    <n v="31"/>
    <n v="38"/>
    <x v="0"/>
    <x v="2"/>
    <n v="6.9"/>
  </r>
  <r>
    <s v="E00099"/>
    <s v="FN100"/>
    <s v="LN100"/>
    <x v="0"/>
    <n v="40"/>
    <x v="0"/>
    <x v="2"/>
    <x v="3"/>
    <x v="2"/>
    <x v="1"/>
    <x v="95"/>
    <m/>
    <x v="0"/>
    <x v="60"/>
    <s v="MBA"/>
    <n v="24"/>
    <n v="96100"/>
    <x v="0"/>
    <x v="24"/>
    <x v="42"/>
    <n v="15"/>
    <n v="20"/>
    <n v="71"/>
    <x v="0"/>
    <x v="1"/>
    <n v="5.8"/>
  </r>
  <r>
    <s v="E00100"/>
    <s v="FN101"/>
    <s v="LN101"/>
    <x v="0"/>
    <n v="44"/>
    <x v="1"/>
    <x v="1"/>
    <x v="3"/>
    <x v="2"/>
    <x v="1"/>
    <x v="96"/>
    <m/>
    <x v="0"/>
    <x v="55"/>
    <s v="MBA"/>
    <n v="16"/>
    <n v="136378"/>
    <x v="0"/>
    <x v="18"/>
    <x v="37"/>
    <n v="10"/>
    <n v="8"/>
    <n v="28"/>
    <x v="1"/>
    <x v="0"/>
    <n v="9.8000000000000007"/>
  </r>
  <r>
    <s v="E00101"/>
    <s v="FN102"/>
    <s v="LN102"/>
    <x v="1"/>
    <n v="21"/>
    <x v="4"/>
    <x v="2"/>
    <x v="4"/>
    <x v="2"/>
    <x v="1"/>
    <x v="97"/>
    <m/>
    <x v="0"/>
    <x v="61"/>
    <s v="Master"/>
    <n v="18"/>
    <n v="160325"/>
    <x v="19"/>
    <x v="24"/>
    <x v="31"/>
    <n v="18"/>
    <n v="36"/>
    <n v="80"/>
    <x v="1"/>
    <x v="0"/>
    <n v="4.3"/>
  </r>
  <r>
    <s v="E00102"/>
    <s v="FN103"/>
    <s v="LN103"/>
    <x v="1"/>
    <n v="23"/>
    <x v="3"/>
    <x v="10"/>
    <x v="3"/>
    <x v="0"/>
    <x v="1"/>
    <x v="98"/>
    <m/>
    <x v="0"/>
    <x v="29"/>
    <s v="Master"/>
    <n v="1"/>
    <n v="118755"/>
    <x v="16"/>
    <x v="19"/>
    <x v="46"/>
    <n v="18"/>
    <n v="52"/>
    <n v="23"/>
    <x v="0"/>
    <x v="2"/>
    <n v="0.2"/>
  </r>
  <r>
    <s v="E00103"/>
    <s v="FN104"/>
    <s v="LN104"/>
    <x v="1"/>
    <n v="24"/>
    <x v="4"/>
    <x v="6"/>
    <x v="0"/>
    <x v="1"/>
    <x v="0"/>
    <x v="99"/>
    <s v="2025-09-26"/>
    <x v="1"/>
    <x v="11"/>
    <s v="Master"/>
    <n v="5"/>
    <n v="88874"/>
    <x v="4"/>
    <x v="7"/>
    <x v="23"/>
    <n v="18"/>
    <n v="30"/>
    <n v="5"/>
    <x v="0"/>
    <x v="1"/>
    <n v="8.3000000000000007"/>
  </r>
  <r>
    <s v="E00104"/>
    <s v="FN105"/>
    <s v="LN105"/>
    <x v="1"/>
    <n v="55"/>
    <x v="1"/>
    <x v="4"/>
    <x v="2"/>
    <x v="0"/>
    <x v="1"/>
    <x v="100"/>
    <m/>
    <x v="0"/>
    <x v="62"/>
    <s v="MBA"/>
    <n v="13"/>
    <n v="141002"/>
    <x v="17"/>
    <x v="7"/>
    <x v="0"/>
    <n v="10"/>
    <n v="10"/>
    <n v="34"/>
    <x v="1"/>
    <x v="0"/>
    <n v="8.6"/>
  </r>
  <r>
    <s v="E00105"/>
    <s v="FN106"/>
    <s v="LN106"/>
    <x v="0"/>
    <n v="27"/>
    <x v="2"/>
    <x v="5"/>
    <x v="3"/>
    <x v="2"/>
    <x v="1"/>
    <x v="101"/>
    <s v="2029-08-21"/>
    <x v="1"/>
    <x v="21"/>
    <s v="Master"/>
    <n v="26"/>
    <n v="137945"/>
    <x v="11"/>
    <x v="16"/>
    <x v="44"/>
    <n v="11"/>
    <n v="22"/>
    <n v="16"/>
    <x v="0"/>
    <x v="0"/>
    <n v="0.8"/>
  </r>
  <r>
    <s v="E00106"/>
    <s v="FN107"/>
    <s v="LN107"/>
    <x v="1"/>
    <n v="32"/>
    <x v="0"/>
    <x v="2"/>
    <x v="4"/>
    <x v="1"/>
    <x v="0"/>
    <x v="102"/>
    <m/>
    <x v="0"/>
    <x v="60"/>
    <s v="Master"/>
    <n v="31"/>
    <n v="69256"/>
    <x v="11"/>
    <x v="6"/>
    <x v="32"/>
    <n v="1"/>
    <n v="48"/>
    <n v="33"/>
    <x v="1"/>
    <x v="2"/>
    <n v="1.2"/>
  </r>
  <r>
    <s v="E00107"/>
    <s v="FN108"/>
    <s v="LN108"/>
    <x v="1"/>
    <n v="41"/>
    <x v="3"/>
    <x v="10"/>
    <x v="3"/>
    <x v="2"/>
    <x v="0"/>
    <x v="103"/>
    <m/>
    <x v="0"/>
    <x v="38"/>
    <s v="Master"/>
    <n v="13"/>
    <n v="158184"/>
    <x v="0"/>
    <x v="22"/>
    <x v="19"/>
    <n v="13"/>
    <n v="6"/>
    <n v="25"/>
    <x v="0"/>
    <x v="0"/>
    <n v="1.8"/>
  </r>
  <r>
    <s v="E00108"/>
    <s v="FN109"/>
    <s v="LN109"/>
    <x v="0"/>
    <n v="24"/>
    <x v="0"/>
    <x v="0"/>
    <x v="0"/>
    <x v="0"/>
    <x v="0"/>
    <x v="104"/>
    <m/>
    <x v="0"/>
    <x v="51"/>
    <s v="MBA"/>
    <n v="3"/>
    <n v="159638"/>
    <x v="19"/>
    <x v="7"/>
    <x v="35"/>
    <n v="0"/>
    <n v="47"/>
    <n v="10"/>
    <x v="0"/>
    <x v="1"/>
    <n v="6.4"/>
  </r>
  <r>
    <s v="E00109"/>
    <s v="FN110"/>
    <s v="LN110"/>
    <x v="1"/>
    <n v="24"/>
    <x v="4"/>
    <x v="9"/>
    <x v="4"/>
    <x v="0"/>
    <x v="1"/>
    <x v="105"/>
    <m/>
    <x v="0"/>
    <x v="24"/>
    <s v="Master"/>
    <n v="0"/>
    <n v="144926"/>
    <x v="14"/>
    <x v="22"/>
    <x v="33"/>
    <n v="1"/>
    <n v="32"/>
    <n v="2"/>
    <x v="1"/>
    <x v="0"/>
    <n v="6.9"/>
  </r>
  <r>
    <s v="E00110"/>
    <s v="FN111"/>
    <s v="LN111"/>
    <x v="0"/>
    <n v="21"/>
    <x v="1"/>
    <x v="4"/>
    <x v="2"/>
    <x v="2"/>
    <x v="0"/>
    <x v="106"/>
    <m/>
    <x v="0"/>
    <x v="29"/>
    <s v="Bachelor"/>
    <n v="28"/>
    <n v="142375"/>
    <x v="18"/>
    <x v="4"/>
    <x v="14"/>
    <n v="16"/>
    <n v="60"/>
    <n v="2"/>
    <x v="1"/>
    <x v="1"/>
    <n v="1.4"/>
  </r>
  <r>
    <s v="E00111"/>
    <s v="FN112"/>
    <s v="LN112"/>
    <x v="0"/>
    <n v="54"/>
    <x v="4"/>
    <x v="9"/>
    <x v="2"/>
    <x v="0"/>
    <x v="1"/>
    <x v="107"/>
    <m/>
    <x v="0"/>
    <x v="30"/>
    <s v="Master"/>
    <n v="25"/>
    <n v="179815"/>
    <x v="11"/>
    <x v="7"/>
    <x v="30"/>
    <n v="9"/>
    <n v="44"/>
    <n v="25"/>
    <x v="1"/>
    <x v="2"/>
    <n v="8.9"/>
  </r>
  <r>
    <s v="E00112"/>
    <s v="FN113"/>
    <s v="LN113"/>
    <x v="0"/>
    <n v="40"/>
    <x v="0"/>
    <x v="2"/>
    <x v="0"/>
    <x v="1"/>
    <x v="1"/>
    <x v="108"/>
    <m/>
    <x v="0"/>
    <x v="22"/>
    <s v="Master"/>
    <n v="2"/>
    <n v="76035"/>
    <x v="2"/>
    <x v="3"/>
    <x v="40"/>
    <n v="4"/>
    <n v="52"/>
    <n v="11"/>
    <x v="1"/>
    <x v="1"/>
    <n v="2"/>
  </r>
  <r>
    <s v="E00113"/>
    <s v="FN114"/>
    <s v="LN114"/>
    <x v="0"/>
    <n v="48"/>
    <x v="0"/>
    <x v="0"/>
    <x v="3"/>
    <x v="2"/>
    <x v="1"/>
    <x v="109"/>
    <m/>
    <x v="0"/>
    <x v="63"/>
    <s v="MBA"/>
    <n v="8"/>
    <n v="143702"/>
    <x v="14"/>
    <x v="7"/>
    <x v="11"/>
    <n v="3"/>
    <n v="43"/>
    <n v="10"/>
    <x v="1"/>
    <x v="0"/>
    <n v="8.4"/>
  </r>
  <r>
    <s v="E00114"/>
    <s v="FN115"/>
    <s v="LN115"/>
    <x v="1"/>
    <n v="33"/>
    <x v="1"/>
    <x v="1"/>
    <x v="1"/>
    <x v="1"/>
    <x v="1"/>
    <x v="110"/>
    <m/>
    <x v="0"/>
    <x v="64"/>
    <s v="Bachelor"/>
    <n v="4"/>
    <n v="46605"/>
    <x v="18"/>
    <x v="9"/>
    <x v="3"/>
    <n v="19"/>
    <n v="15"/>
    <n v="27"/>
    <x v="1"/>
    <x v="2"/>
    <n v="1.9"/>
  </r>
  <r>
    <s v="E00115"/>
    <s v="FN116"/>
    <s v="LN116"/>
    <x v="0"/>
    <n v="55"/>
    <x v="2"/>
    <x v="5"/>
    <x v="3"/>
    <x v="1"/>
    <x v="1"/>
    <x v="80"/>
    <m/>
    <x v="0"/>
    <x v="22"/>
    <s v="Bachelor"/>
    <n v="1"/>
    <n v="161706"/>
    <x v="5"/>
    <x v="17"/>
    <x v="38"/>
    <n v="5"/>
    <n v="7"/>
    <n v="6"/>
    <x v="0"/>
    <x v="1"/>
    <n v="7.8"/>
  </r>
  <r>
    <s v="E00116"/>
    <s v="FN117"/>
    <s v="LN117"/>
    <x v="0"/>
    <n v="60"/>
    <x v="5"/>
    <x v="2"/>
    <x v="1"/>
    <x v="0"/>
    <x v="1"/>
    <x v="111"/>
    <m/>
    <x v="0"/>
    <x v="58"/>
    <s v="Master"/>
    <n v="12"/>
    <n v="169548"/>
    <x v="11"/>
    <x v="15"/>
    <x v="39"/>
    <n v="2"/>
    <n v="11"/>
    <n v="80"/>
    <x v="1"/>
    <x v="2"/>
    <n v="8.6"/>
  </r>
  <r>
    <s v="E00117"/>
    <s v="FN118"/>
    <s v="LN118"/>
    <x v="1"/>
    <n v="49"/>
    <x v="2"/>
    <x v="5"/>
    <x v="2"/>
    <x v="0"/>
    <x v="1"/>
    <x v="112"/>
    <m/>
    <x v="0"/>
    <x v="65"/>
    <s v="Master"/>
    <n v="7"/>
    <n v="74764"/>
    <x v="6"/>
    <x v="1"/>
    <x v="5"/>
    <n v="4"/>
    <n v="21"/>
    <n v="37"/>
    <x v="0"/>
    <x v="2"/>
    <n v="8.5"/>
  </r>
  <r>
    <s v="E00118"/>
    <s v="FN119"/>
    <s v="LN119"/>
    <x v="1"/>
    <n v="28"/>
    <x v="1"/>
    <x v="4"/>
    <x v="0"/>
    <x v="0"/>
    <x v="1"/>
    <x v="113"/>
    <m/>
    <x v="0"/>
    <x v="8"/>
    <s v="MBA"/>
    <n v="5"/>
    <n v="63641"/>
    <x v="5"/>
    <x v="20"/>
    <x v="27"/>
    <n v="17"/>
    <n v="30"/>
    <n v="9"/>
    <x v="1"/>
    <x v="1"/>
    <n v="6.4"/>
  </r>
  <r>
    <s v="E00119"/>
    <s v="FN120"/>
    <s v="LN120"/>
    <x v="0"/>
    <n v="25"/>
    <x v="0"/>
    <x v="0"/>
    <x v="2"/>
    <x v="2"/>
    <x v="0"/>
    <x v="114"/>
    <m/>
    <x v="0"/>
    <x v="57"/>
    <s v="Bachelor"/>
    <n v="4"/>
    <n v="103753"/>
    <x v="10"/>
    <x v="21"/>
    <x v="40"/>
    <n v="4"/>
    <n v="3"/>
    <n v="59"/>
    <x v="1"/>
    <x v="2"/>
    <n v="1.5"/>
  </r>
  <r>
    <s v="E00120"/>
    <s v="FN121"/>
    <s v="LN121"/>
    <x v="0"/>
    <n v="59"/>
    <x v="4"/>
    <x v="2"/>
    <x v="2"/>
    <x v="0"/>
    <x v="0"/>
    <x v="115"/>
    <m/>
    <x v="0"/>
    <x v="18"/>
    <s v="Bachelor"/>
    <n v="26"/>
    <n v="157090"/>
    <x v="17"/>
    <x v="19"/>
    <x v="17"/>
    <n v="9"/>
    <n v="42"/>
    <n v="70"/>
    <x v="1"/>
    <x v="2"/>
    <n v="1"/>
  </r>
  <r>
    <s v="E00121"/>
    <s v="FN122"/>
    <s v="LN122"/>
    <x v="0"/>
    <n v="36"/>
    <x v="1"/>
    <x v="4"/>
    <x v="2"/>
    <x v="1"/>
    <x v="1"/>
    <x v="116"/>
    <s v="2021-06-17"/>
    <x v="1"/>
    <x v="32"/>
    <s v="Master"/>
    <n v="30"/>
    <n v="167906"/>
    <x v="0"/>
    <x v="9"/>
    <x v="6"/>
    <n v="17"/>
    <n v="56"/>
    <n v="58"/>
    <x v="1"/>
    <x v="2"/>
    <n v="9.1"/>
  </r>
  <r>
    <s v="E00122"/>
    <s v="FN123"/>
    <s v="LN123"/>
    <x v="1"/>
    <n v="24"/>
    <x v="1"/>
    <x v="4"/>
    <x v="4"/>
    <x v="0"/>
    <x v="0"/>
    <x v="117"/>
    <m/>
    <x v="0"/>
    <x v="3"/>
    <s v="MBA"/>
    <n v="12"/>
    <n v="55632"/>
    <x v="4"/>
    <x v="17"/>
    <x v="30"/>
    <n v="12"/>
    <n v="30"/>
    <n v="62"/>
    <x v="0"/>
    <x v="2"/>
    <n v="5.4"/>
  </r>
  <r>
    <s v="E00123"/>
    <s v="FN124"/>
    <s v="LN124"/>
    <x v="0"/>
    <n v="58"/>
    <x v="0"/>
    <x v="0"/>
    <x v="2"/>
    <x v="0"/>
    <x v="0"/>
    <x v="118"/>
    <m/>
    <x v="0"/>
    <x v="66"/>
    <s v="Master"/>
    <n v="34"/>
    <n v="135861"/>
    <x v="7"/>
    <x v="18"/>
    <x v="23"/>
    <n v="7"/>
    <n v="57"/>
    <n v="55"/>
    <x v="0"/>
    <x v="0"/>
    <n v="1.3"/>
  </r>
  <r>
    <s v="E00124"/>
    <s v="FN125"/>
    <s v="LN125"/>
    <x v="1"/>
    <n v="58"/>
    <x v="5"/>
    <x v="8"/>
    <x v="4"/>
    <x v="0"/>
    <x v="1"/>
    <x v="119"/>
    <m/>
    <x v="0"/>
    <x v="60"/>
    <s v="Master"/>
    <n v="11"/>
    <n v="68947"/>
    <x v="4"/>
    <x v="17"/>
    <x v="19"/>
    <n v="5"/>
    <n v="23"/>
    <n v="79"/>
    <x v="0"/>
    <x v="0"/>
    <n v="0.4"/>
  </r>
  <r>
    <s v="E00125"/>
    <s v="FN126"/>
    <s v="LN126"/>
    <x v="0"/>
    <n v="59"/>
    <x v="5"/>
    <x v="2"/>
    <x v="4"/>
    <x v="0"/>
    <x v="1"/>
    <x v="120"/>
    <s v="2025-01-11"/>
    <x v="1"/>
    <x v="43"/>
    <s v="MBA"/>
    <n v="1"/>
    <n v="157284"/>
    <x v="10"/>
    <x v="16"/>
    <x v="11"/>
    <n v="13"/>
    <n v="26"/>
    <n v="52"/>
    <x v="1"/>
    <x v="0"/>
    <n v="4.2"/>
  </r>
  <r>
    <s v="E00126"/>
    <s v="FN127"/>
    <s v="LN127"/>
    <x v="0"/>
    <n v="26"/>
    <x v="5"/>
    <x v="8"/>
    <x v="1"/>
    <x v="2"/>
    <x v="1"/>
    <x v="121"/>
    <m/>
    <x v="0"/>
    <x v="52"/>
    <s v="MBA"/>
    <n v="1"/>
    <n v="147597"/>
    <x v="11"/>
    <x v="16"/>
    <x v="35"/>
    <n v="6"/>
    <n v="47"/>
    <n v="38"/>
    <x v="1"/>
    <x v="0"/>
    <n v="3.8"/>
  </r>
  <r>
    <s v="E00127"/>
    <s v="FN128"/>
    <s v="LN128"/>
    <x v="0"/>
    <n v="51"/>
    <x v="1"/>
    <x v="1"/>
    <x v="0"/>
    <x v="1"/>
    <x v="0"/>
    <x v="122"/>
    <m/>
    <x v="0"/>
    <x v="23"/>
    <s v="MBA"/>
    <n v="21"/>
    <n v="174509"/>
    <x v="7"/>
    <x v="23"/>
    <x v="33"/>
    <n v="15"/>
    <n v="5"/>
    <n v="43"/>
    <x v="0"/>
    <x v="2"/>
    <n v="5.3"/>
  </r>
  <r>
    <s v="E00128"/>
    <s v="FN129"/>
    <s v="LN129"/>
    <x v="0"/>
    <n v="45"/>
    <x v="1"/>
    <x v="4"/>
    <x v="1"/>
    <x v="0"/>
    <x v="0"/>
    <x v="123"/>
    <s v="2024-04-09"/>
    <x v="1"/>
    <x v="67"/>
    <s v="Bachelor"/>
    <n v="2"/>
    <n v="67682"/>
    <x v="11"/>
    <x v="18"/>
    <x v="45"/>
    <n v="0"/>
    <n v="35"/>
    <n v="62"/>
    <x v="0"/>
    <x v="2"/>
    <n v="9.5"/>
  </r>
  <r>
    <s v="E00129"/>
    <s v="FN130"/>
    <s v="LN130"/>
    <x v="0"/>
    <n v="26"/>
    <x v="0"/>
    <x v="2"/>
    <x v="0"/>
    <x v="1"/>
    <x v="0"/>
    <x v="124"/>
    <m/>
    <x v="0"/>
    <x v="68"/>
    <s v="MBA"/>
    <n v="25"/>
    <n v="72769"/>
    <x v="19"/>
    <x v="3"/>
    <x v="18"/>
    <n v="9"/>
    <n v="28"/>
    <n v="16"/>
    <x v="0"/>
    <x v="2"/>
    <n v="7.4"/>
  </r>
  <r>
    <s v="E00130"/>
    <s v="FN131"/>
    <s v="LN131"/>
    <x v="0"/>
    <n v="45"/>
    <x v="0"/>
    <x v="2"/>
    <x v="2"/>
    <x v="2"/>
    <x v="1"/>
    <x v="125"/>
    <s v="2025-01-27"/>
    <x v="1"/>
    <x v="5"/>
    <s v="MBA"/>
    <n v="29"/>
    <n v="45473"/>
    <x v="10"/>
    <x v="4"/>
    <x v="47"/>
    <n v="6"/>
    <n v="7"/>
    <n v="12"/>
    <x v="0"/>
    <x v="0"/>
    <n v="6.2"/>
  </r>
  <r>
    <s v="E00131"/>
    <s v="FN132"/>
    <s v="LN132"/>
    <x v="1"/>
    <n v="32"/>
    <x v="5"/>
    <x v="6"/>
    <x v="0"/>
    <x v="1"/>
    <x v="1"/>
    <x v="126"/>
    <m/>
    <x v="0"/>
    <x v="69"/>
    <s v="Bachelor"/>
    <n v="6"/>
    <n v="172429"/>
    <x v="15"/>
    <x v="16"/>
    <x v="7"/>
    <n v="7"/>
    <n v="5"/>
    <n v="4"/>
    <x v="0"/>
    <x v="2"/>
    <n v="0.7"/>
  </r>
  <r>
    <s v="E00132"/>
    <s v="FN133"/>
    <s v="LN133"/>
    <x v="0"/>
    <n v="56"/>
    <x v="3"/>
    <x v="2"/>
    <x v="3"/>
    <x v="1"/>
    <x v="0"/>
    <x v="127"/>
    <m/>
    <x v="0"/>
    <x v="34"/>
    <s v="Bachelor"/>
    <n v="12"/>
    <n v="139781"/>
    <x v="16"/>
    <x v="2"/>
    <x v="43"/>
    <n v="12"/>
    <n v="57"/>
    <n v="25"/>
    <x v="1"/>
    <x v="2"/>
    <n v="5.3"/>
  </r>
  <r>
    <s v="E00133"/>
    <s v="FN134"/>
    <s v="LN134"/>
    <x v="0"/>
    <n v="40"/>
    <x v="2"/>
    <x v="5"/>
    <x v="1"/>
    <x v="0"/>
    <x v="0"/>
    <x v="128"/>
    <m/>
    <x v="0"/>
    <x v="41"/>
    <s v="Bachelor"/>
    <n v="29"/>
    <n v="175624"/>
    <x v="18"/>
    <x v="25"/>
    <x v="45"/>
    <n v="15"/>
    <n v="23"/>
    <n v="28"/>
    <x v="0"/>
    <x v="2"/>
    <n v="9.6"/>
  </r>
  <r>
    <s v="E00134"/>
    <s v="FN135"/>
    <s v="LN135"/>
    <x v="0"/>
    <n v="46"/>
    <x v="1"/>
    <x v="1"/>
    <x v="2"/>
    <x v="1"/>
    <x v="1"/>
    <x v="129"/>
    <m/>
    <x v="0"/>
    <x v="34"/>
    <s v="MBA"/>
    <n v="0"/>
    <n v="81130"/>
    <x v="14"/>
    <x v="20"/>
    <x v="27"/>
    <n v="11"/>
    <n v="19"/>
    <n v="29"/>
    <x v="0"/>
    <x v="0"/>
    <n v="10"/>
  </r>
  <r>
    <s v="E00135"/>
    <s v="FN136"/>
    <s v="LN136"/>
    <x v="1"/>
    <n v="47"/>
    <x v="4"/>
    <x v="9"/>
    <x v="2"/>
    <x v="0"/>
    <x v="0"/>
    <x v="130"/>
    <m/>
    <x v="0"/>
    <x v="54"/>
    <s v="Master"/>
    <n v="22"/>
    <n v="140016"/>
    <x v="10"/>
    <x v="19"/>
    <x v="29"/>
    <n v="7"/>
    <n v="52"/>
    <n v="9"/>
    <x v="1"/>
    <x v="1"/>
    <n v="9.4"/>
  </r>
  <r>
    <s v="E00136"/>
    <s v="FN137"/>
    <s v="LN137"/>
    <x v="0"/>
    <n v="27"/>
    <x v="4"/>
    <x v="6"/>
    <x v="1"/>
    <x v="0"/>
    <x v="1"/>
    <x v="131"/>
    <s v="2026-07-22"/>
    <x v="1"/>
    <x v="70"/>
    <s v="Bachelor"/>
    <n v="26"/>
    <n v="86340"/>
    <x v="9"/>
    <x v="17"/>
    <x v="11"/>
    <n v="18"/>
    <n v="2"/>
    <n v="48"/>
    <x v="1"/>
    <x v="1"/>
    <n v="6.9"/>
  </r>
  <r>
    <s v="E00137"/>
    <s v="FN138"/>
    <s v="LN138"/>
    <x v="1"/>
    <n v="37"/>
    <x v="5"/>
    <x v="8"/>
    <x v="3"/>
    <x v="0"/>
    <x v="0"/>
    <x v="132"/>
    <m/>
    <x v="0"/>
    <x v="52"/>
    <s v="MBA"/>
    <n v="18"/>
    <n v="179587"/>
    <x v="7"/>
    <x v="23"/>
    <x v="39"/>
    <n v="6"/>
    <n v="21"/>
    <n v="44"/>
    <x v="0"/>
    <x v="2"/>
    <n v="3.3"/>
  </r>
  <r>
    <s v="E00138"/>
    <s v="FN139"/>
    <s v="LN139"/>
    <x v="0"/>
    <n v="34"/>
    <x v="5"/>
    <x v="2"/>
    <x v="2"/>
    <x v="0"/>
    <x v="1"/>
    <x v="133"/>
    <m/>
    <x v="0"/>
    <x v="46"/>
    <s v="Master"/>
    <n v="4"/>
    <n v="155935"/>
    <x v="18"/>
    <x v="23"/>
    <x v="41"/>
    <n v="10"/>
    <n v="32"/>
    <n v="53"/>
    <x v="1"/>
    <x v="1"/>
    <n v="4.5"/>
  </r>
  <r>
    <s v="E00139"/>
    <s v="FN140"/>
    <s v="LN140"/>
    <x v="0"/>
    <n v="44"/>
    <x v="3"/>
    <x v="2"/>
    <x v="3"/>
    <x v="0"/>
    <x v="0"/>
    <x v="48"/>
    <m/>
    <x v="0"/>
    <x v="43"/>
    <s v="Bachelor"/>
    <n v="35"/>
    <n v="122196"/>
    <x v="8"/>
    <x v="8"/>
    <x v="11"/>
    <n v="20"/>
    <n v="25"/>
    <n v="54"/>
    <x v="0"/>
    <x v="2"/>
    <n v="2.5"/>
  </r>
  <r>
    <s v="E00140"/>
    <s v="FN141"/>
    <s v="LN141"/>
    <x v="0"/>
    <n v="36"/>
    <x v="3"/>
    <x v="2"/>
    <x v="3"/>
    <x v="1"/>
    <x v="0"/>
    <x v="134"/>
    <m/>
    <x v="0"/>
    <x v="47"/>
    <s v="Bachelor"/>
    <n v="25"/>
    <n v="165294"/>
    <x v="19"/>
    <x v="2"/>
    <x v="17"/>
    <n v="11"/>
    <n v="51"/>
    <n v="44"/>
    <x v="1"/>
    <x v="0"/>
    <n v="0.4"/>
  </r>
  <r>
    <s v="E00141"/>
    <s v="FN142"/>
    <s v="LN142"/>
    <x v="1"/>
    <n v="58"/>
    <x v="3"/>
    <x v="2"/>
    <x v="0"/>
    <x v="2"/>
    <x v="0"/>
    <x v="135"/>
    <m/>
    <x v="0"/>
    <x v="54"/>
    <s v="Bachelor"/>
    <n v="18"/>
    <n v="124241"/>
    <x v="15"/>
    <x v="5"/>
    <x v="0"/>
    <n v="5"/>
    <n v="48"/>
    <n v="44"/>
    <x v="1"/>
    <x v="0"/>
    <n v="10"/>
  </r>
  <r>
    <s v="E00142"/>
    <s v="FN143"/>
    <s v="LN143"/>
    <x v="0"/>
    <n v="58"/>
    <x v="5"/>
    <x v="8"/>
    <x v="0"/>
    <x v="0"/>
    <x v="0"/>
    <x v="136"/>
    <s v="2031-12-01"/>
    <x v="1"/>
    <x v="69"/>
    <s v="Bachelor"/>
    <n v="11"/>
    <n v="42712"/>
    <x v="14"/>
    <x v="13"/>
    <x v="46"/>
    <n v="3"/>
    <n v="7"/>
    <n v="41"/>
    <x v="1"/>
    <x v="1"/>
    <n v="2.2999999999999998"/>
  </r>
  <r>
    <s v="E00143"/>
    <s v="FN144"/>
    <s v="LN144"/>
    <x v="0"/>
    <n v="26"/>
    <x v="1"/>
    <x v="4"/>
    <x v="4"/>
    <x v="1"/>
    <x v="0"/>
    <x v="137"/>
    <m/>
    <x v="0"/>
    <x v="58"/>
    <s v="Master"/>
    <n v="3"/>
    <n v="70152"/>
    <x v="6"/>
    <x v="12"/>
    <x v="0"/>
    <n v="15"/>
    <n v="35"/>
    <n v="73"/>
    <x v="0"/>
    <x v="2"/>
    <n v="8.4"/>
  </r>
  <r>
    <s v="E00144"/>
    <s v="FN145"/>
    <s v="LN145"/>
    <x v="1"/>
    <n v="59"/>
    <x v="3"/>
    <x v="2"/>
    <x v="3"/>
    <x v="2"/>
    <x v="1"/>
    <x v="138"/>
    <m/>
    <x v="0"/>
    <x v="21"/>
    <s v="Master"/>
    <n v="27"/>
    <n v="93020"/>
    <x v="16"/>
    <x v="18"/>
    <x v="40"/>
    <n v="17"/>
    <n v="8"/>
    <n v="21"/>
    <x v="0"/>
    <x v="0"/>
    <n v="10"/>
  </r>
  <r>
    <s v="E00145"/>
    <s v="FN146"/>
    <s v="LN146"/>
    <x v="1"/>
    <n v="28"/>
    <x v="1"/>
    <x v="4"/>
    <x v="2"/>
    <x v="2"/>
    <x v="0"/>
    <x v="139"/>
    <s v="2020-08-20"/>
    <x v="1"/>
    <x v="19"/>
    <s v="MBA"/>
    <n v="6"/>
    <n v="102076"/>
    <x v="14"/>
    <x v="5"/>
    <x v="48"/>
    <n v="9"/>
    <n v="5"/>
    <n v="16"/>
    <x v="0"/>
    <x v="1"/>
    <n v="9"/>
  </r>
  <r>
    <s v="E00146"/>
    <s v="FN147"/>
    <s v="LN147"/>
    <x v="1"/>
    <n v="40"/>
    <x v="4"/>
    <x v="2"/>
    <x v="0"/>
    <x v="1"/>
    <x v="1"/>
    <x v="140"/>
    <m/>
    <x v="0"/>
    <x v="71"/>
    <s v="MBA"/>
    <n v="33"/>
    <n v="85801"/>
    <x v="18"/>
    <x v="22"/>
    <x v="42"/>
    <n v="12"/>
    <n v="6"/>
    <n v="19"/>
    <x v="0"/>
    <x v="1"/>
    <n v="4.8"/>
  </r>
  <r>
    <s v="E00147"/>
    <s v="FN148"/>
    <s v="LN148"/>
    <x v="1"/>
    <n v="31"/>
    <x v="0"/>
    <x v="2"/>
    <x v="4"/>
    <x v="2"/>
    <x v="0"/>
    <x v="141"/>
    <m/>
    <x v="0"/>
    <x v="28"/>
    <s v="Bachelor"/>
    <n v="8"/>
    <n v="141763"/>
    <x v="8"/>
    <x v="7"/>
    <x v="49"/>
    <n v="0"/>
    <n v="51"/>
    <n v="58"/>
    <x v="0"/>
    <x v="1"/>
    <n v="7.2"/>
  </r>
  <r>
    <s v="E00148"/>
    <s v="FN149"/>
    <s v="LN149"/>
    <x v="0"/>
    <n v="56"/>
    <x v="3"/>
    <x v="10"/>
    <x v="0"/>
    <x v="0"/>
    <x v="0"/>
    <x v="142"/>
    <m/>
    <x v="0"/>
    <x v="1"/>
    <s v="Bachelor"/>
    <n v="2"/>
    <n v="42856"/>
    <x v="15"/>
    <x v="14"/>
    <x v="7"/>
    <n v="10"/>
    <n v="35"/>
    <n v="71"/>
    <x v="1"/>
    <x v="1"/>
    <n v="3.5"/>
  </r>
  <r>
    <s v="E00149"/>
    <s v="FN150"/>
    <s v="LN150"/>
    <x v="1"/>
    <n v="42"/>
    <x v="2"/>
    <x v="5"/>
    <x v="4"/>
    <x v="0"/>
    <x v="0"/>
    <x v="143"/>
    <m/>
    <x v="0"/>
    <x v="68"/>
    <s v="MBA"/>
    <n v="24"/>
    <n v="128867"/>
    <x v="12"/>
    <x v="9"/>
    <x v="44"/>
    <n v="11"/>
    <n v="53"/>
    <n v="25"/>
    <x v="0"/>
    <x v="2"/>
    <n v="9.1"/>
  </r>
  <r>
    <s v="E00150"/>
    <s v="FN151"/>
    <s v="LN151"/>
    <x v="1"/>
    <n v="38"/>
    <x v="0"/>
    <x v="0"/>
    <x v="2"/>
    <x v="2"/>
    <x v="1"/>
    <x v="144"/>
    <m/>
    <x v="0"/>
    <x v="24"/>
    <s v="Bachelor"/>
    <n v="13"/>
    <n v="176447"/>
    <x v="1"/>
    <x v="24"/>
    <x v="25"/>
    <n v="16"/>
    <n v="5"/>
    <n v="40"/>
    <x v="0"/>
    <x v="0"/>
    <n v="9"/>
  </r>
  <r>
    <s v="E00151"/>
    <s v="FN152"/>
    <s v="LN152"/>
    <x v="0"/>
    <n v="45"/>
    <x v="3"/>
    <x v="2"/>
    <x v="3"/>
    <x v="0"/>
    <x v="1"/>
    <x v="145"/>
    <m/>
    <x v="0"/>
    <x v="28"/>
    <s v="MBA"/>
    <n v="14"/>
    <n v="170640"/>
    <x v="9"/>
    <x v="4"/>
    <x v="35"/>
    <n v="1"/>
    <n v="25"/>
    <n v="11"/>
    <x v="1"/>
    <x v="1"/>
    <n v="6.6"/>
  </r>
  <r>
    <s v="E00152"/>
    <s v="FN153"/>
    <s v="LN153"/>
    <x v="1"/>
    <n v="36"/>
    <x v="5"/>
    <x v="6"/>
    <x v="4"/>
    <x v="1"/>
    <x v="1"/>
    <x v="146"/>
    <m/>
    <x v="0"/>
    <x v="8"/>
    <s v="Master"/>
    <n v="32"/>
    <n v="90972"/>
    <x v="16"/>
    <x v="16"/>
    <x v="36"/>
    <n v="15"/>
    <n v="52"/>
    <n v="26"/>
    <x v="1"/>
    <x v="1"/>
    <n v="2.4"/>
  </r>
  <r>
    <s v="E00153"/>
    <s v="FN154"/>
    <s v="LN154"/>
    <x v="1"/>
    <n v="48"/>
    <x v="5"/>
    <x v="8"/>
    <x v="1"/>
    <x v="1"/>
    <x v="1"/>
    <x v="147"/>
    <m/>
    <x v="0"/>
    <x v="70"/>
    <s v="MBA"/>
    <n v="11"/>
    <n v="157468"/>
    <x v="20"/>
    <x v="1"/>
    <x v="24"/>
    <n v="3"/>
    <n v="21"/>
    <n v="8"/>
    <x v="1"/>
    <x v="1"/>
    <n v="4.0999999999999996"/>
  </r>
  <r>
    <s v="E00154"/>
    <s v="FN155"/>
    <s v="LN155"/>
    <x v="0"/>
    <n v="38"/>
    <x v="1"/>
    <x v="4"/>
    <x v="4"/>
    <x v="2"/>
    <x v="0"/>
    <x v="148"/>
    <m/>
    <x v="0"/>
    <x v="61"/>
    <s v="Bachelor"/>
    <n v="4"/>
    <n v="167829"/>
    <x v="17"/>
    <x v="8"/>
    <x v="21"/>
    <n v="18"/>
    <n v="31"/>
    <n v="26"/>
    <x v="1"/>
    <x v="2"/>
    <n v="4.7"/>
  </r>
  <r>
    <s v="E00155"/>
    <s v="FN156"/>
    <s v="LN156"/>
    <x v="0"/>
    <n v="51"/>
    <x v="4"/>
    <x v="9"/>
    <x v="2"/>
    <x v="1"/>
    <x v="1"/>
    <x v="149"/>
    <m/>
    <x v="0"/>
    <x v="56"/>
    <s v="Bachelor"/>
    <n v="4"/>
    <n v="50487"/>
    <x v="13"/>
    <x v="5"/>
    <x v="24"/>
    <n v="16"/>
    <n v="20"/>
    <n v="39"/>
    <x v="0"/>
    <x v="1"/>
    <n v="2.8"/>
  </r>
  <r>
    <s v="E00156"/>
    <s v="FN157"/>
    <s v="LN157"/>
    <x v="1"/>
    <n v="56"/>
    <x v="4"/>
    <x v="6"/>
    <x v="4"/>
    <x v="0"/>
    <x v="1"/>
    <x v="150"/>
    <m/>
    <x v="0"/>
    <x v="55"/>
    <s v="Bachelor"/>
    <n v="20"/>
    <n v="80860"/>
    <x v="17"/>
    <x v="4"/>
    <x v="12"/>
    <n v="15"/>
    <n v="44"/>
    <n v="47"/>
    <x v="1"/>
    <x v="2"/>
    <n v="9.3000000000000007"/>
  </r>
  <r>
    <s v="E00157"/>
    <s v="FN158"/>
    <s v="LN158"/>
    <x v="0"/>
    <n v="38"/>
    <x v="5"/>
    <x v="8"/>
    <x v="4"/>
    <x v="1"/>
    <x v="1"/>
    <x v="151"/>
    <m/>
    <x v="0"/>
    <x v="50"/>
    <s v="Master"/>
    <n v="23"/>
    <n v="100225"/>
    <x v="5"/>
    <x v="9"/>
    <x v="42"/>
    <n v="12"/>
    <n v="28"/>
    <n v="43"/>
    <x v="1"/>
    <x v="2"/>
    <n v="4.4000000000000004"/>
  </r>
  <r>
    <s v="E00158"/>
    <s v="FN159"/>
    <s v="LN159"/>
    <x v="0"/>
    <n v="43"/>
    <x v="5"/>
    <x v="6"/>
    <x v="4"/>
    <x v="1"/>
    <x v="1"/>
    <x v="152"/>
    <m/>
    <x v="0"/>
    <x v="32"/>
    <s v="Bachelor"/>
    <n v="21"/>
    <n v="153378"/>
    <x v="17"/>
    <x v="25"/>
    <x v="2"/>
    <n v="0"/>
    <n v="54"/>
    <n v="36"/>
    <x v="0"/>
    <x v="1"/>
    <n v="3.7"/>
  </r>
  <r>
    <s v="E00159"/>
    <s v="FN160"/>
    <s v="LN160"/>
    <x v="1"/>
    <n v="24"/>
    <x v="1"/>
    <x v="1"/>
    <x v="2"/>
    <x v="2"/>
    <x v="0"/>
    <x v="153"/>
    <m/>
    <x v="0"/>
    <x v="2"/>
    <s v="MBA"/>
    <n v="2"/>
    <n v="173568"/>
    <x v="10"/>
    <x v="6"/>
    <x v="40"/>
    <n v="17"/>
    <n v="28"/>
    <n v="26"/>
    <x v="0"/>
    <x v="0"/>
    <n v="2.5"/>
  </r>
  <r>
    <s v="E00160"/>
    <s v="FN161"/>
    <s v="LN161"/>
    <x v="1"/>
    <n v="28"/>
    <x v="4"/>
    <x v="9"/>
    <x v="4"/>
    <x v="2"/>
    <x v="0"/>
    <x v="154"/>
    <s v="2021-02-28"/>
    <x v="1"/>
    <x v="53"/>
    <s v="Master"/>
    <n v="19"/>
    <n v="55086"/>
    <x v="11"/>
    <x v="8"/>
    <x v="23"/>
    <n v="6"/>
    <n v="19"/>
    <n v="4"/>
    <x v="0"/>
    <x v="2"/>
    <n v="8.1999999999999993"/>
  </r>
  <r>
    <s v="E00161"/>
    <s v="FN162"/>
    <s v="LN162"/>
    <x v="0"/>
    <n v="22"/>
    <x v="4"/>
    <x v="2"/>
    <x v="2"/>
    <x v="1"/>
    <x v="1"/>
    <x v="155"/>
    <m/>
    <x v="0"/>
    <x v="18"/>
    <s v="Master"/>
    <n v="25"/>
    <n v="71916"/>
    <x v="9"/>
    <x v="14"/>
    <x v="26"/>
    <n v="2"/>
    <n v="29"/>
    <n v="10"/>
    <x v="0"/>
    <x v="2"/>
    <n v="4.4000000000000004"/>
  </r>
  <r>
    <s v="E00162"/>
    <s v="FN163"/>
    <s v="LN163"/>
    <x v="1"/>
    <n v="57"/>
    <x v="3"/>
    <x v="2"/>
    <x v="4"/>
    <x v="2"/>
    <x v="1"/>
    <x v="156"/>
    <m/>
    <x v="0"/>
    <x v="49"/>
    <s v="Master"/>
    <n v="23"/>
    <n v="73033"/>
    <x v="18"/>
    <x v="14"/>
    <x v="2"/>
    <n v="9"/>
    <n v="38"/>
    <n v="20"/>
    <x v="1"/>
    <x v="1"/>
    <n v="3.7"/>
  </r>
  <r>
    <s v="E00163"/>
    <s v="FN164"/>
    <s v="LN164"/>
    <x v="1"/>
    <n v="57"/>
    <x v="3"/>
    <x v="10"/>
    <x v="2"/>
    <x v="1"/>
    <x v="0"/>
    <x v="157"/>
    <m/>
    <x v="0"/>
    <x v="52"/>
    <s v="Bachelor"/>
    <n v="8"/>
    <n v="159491"/>
    <x v="10"/>
    <x v="6"/>
    <x v="23"/>
    <n v="6"/>
    <n v="19"/>
    <n v="51"/>
    <x v="1"/>
    <x v="1"/>
    <n v="6.5"/>
  </r>
  <r>
    <s v="E00164"/>
    <s v="FN165"/>
    <s v="LN165"/>
    <x v="0"/>
    <n v="23"/>
    <x v="1"/>
    <x v="1"/>
    <x v="3"/>
    <x v="1"/>
    <x v="1"/>
    <x v="158"/>
    <m/>
    <x v="0"/>
    <x v="6"/>
    <s v="Bachelor"/>
    <n v="22"/>
    <n v="110770"/>
    <x v="14"/>
    <x v="18"/>
    <x v="9"/>
    <n v="0"/>
    <n v="18"/>
    <n v="19"/>
    <x v="0"/>
    <x v="1"/>
    <n v="4.3"/>
  </r>
  <r>
    <s v="E00165"/>
    <s v="FN166"/>
    <s v="LN166"/>
    <x v="0"/>
    <n v="23"/>
    <x v="0"/>
    <x v="0"/>
    <x v="2"/>
    <x v="1"/>
    <x v="0"/>
    <x v="159"/>
    <m/>
    <x v="0"/>
    <x v="63"/>
    <s v="Master"/>
    <n v="28"/>
    <n v="50498"/>
    <x v="3"/>
    <x v="2"/>
    <x v="27"/>
    <n v="13"/>
    <n v="42"/>
    <n v="11"/>
    <x v="0"/>
    <x v="0"/>
    <n v="4.7"/>
  </r>
  <r>
    <s v="E00166"/>
    <s v="FN167"/>
    <s v="LN167"/>
    <x v="1"/>
    <n v="40"/>
    <x v="4"/>
    <x v="2"/>
    <x v="3"/>
    <x v="1"/>
    <x v="0"/>
    <x v="160"/>
    <m/>
    <x v="0"/>
    <x v="20"/>
    <s v="MBA"/>
    <n v="25"/>
    <n v="163841"/>
    <x v="3"/>
    <x v="24"/>
    <x v="22"/>
    <n v="7"/>
    <n v="12"/>
    <n v="36"/>
    <x v="1"/>
    <x v="1"/>
    <n v="8.5"/>
  </r>
  <r>
    <s v="E00167"/>
    <s v="FN168"/>
    <s v="LN168"/>
    <x v="0"/>
    <n v="45"/>
    <x v="5"/>
    <x v="2"/>
    <x v="0"/>
    <x v="2"/>
    <x v="0"/>
    <x v="161"/>
    <m/>
    <x v="0"/>
    <x v="57"/>
    <s v="Master"/>
    <n v="18"/>
    <n v="167715"/>
    <x v="14"/>
    <x v="5"/>
    <x v="32"/>
    <n v="8"/>
    <n v="38"/>
    <n v="46"/>
    <x v="1"/>
    <x v="1"/>
    <n v="5.2"/>
  </r>
  <r>
    <s v="E00168"/>
    <s v="FN169"/>
    <s v="LN169"/>
    <x v="0"/>
    <n v="35"/>
    <x v="5"/>
    <x v="2"/>
    <x v="2"/>
    <x v="1"/>
    <x v="0"/>
    <x v="162"/>
    <s v="2026-06-02"/>
    <x v="1"/>
    <x v="39"/>
    <s v="Master"/>
    <n v="27"/>
    <n v="40111"/>
    <x v="16"/>
    <x v="12"/>
    <x v="27"/>
    <n v="0"/>
    <n v="9"/>
    <n v="33"/>
    <x v="1"/>
    <x v="0"/>
    <n v="7.4"/>
  </r>
  <r>
    <s v="E00169"/>
    <s v="FN170"/>
    <s v="LN170"/>
    <x v="0"/>
    <n v="56"/>
    <x v="3"/>
    <x v="2"/>
    <x v="3"/>
    <x v="1"/>
    <x v="1"/>
    <x v="163"/>
    <m/>
    <x v="0"/>
    <x v="33"/>
    <s v="Master"/>
    <n v="20"/>
    <n v="149298"/>
    <x v="9"/>
    <x v="22"/>
    <x v="19"/>
    <n v="15"/>
    <n v="57"/>
    <n v="7"/>
    <x v="0"/>
    <x v="2"/>
    <n v="7.5"/>
  </r>
  <r>
    <s v="E00170"/>
    <s v="FN171"/>
    <s v="LN171"/>
    <x v="0"/>
    <n v="27"/>
    <x v="3"/>
    <x v="2"/>
    <x v="0"/>
    <x v="2"/>
    <x v="0"/>
    <x v="164"/>
    <m/>
    <x v="0"/>
    <x v="16"/>
    <s v="Bachelor"/>
    <n v="21"/>
    <n v="128673"/>
    <x v="6"/>
    <x v="5"/>
    <x v="13"/>
    <n v="8"/>
    <n v="33"/>
    <n v="74"/>
    <x v="1"/>
    <x v="2"/>
    <n v="10"/>
  </r>
  <r>
    <s v="E00171"/>
    <s v="FN172"/>
    <s v="LN172"/>
    <x v="0"/>
    <n v="38"/>
    <x v="0"/>
    <x v="2"/>
    <x v="3"/>
    <x v="0"/>
    <x v="0"/>
    <x v="165"/>
    <m/>
    <x v="0"/>
    <x v="4"/>
    <s v="MBA"/>
    <n v="14"/>
    <n v="115583"/>
    <x v="4"/>
    <x v="16"/>
    <x v="32"/>
    <n v="0"/>
    <n v="16"/>
    <n v="6"/>
    <x v="1"/>
    <x v="1"/>
    <n v="9.3000000000000007"/>
  </r>
  <r>
    <s v="E00172"/>
    <s v="FN173"/>
    <s v="LN173"/>
    <x v="0"/>
    <n v="58"/>
    <x v="1"/>
    <x v="4"/>
    <x v="2"/>
    <x v="2"/>
    <x v="1"/>
    <x v="166"/>
    <m/>
    <x v="0"/>
    <x v="17"/>
    <s v="MBA"/>
    <n v="22"/>
    <n v="108291"/>
    <x v="9"/>
    <x v="11"/>
    <x v="1"/>
    <n v="13"/>
    <n v="30"/>
    <n v="40"/>
    <x v="1"/>
    <x v="0"/>
    <n v="9.8000000000000007"/>
  </r>
  <r>
    <s v="E00173"/>
    <s v="FN174"/>
    <s v="LN174"/>
    <x v="0"/>
    <n v="26"/>
    <x v="3"/>
    <x v="10"/>
    <x v="0"/>
    <x v="2"/>
    <x v="1"/>
    <x v="167"/>
    <m/>
    <x v="0"/>
    <x v="45"/>
    <s v="Master"/>
    <n v="15"/>
    <n v="82214"/>
    <x v="18"/>
    <x v="3"/>
    <x v="15"/>
    <n v="11"/>
    <n v="17"/>
    <n v="17"/>
    <x v="1"/>
    <x v="0"/>
    <n v="6.7"/>
  </r>
  <r>
    <s v="E00174"/>
    <s v="FN175"/>
    <s v="LN175"/>
    <x v="1"/>
    <n v="54"/>
    <x v="5"/>
    <x v="8"/>
    <x v="3"/>
    <x v="2"/>
    <x v="1"/>
    <x v="168"/>
    <m/>
    <x v="0"/>
    <x v="67"/>
    <s v="MBA"/>
    <n v="5"/>
    <n v="40710"/>
    <x v="12"/>
    <x v="7"/>
    <x v="21"/>
    <n v="19"/>
    <n v="26"/>
    <n v="78"/>
    <x v="1"/>
    <x v="2"/>
    <n v="2.4"/>
  </r>
  <r>
    <s v="E00175"/>
    <s v="FN176"/>
    <s v="LN176"/>
    <x v="0"/>
    <n v="45"/>
    <x v="0"/>
    <x v="2"/>
    <x v="1"/>
    <x v="2"/>
    <x v="1"/>
    <x v="169"/>
    <m/>
    <x v="0"/>
    <x v="49"/>
    <s v="Bachelor"/>
    <n v="11"/>
    <n v="71295"/>
    <x v="14"/>
    <x v="20"/>
    <x v="39"/>
    <n v="20"/>
    <n v="42"/>
    <n v="55"/>
    <x v="1"/>
    <x v="2"/>
    <n v="0.9"/>
  </r>
  <r>
    <s v="E00176"/>
    <s v="FN177"/>
    <s v="LN177"/>
    <x v="1"/>
    <n v="42"/>
    <x v="4"/>
    <x v="2"/>
    <x v="1"/>
    <x v="2"/>
    <x v="1"/>
    <x v="170"/>
    <m/>
    <x v="0"/>
    <x v="8"/>
    <s v="MBA"/>
    <n v="0"/>
    <n v="149239"/>
    <x v="11"/>
    <x v="12"/>
    <x v="29"/>
    <n v="18"/>
    <n v="27"/>
    <n v="2"/>
    <x v="0"/>
    <x v="0"/>
    <n v="9.8000000000000007"/>
  </r>
  <r>
    <s v="E00177"/>
    <s v="FN178"/>
    <s v="LN178"/>
    <x v="0"/>
    <n v="50"/>
    <x v="0"/>
    <x v="0"/>
    <x v="2"/>
    <x v="1"/>
    <x v="0"/>
    <x v="171"/>
    <m/>
    <x v="0"/>
    <x v="72"/>
    <s v="MBA"/>
    <n v="6"/>
    <n v="116544"/>
    <x v="17"/>
    <x v="13"/>
    <x v="34"/>
    <n v="18"/>
    <n v="3"/>
    <n v="71"/>
    <x v="1"/>
    <x v="2"/>
    <n v="3.6"/>
  </r>
  <r>
    <s v="E00178"/>
    <s v="FN179"/>
    <s v="LN179"/>
    <x v="0"/>
    <n v="31"/>
    <x v="1"/>
    <x v="4"/>
    <x v="2"/>
    <x v="1"/>
    <x v="0"/>
    <x v="172"/>
    <m/>
    <x v="0"/>
    <x v="59"/>
    <s v="Bachelor"/>
    <n v="31"/>
    <n v="51296"/>
    <x v="20"/>
    <x v="9"/>
    <x v="28"/>
    <n v="7"/>
    <n v="44"/>
    <n v="16"/>
    <x v="0"/>
    <x v="2"/>
    <n v="5"/>
  </r>
  <r>
    <s v="E00179"/>
    <s v="FN180"/>
    <s v="LN180"/>
    <x v="1"/>
    <n v="34"/>
    <x v="3"/>
    <x v="2"/>
    <x v="2"/>
    <x v="1"/>
    <x v="0"/>
    <x v="173"/>
    <m/>
    <x v="0"/>
    <x v="12"/>
    <s v="MBA"/>
    <n v="11"/>
    <n v="162069"/>
    <x v="7"/>
    <x v="4"/>
    <x v="3"/>
    <n v="9"/>
    <n v="45"/>
    <n v="65"/>
    <x v="0"/>
    <x v="2"/>
    <n v="4.5"/>
  </r>
  <r>
    <s v="E00180"/>
    <s v="FN181"/>
    <s v="LN181"/>
    <x v="1"/>
    <n v="21"/>
    <x v="1"/>
    <x v="4"/>
    <x v="0"/>
    <x v="2"/>
    <x v="1"/>
    <x v="174"/>
    <m/>
    <x v="0"/>
    <x v="36"/>
    <s v="Master"/>
    <n v="20"/>
    <n v="81369"/>
    <x v="2"/>
    <x v="20"/>
    <x v="14"/>
    <n v="2"/>
    <n v="21"/>
    <n v="57"/>
    <x v="1"/>
    <x v="2"/>
    <n v="10.3"/>
  </r>
  <r>
    <s v="E00181"/>
    <s v="FN182"/>
    <s v="LN182"/>
    <x v="0"/>
    <n v="24"/>
    <x v="4"/>
    <x v="6"/>
    <x v="4"/>
    <x v="0"/>
    <x v="1"/>
    <x v="175"/>
    <m/>
    <x v="0"/>
    <x v="33"/>
    <s v="MBA"/>
    <n v="28"/>
    <n v="164608"/>
    <x v="7"/>
    <x v="13"/>
    <x v="34"/>
    <n v="9"/>
    <n v="8"/>
    <n v="57"/>
    <x v="0"/>
    <x v="2"/>
    <n v="5.2"/>
  </r>
  <r>
    <s v="E00182"/>
    <s v="FN183"/>
    <s v="LN183"/>
    <x v="1"/>
    <n v="25"/>
    <x v="2"/>
    <x v="5"/>
    <x v="1"/>
    <x v="1"/>
    <x v="1"/>
    <x v="176"/>
    <m/>
    <x v="0"/>
    <x v="11"/>
    <s v="MBA"/>
    <n v="1"/>
    <n v="150931"/>
    <x v="17"/>
    <x v="9"/>
    <x v="18"/>
    <n v="16"/>
    <n v="44"/>
    <n v="29"/>
    <x v="0"/>
    <x v="1"/>
    <n v="2.4"/>
  </r>
  <r>
    <s v="E00183"/>
    <s v="FN184"/>
    <s v="LN184"/>
    <x v="0"/>
    <n v="31"/>
    <x v="3"/>
    <x v="10"/>
    <x v="2"/>
    <x v="0"/>
    <x v="1"/>
    <x v="177"/>
    <m/>
    <x v="0"/>
    <x v="54"/>
    <s v="MBA"/>
    <n v="24"/>
    <n v="62777"/>
    <x v="13"/>
    <x v="23"/>
    <x v="36"/>
    <n v="17"/>
    <n v="20"/>
    <n v="31"/>
    <x v="1"/>
    <x v="0"/>
    <n v="2.7"/>
  </r>
  <r>
    <s v="E00184"/>
    <s v="FN185"/>
    <s v="LN185"/>
    <x v="0"/>
    <n v="27"/>
    <x v="3"/>
    <x v="2"/>
    <x v="3"/>
    <x v="2"/>
    <x v="0"/>
    <x v="178"/>
    <m/>
    <x v="0"/>
    <x v="2"/>
    <s v="Master"/>
    <n v="4"/>
    <n v="60017"/>
    <x v="7"/>
    <x v="3"/>
    <x v="11"/>
    <n v="19"/>
    <n v="30"/>
    <n v="73"/>
    <x v="1"/>
    <x v="1"/>
    <n v="1"/>
  </r>
  <r>
    <s v="E00185"/>
    <s v="FN186"/>
    <s v="LN186"/>
    <x v="0"/>
    <n v="47"/>
    <x v="0"/>
    <x v="2"/>
    <x v="4"/>
    <x v="0"/>
    <x v="1"/>
    <x v="179"/>
    <s v="2017-07-14"/>
    <x v="1"/>
    <x v="69"/>
    <s v="Bachelor"/>
    <n v="21"/>
    <n v="133249"/>
    <x v="5"/>
    <x v="23"/>
    <x v="41"/>
    <n v="18"/>
    <n v="21"/>
    <n v="53"/>
    <x v="1"/>
    <x v="2"/>
    <n v="10.4"/>
  </r>
  <r>
    <s v="E00186"/>
    <s v="FN187"/>
    <s v="LN187"/>
    <x v="1"/>
    <n v="23"/>
    <x v="3"/>
    <x v="2"/>
    <x v="0"/>
    <x v="1"/>
    <x v="0"/>
    <x v="180"/>
    <m/>
    <x v="0"/>
    <x v="73"/>
    <s v="Bachelor"/>
    <n v="9"/>
    <n v="77629"/>
    <x v="14"/>
    <x v="5"/>
    <x v="3"/>
    <n v="16"/>
    <n v="15"/>
    <n v="80"/>
    <x v="1"/>
    <x v="0"/>
    <n v="8.4"/>
  </r>
  <r>
    <s v="E00187"/>
    <s v="FN188"/>
    <s v="LN188"/>
    <x v="1"/>
    <n v="21"/>
    <x v="5"/>
    <x v="6"/>
    <x v="0"/>
    <x v="1"/>
    <x v="0"/>
    <x v="181"/>
    <m/>
    <x v="0"/>
    <x v="15"/>
    <s v="Bachelor"/>
    <n v="23"/>
    <n v="93652"/>
    <x v="11"/>
    <x v="7"/>
    <x v="30"/>
    <n v="6"/>
    <n v="57"/>
    <n v="7"/>
    <x v="1"/>
    <x v="1"/>
    <n v="8.5"/>
  </r>
  <r>
    <s v="E00188"/>
    <s v="FN189"/>
    <s v="LN189"/>
    <x v="1"/>
    <n v="49"/>
    <x v="5"/>
    <x v="8"/>
    <x v="4"/>
    <x v="1"/>
    <x v="0"/>
    <x v="182"/>
    <m/>
    <x v="0"/>
    <x v="59"/>
    <s v="MBA"/>
    <n v="2"/>
    <n v="65729"/>
    <x v="18"/>
    <x v="1"/>
    <x v="43"/>
    <n v="19"/>
    <n v="54"/>
    <n v="21"/>
    <x v="1"/>
    <x v="0"/>
    <n v="6"/>
  </r>
  <r>
    <s v="E00189"/>
    <s v="FN190"/>
    <s v="LN190"/>
    <x v="0"/>
    <n v="25"/>
    <x v="2"/>
    <x v="7"/>
    <x v="4"/>
    <x v="0"/>
    <x v="1"/>
    <x v="183"/>
    <m/>
    <x v="0"/>
    <x v="29"/>
    <s v="Master"/>
    <n v="15"/>
    <n v="125175"/>
    <x v="20"/>
    <x v="5"/>
    <x v="6"/>
    <n v="3"/>
    <n v="6"/>
    <n v="73"/>
    <x v="0"/>
    <x v="1"/>
    <n v="6"/>
  </r>
  <r>
    <s v="E00190"/>
    <s v="FN191"/>
    <s v="LN191"/>
    <x v="0"/>
    <n v="23"/>
    <x v="2"/>
    <x v="7"/>
    <x v="2"/>
    <x v="1"/>
    <x v="0"/>
    <x v="184"/>
    <m/>
    <x v="0"/>
    <x v="20"/>
    <s v="Master"/>
    <n v="33"/>
    <n v="148472"/>
    <x v="10"/>
    <x v="8"/>
    <x v="33"/>
    <n v="20"/>
    <n v="60"/>
    <n v="53"/>
    <x v="0"/>
    <x v="1"/>
    <n v="9"/>
  </r>
  <r>
    <s v="E00191"/>
    <s v="FN192"/>
    <s v="LN192"/>
    <x v="0"/>
    <n v="24"/>
    <x v="0"/>
    <x v="0"/>
    <x v="1"/>
    <x v="0"/>
    <x v="0"/>
    <x v="25"/>
    <m/>
    <x v="0"/>
    <x v="51"/>
    <s v="Master"/>
    <n v="27"/>
    <n v="149763"/>
    <x v="8"/>
    <x v="12"/>
    <x v="16"/>
    <n v="6"/>
    <n v="56"/>
    <n v="50"/>
    <x v="0"/>
    <x v="2"/>
    <n v="8.9"/>
  </r>
  <r>
    <s v="E00192"/>
    <s v="FN193"/>
    <s v="LN193"/>
    <x v="1"/>
    <n v="46"/>
    <x v="1"/>
    <x v="1"/>
    <x v="3"/>
    <x v="0"/>
    <x v="0"/>
    <x v="137"/>
    <m/>
    <x v="0"/>
    <x v="37"/>
    <s v="Master"/>
    <n v="3"/>
    <n v="75582"/>
    <x v="10"/>
    <x v="17"/>
    <x v="20"/>
    <n v="13"/>
    <n v="9"/>
    <n v="36"/>
    <x v="0"/>
    <x v="2"/>
    <n v="8.4"/>
  </r>
  <r>
    <s v="E00193"/>
    <s v="FN194"/>
    <s v="LN194"/>
    <x v="0"/>
    <n v="40"/>
    <x v="0"/>
    <x v="0"/>
    <x v="4"/>
    <x v="1"/>
    <x v="0"/>
    <x v="185"/>
    <m/>
    <x v="0"/>
    <x v="57"/>
    <s v="MBA"/>
    <n v="27"/>
    <n v="118745"/>
    <x v="16"/>
    <x v="2"/>
    <x v="3"/>
    <n v="6"/>
    <n v="14"/>
    <n v="11"/>
    <x v="1"/>
    <x v="2"/>
    <n v="0.9"/>
  </r>
  <r>
    <s v="E00194"/>
    <s v="FN195"/>
    <s v="LN195"/>
    <x v="0"/>
    <n v="43"/>
    <x v="2"/>
    <x v="5"/>
    <x v="0"/>
    <x v="2"/>
    <x v="1"/>
    <x v="186"/>
    <m/>
    <x v="0"/>
    <x v="37"/>
    <s v="Master"/>
    <n v="33"/>
    <n v="149333"/>
    <x v="17"/>
    <x v="19"/>
    <x v="2"/>
    <n v="14"/>
    <n v="16"/>
    <n v="38"/>
    <x v="0"/>
    <x v="0"/>
    <n v="9.1"/>
  </r>
  <r>
    <s v="E00195"/>
    <s v="FN196"/>
    <s v="LN196"/>
    <x v="0"/>
    <n v="46"/>
    <x v="3"/>
    <x v="2"/>
    <x v="3"/>
    <x v="0"/>
    <x v="1"/>
    <x v="187"/>
    <m/>
    <x v="0"/>
    <x v="4"/>
    <s v="MBA"/>
    <n v="12"/>
    <n v="110672"/>
    <x v="14"/>
    <x v="24"/>
    <x v="15"/>
    <n v="5"/>
    <n v="25"/>
    <n v="77"/>
    <x v="0"/>
    <x v="2"/>
    <n v="6.7"/>
  </r>
  <r>
    <s v="E00196"/>
    <s v="FN197"/>
    <s v="LN197"/>
    <x v="0"/>
    <n v="43"/>
    <x v="4"/>
    <x v="6"/>
    <x v="0"/>
    <x v="2"/>
    <x v="1"/>
    <x v="188"/>
    <m/>
    <x v="0"/>
    <x v="55"/>
    <s v="Bachelor"/>
    <n v="34"/>
    <n v="114078"/>
    <x v="6"/>
    <x v="25"/>
    <x v="40"/>
    <n v="19"/>
    <n v="14"/>
    <n v="47"/>
    <x v="0"/>
    <x v="1"/>
    <n v="4.2"/>
  </r>
  <r>
    <s v="E00197"/>
    <s v="FN198"/>
    <s v="LN198"/>
    <x v="0"/>
    <n v="32"/>
    <x v="5"/>
    <x v="2"/>
    <x v="4"/>
    <x v="2"/>
    <x v="1"/>
    <x v="54"/>
    <m/>
    <x v="0"/>
    <x v="62"/>
    <s v="Master"/>
    <n v="11"/>
    <n v="157592"/>
    <x v="9"/>
    <x v="3"/>
    <x v="50"/>
    <n v="20"/>
    <n v="33"/>
    <n v="20"/>
    <x v="0"/>
    <x v="1"/>
    <n v="5.0999999999999996"/>
  </r>
  <r>
    <s v="E00198"/>
    <s v="FN199"/>
    <s v="LN199"/>
    <x v="1"/>
    <n v="35"/>
    <x v="1"/>
    <x v="4"/>
    <x v="4"/>
    <x v="2"/>
    <x v="0"/>
    <x v="189"/>
    <m/>
    <x v="0"/>
    <x v="41"/>
    <s v="Bachelor"/>
    <n v="32"/>
    <n v="58420"/>
    <x v="12"/>
    <x v="17"/>
    <x v="16"/>
    <n v="12"/>
    <n v="21"/>
    <n v="80"/>
    <x v="0"/>
    <x v="2"/>
    <n v="6.4"/>
  </r>
  <r>
    <s v="E00199"/>
    <s v="FN200"/>
    <s v="LN200"/>
    <x v="1"/>
    <n v="27"/>
    <x v="2"/>
    <x v="3"/>
    <x v="4"/>
    <x v="1"/>
    <x v="0"/>
    <x v="190"/>
    <s v="2025-11-12"/>
    <x v="1"/>
    <x v="26"/>
    <s v="MBA"/>
    <n v="6"/>
    <n v="151540"/>
    <x v="8"/>
    <x v="22"/>
    <x v="26"/>
    <n v="10"/>
    <n v="56"/>
    <n v="48"/>
    <x v="1"/>
    <x v="0"/>
    <n v="8.3000000000000007"/>
  </r>
  <r>
    <s v="E00200"/>
    <s v="FN201"/>
    <s v="LN201"/>
    <x v="1"/>
    <n v="56"/>
    <x v="4"/>
    <x v="2"/>
    <x v="0"/>
    <x v="2"/>
    <x v="0"/>
    <x v="191"/>
    <m/>
    <x v="0"/>
    <x v="35"/>
    <s v="Master"/>
    <n v="5"/>
    <n v="62582"/>
    <x v="8"/>
    <x v="8"/>
    <x v="49"/>
    <n v="13"/>
    <n v="29"/>
    <n v="33"/>
    <x v="1"/>
    <x v="0"/>
    <n v="0.2"/>
  </r>
  <r>
    <s v="E00201"/>
    <s v="FN202"/>
    <s v="LN202"/>
    <x v="1"/>
    <n v="54"/>
    <x v="4"/>
    <x v="2"/>
    <x v="1"/>
    <x v="1"/>
    <x v="0"/>
    <x v="192"/>
    <m/>
    <x v="0"/>
    <x v="51"/>
    <s v="Master"/>
    <n v="14"/>
    <n v="125660"/>
    <x v="8"/>
    <x v="25"/>
    <x v="3"/>
    <n v="7"/>
    <n v="45"/>
    <n v="76"/>
    <x v="0"/>
    <x v="1"/>
    <n v="4.8"/>
  </r>
  <r>
    <s v="E00202"/>
    <s v="FN203"/>
    <s v="LN203"/>
    <x v="1"/>
    <n v="41"/>
    <x v="1"/>
    <x v="1"/>
    <x v="1"/>
    <x v="0"/>
    <x v="1"/>
    <x v="193"/>
    <m/>
    <x v="0"/>
    <x v="38"/>
    <s v="Master"/>
    <n v="31"/>
    <n v="99749"/>
    <x v="11"/>
    <x v="1"/>
    <x v="17"/>
    <n v="15"/>
    <n v="50"/>
    <n v="5"/>
    <x v="1"/>
    <x v="0"/>
    <n v="2.6"/>
  </r>
  <r>
    <s v="E00203"/>
    <s v="FN204"/>
    <s v="LN204"/>
    <x v="0"/>
    <n v="24"/>
    <x v="3"/>
    <x v="10"/>
    <x v="3"/>
    <x v="1"/>
    <x v="1"/>
    <x v="194"/>
    <m/>
    <x v="0"/>
    <x v="3"/>
    <s v="Master"/>
    <n v="3"/>
    <n v="60980"/>
    <x v="16"/>
    <x v="13"/>
    <x v="33"/>
    <n v="20"/>
    <n v="51"/>
    <n v="59"/>
    <x v="1"/>
    <x v="1"/>
    <n v="5.2"/>
  </r>
  <r>
    <s v="E00204"/>
    <s v="FN205"/>
    <s v="LN205"/>
    <x v="1"/>
    <n v="30"/>
    <x v="2"/>
    <x v="5"/>
    <x v="2"/>
    <x v="0"/>
    <x v="1"/>
    <x v="195"/>
    <m/>
    <x v="0"/>
    <x v="42"/>
    <s v="Master"/>
    <n v="15"/>
    <n v="53406"/>
    <x v="17"/>
    <x v="19"/>
    <x v="11"/>
    <n v="7"/>
    <n v="47"/>
    <n v="14"/>
    <x v="0"/>
    <x v="0"/>
    <n v="7.4"/>
  </r>
  <r>
    <s v="E00205"/>
    <s v="FN206"/>
    <s v="LN206"/>
    <x v="1"/>
    <n v="51"/>
    <x v="5"/>
    <x v="2"/>
    <x v="4"/>
    <x v="2"/>
    <x v="1"/>
    <x v="196"/>
    <m/>
    <x v="0"/>
    <x v="13"/>
    <s v="Bachelor"/>
    <n v="26"/>
    <n v="86579"/>
    <x v="2"/>
    <x v="25"/>
    <x v="12"/>
    <n v="13"/>
    <n v="46"/>
    <n v="0"/>
    <x v="1"/>
    <x v="0"/>
    <n v="2.5"/>
  </r>
  <r>
    <s v="E00206"/>
    <s v="FN207"/>
    <s v="LN207"/>
    <x v="0"/>
    <n v="23"/>
    <x v="2"/>
    <x v="7"/>
    <x v="4"/>
    <x v="0"/>
    <x v="1"/>
    <x v="197"/>
    <m/>
    <x v="0"/>
    <x v="19"/>
    <s v="Bachelor"/>
    <n v="33"/>
    <n v="134439"/>
    <x v="18"/>
    <x v="1"/>
    <x v="8"/>
    <n v="17"/>
    <n v="45"/>
    <n v="24"/>
    <x v="0"/>
    <x v="2"/>
    <n v="4.5999999999999996"/>
  </r>
  <r>
    <s v="E00207"/>
    <s v="FN208"/>
    <s v="LN208"/>
    <x v="1"/>
    <n v="40"/>
    <x v="4"/>
    <x v="9"/>
    <x v="4"/>
    <x v="1"/>
    <x v="0"/>
    <x v="198"/>
    <s v="2032-06-24"/>
    <x v="1"/>
    <x v="26"/>
    <s v="Master"/>
    <n v="33"/>
    <n v="60396"/>
    <x v="19"/>
    <x v="0"/>
    <x v="15"/>
    <n v="4"/>
    <n v="28"/>
    <n v="8"/>
    <x v="1"/>
    <x v="0"/>
    <n v="0.8"/>
  </r>
  <r>
    <s v="E00208"/>
    <s v="FN209"/>
    <s v="LN209"/>
    <x v="1"/>
    <n v="36"/>
    <x v="2"/>
    <x v="3"/>
    <x v="2"/>
    <x v="1"/>
    <x v="1"/>
    <x v="199"/>
    <m/>
    <x v="0"/>
    <x v="67"/>
    <s v="MBA"/>
    <n v="15"/>
    <n v="125031"/>
    <x v="19"/>
    <x v="25"/>
    <x v="36"/>
    <n v="3"/>
    <n v="27"/>
    <n v="14"/>
    <x v="0"/>
    <x v="1"/>
    <n v="7.6"/>
  </r>
  <r>
    <s v="E00209"/>
    <s v="FN210"/>
    <s v="LN210"/>
    <x v="0"/>
    <n v="37"/>
    <x v="0"/>
    <x v="0"/>
    <x v="4"/>
    <x v="2"/>
    <x v="0"/>
    <x v="200"/>
    <m/>
    <x v="0"/>
    <x v="68"/>
    <s v="Bachelor"/>
    <n v="16"/>
    <n v="147519"/>
    <x v="5"/>
    <x v="16"/>
    <x v="49"/>
    <n v="7"/>
    <n v="58"/>
    <n v="17"/>
    <x v="0"/>
    <x v="0"/>
    <n v="8.4"/>
  </r>
  <r>
    <s v="E00210"/>
    <s v="FN211"/>
    <s v="LN211"/>
    <x v="0"/>
    <n v="45"/>
    <x v="0"/>
    <x v="0"/>
    <x v="1"/>
    <x v="2"/>
    <x v="1"/>
    <x v="201"/>
    <m/>
    <x v="0"/>
    <x v="37"/>
    <s v="Bachelor"/>
    <n v="25"/>
    <n v="66765"/>
    <x v="19"/>
    <x v="6"/>
    <x v="19"/>
    <n v="10"/>
    <n v="53"/>
    <n v="28"/>
    <x v="1"/>
    <x v="0"/>
    <n v="1.9"/>
  </r>
  <r>
    <s v="E00211"/>
    <s v="FN212"/>
    <s v="LN212"/>
    <x v="0"/>
    <n v="46"/>
    <x v="2"/>
    <x v="5"/>
    <x v="1"/>
    <x v="2"/>
    <x v="0"/>
    <x v="202"/>
    <s v="2021-07-15"/>
    <x v="1"/>
    <x v="45"/>
    <s v="Bachelor"/>
    <n v="15"/>
    <n v="58566"/>
    <x v="15"/>
    <x v="15"/>
    <x v="50"/>
    <n v="5"/>
    <n v="33"/>
    <n v="30"/>
    <x v="0"/>
    <x v="2"/>
    <n v="9.8000000000000007"/>
  </r>
  <r>
    <s v="E00212"/>
    <s v="FN213"/>
    <s v="LN213"/>
    <x v="1"/>
    <n v="33"/>
    <x v="2"/>
    <x v="3"/>
    <x v="3"/>
    <x v="0"/>
    <x v="1"/>
    <x v="203"/>
    <m/>
    <x v="0"/>
    <x v="46"/>
    <s v="Master"/>
    <n v="24"/>
    <n v="163757"/>
    <x v="0"/>
    <x v="23"/>
    <x v="36"/>
    <n v="20"/>
    <n v="23"/>
    <n v="19"/>
    <x v="0"/>
    <x v="0"/>
    <n v="4.0999999999999996"/>
  </r>
  <r>
    <s v="E00213"/>
    <s v="FN214"/>
    <s v="LN214"/>
    <x v="0"/>
    <n v="24"/>
    <x v="3"/>
    <x v="2"/>
    <x v="4"/>
    <x v="0"/>
    <x v="1"/>
    <x v="204"/>
    <m/>
    <x v="0"/>
    <x v="69"/>
    <s v="MBA"/>
    <n v="3"/>
    <n v="122735"/>
    <x v="13"/>
    <x v="25"/>
    <x v="5"/>
    <n v="19"/>
    <n v="19"/>
    <n v="53"/>
    <x v="1"/>
    <x v="0"/>
    <n v="3.7"/>
  </r>
  <r>
    <s v="E00214"/>
    <s v="FN215"/>
    <s v="LN215"/>
    <x v="1"/>
    <n v="44"/>
    <x v="5"/>
    <x v="2"/>
    <x v="4"/>
    <x v="2"/>
    <x v="0"/>
    <x v="205"/>
    <m/>
    <x v="0"/>
    <x v="2"/>
    <s v="MBA"/>
    <n v="9"/>
    <n v="120817"/>
    <x v="20"/>
    <x v="0"/>
    <x v="16"/>
    <n v="14"/>
    <n v="42"/>
    <n v="34"/>
    <x v="0"/>
    <x v="1"/>
    <n v="2.9"/>
  </r>
  <r>
    <s v="E00215"/>
    <s v="FN216"/>
    <s v="LN216"/>
    <x v="0"/>
    <n v="55"/>
    <x v="1"/>
    <x v="4"/>
    <x v="2"/>
    <x v="2"/>
    <x v="1"/>
    <x v="206"/>
    <m/>
    <x v="0"/>
    <x v="27"/>
    <s v="Bachelor"/>
    <n v="14"/>
    <n v="157230"/>
    <x v="20"/>
    <x v="24"/>
    <x v="6"/>
    <n v="5"/>
    <n v="24"/>
    <n v="49"/>
    <x v="1"/>
    <x v="0"/>
    <n v="2.6"/>
  </r>
  <r>
    <s v="E00216"/>
    <s v="FN217"/>
    <s v="LN217"/>
    <x v="0"/>
    <n v="22"/>
    <x v="0"/>
    <x v="0"/>
    <x v="2"/>
    <x v="2"/>
    <x v="0"/>
    <x v="207"/>
    <m/>
    <x v="0"/>
    <x v="57"/>
    <s v="Bachelor"/>
    <n v="0"/>
    <n v="162943"/>
    <x v="20"/>
    <x v="6"/>
    <x v="10"/>
    <n v="18"/>
    <n v="0"/>
    <n v="24"/>
    <x v="0"/>
    <x v="1"/>
    <n v="2.7"/>
  </r>
  <r>
    <s v="E00217"/>
    <s v="FN218"/>
    <s v="LN218"/>
    <x v="0"/>
    <n v="57"/>
    <x v="3"/>
    <x v="2"/>
    <x v="4"/>
    <x v="2"/>
    <x v="0"/>
    <x v="208"/>
    <m/>
    <x v="0"/>
    <x v="31"/>
    <s v="Bachelor"/>
    <n v="25"/>
    <n v="74412"/>
    <x v="16"/>
    <x v="2"/>
    <x v="3"/>
    <n v="0"/>
    <n v="20"/>
    <n v="59"/>
    <x v="1"/>
    <x v="0"/>
    <n v="7.3"/>
  </r>
  <r>
    <s v="E00218"/>
    <s v="FN219"/>
    <s v="LN219"/>
    <x v="1"/>
    <n v="35"/>
    <x v="0"/>
    <x v="2"/>
    <x v="0"/>
    <x v="2"/>
    <x v="1"/>
    <x v="209"/>
    <m/>
    <x v="0"/>
    <x v="66"/>
    <s v="Bachelor"/>
    <n v="22"/>
    <n v="101731"/>
    <x v="8"/>
    <x v="23"/>
    <x v="13"/>
    <n v="1"/>
    <n v="3"/>
    <n v="62"/>
    <x v="0"/>
    <x v="1"/>
    <n v="3.2"/>
  </r>
  <r>
    <s v="E00219"/>
    <s v="FN220"/>
    <s v="LN220"/>
    <x v="0"/>
    <n v="29"/>
    <x v="5"/>
    <x v="8"/>
    <x v="0"/>
    <x v="1"/>
    <x v="1"/>
    <x v="121"/>
    <m/>
    <x v="0"/>
    <x v="58"/>
    <s v="Master"/>
    <n v="21"/>
    <n v="169182"/>
    <x v="10"/>
    <x v="10"/>
    <x v="10"/>
    <n v="8"/>
    <n v="9"/>
    <n v="9"/>
    <x v="1"/>
    <x v="0"/>
    <n v="3.8"/>
  </r>
  <r>
    <s v="E00220"/>
    <s v="FN221"/>
    <s v="LN221"/>
    <x v="0"/>
    <n v="21"/>
    <x v="1"/>
    <x v="1"/>
    <x v="0"/>
    <x v="1"/>
    <x v="0"/>
    <x v="210"/>
    <s v="2020-11-17"/>
    <x v="1"/>
    <x v="30"/>
    <s v="Master"/>
    <n v="19"/>
    <n v="78657"/>
    <x v="15"/>
    <x v="1"/>
    <x v="31"/>
    <n v="17"/>
    <n v="44"/>
    <n v="37"/>
    <x v="1"/>
    <x v="2"/>
    <n v="9.6"/>
  </r>
  <r>
    <s v="E00221"/>
    <s v="FN222"/>
    <s v="LN222"/>
    <x v="0"/>
    <n v="47"/>
    <x v="5"/>
    <x v="6"/>
    <x v="4"/>
    <x v="1"/>
    <x v="0"/>
    <x v="211"/>
    <m/>
    <x v="0"/>
    <x v="67"/>
    <s v="Bachelor"/>
    <n v="24"/>
    <n v="164907"/>
    <x v="17"/>
    <x v="22"/>
    <x v="41"/>
    <n v="11"/>
    <n v="31"/>
    <n v="42"/>
    <x v="1"/>
    <x v="2"/>
    <n v="3.9"/>
  </r>
  <r>
    <s v="E00222"/>
    <s v="FN223"/>
    <s v="LN223"/>
    <x v="0"/>
    <n v="56"/>
    <x v="3"/>
    <x v="10"/>
    <x v="2"/>
    <x v="1"/>
    <x v="0"/>
    <x v="212"/>
    <s v="2018-07-13"/>
    <x v="1"/>
    <x v="27"/>
    <s v="Master"/>
    <n v="5"/>
    <n v="69781"/>
    <x v="16"/>
    <x v="1"/>
    <x v="37"/>
    <n v="6"/>
    <n v="46"/>
    <n v="1"/>
    <x v="0"/>
    <x v="1"/>
    <n v="9.1"/>
  </r>
  <r>
    <s v="E00223"/>
    <s v="FN224"/>
    <s v="LN224"/>
    <x v="0"/>
    <n v="31"/>
    <x v="5"/>
    <x v="2"/>
    <x v="3"/>
    <x v="1"/>
    <x v="0"/>
    <x v="213"/>
    <m/>
    <x v="0"/>
    <x v="72"/>
    <s v="MBA"/>
    <n v="11"/>
    <n v="85260"/>
    <x v="5"/>
    <x v="10"/>
    <x v="24"/>
    <n v="14"/>
    <n v="55"/>
    <n v="72"/>
    <x v="1"/>
    <x v="2"/>
    <n v="5.9"/>
  </r>
  <r>
    <s v="E00224"/>
    <s v="FN225"/>
    <s v="LN225"/>
    <x v="0"/>
    <n v="36"/>
    <x v="0"/>
    <x v="0"/>
    <x v="3"/>
    <x v="0"/>
    <x v="0"/>
    <x v="214"/>
    <m/>
    <x v="0"/>
    <x v="43"/>
    <s v="MBA"/>
    <n v="11"/>
    <n v="172210"/>
    <x v="11"/>
    <x v="7"/>
    <x v="0"/>
    <n v="15"/>
    <n v="30"/>
    <n v="25"/>
    <x v="0"/>
    <x v="1"/>
    <n v="9.6999999999999993"/>
  </r>
  <r>
    <s v="E00225"/>
    <s v="FN226"/>
    <s v="LN226"/>
    <x v="1"/>
    <n v="22"/>
    <x v="0"/>
    <x v="2"/>
    <x v="1"/>
    <x v="2"/>
    <x v="0"/>
    <x v="215"/>
    <m/>
    <x v="0"/>
    <x v="17"/>
    <s v="MBA"/>
    <n v="28"/>
    <n v="68445"/>
    <x v="1"/>
    <x v="3"/>
    <x v="18"/>
    <n v="18"/>
    <n v="31"/>
    <n v="57"/>
    <x v="0"/>
    <x v="1"/>
    <n v="2.2000000000000002"/>
  </r>
  <r>
    <s v="E00226"/>
    <s v="FN227"/>
    <s v="LN227"/>
    <x v="0"/>
    <n v="26"/>
    <x v="0"/>
    <x v="2"/>
    <x v="0"/>
    <x v="0"/>
    <x v="0"/>
    <x v="216"/>
    <m/>
    <x v="0"/>
    <x v="46"/>
    <s v="Master"/>
    <n v="33"/>
    <n v="91232"/>
    <x v="12"/>
    <x v="14"/>
    <x v="23"/>
    <n v="15"/>
    <n v="20"/>
    <n v="34"/>
    <x v="0"/>
    <x v="1"/>
    <n v="3.1"/>
  </r>
  <r>
    <s v="E00227"/>
    <s v="FN228"/>
    <s v="LN228"/>
    <x v="1"/>
    <n v="40"/>
    <x v="4"/>
    <x v="2"/>
    <x v="0"/>
    <x v="1"/>
    <x v="0"/>
    <x v="217"/>
    <m/>
    <x v="0"/>
    <x v="54"/>
    <s v="MBA"/>
    <n v="8"/>
    <n v="175877"/>
    <x v="13"/>
    <x v="23"/>
    <x v="7"/>
    <n v="15"/>
    <n v="12"/>
    <n v="5"/>
    <x v="1"/>
    <x v="2"/>
    <n v="3.1"/>
  </r>
  <r>
    <s v="E00228"/>
    <s v="FN229"/>
    <s v="LN229"/>
    <x v="0"/>
    <n v="38"/>
    <x v="5"/>
    <x v="6"/>
    <x v="4"/>
    <x v="1"/>
    <x v="0"/>
    <x v="218"/>
    <m/>
    <x v="0"/>
    <x v="48"/>
    <s v="MBA"/>
    <n v="22"/>
    <n v="57233"/>
    <x v="18"/>
    <x v="2"/>
    <x v="16"/>
    <n v="1"/>
    <n v="4"/>
    <n v="12"/>
    <x v="1"/>
    <x v="2"/>
    <n v="5.7"/>
  </r>
  <r>
    <s v="E00229"/>
    <s v="FN230"/>
    <s v="LN230"/>
    <x v="1"/>
    <n v="46"/>
    <x v="2"/>
    <x v="7"/>
    <x v="1"/>
    <x v="0"/>
    <x v="1"/>
    <x v="219"/>
    <m/>
    <x v="0"/>
    <x v="74"/>
    <s v="MBA"/>
    <n v="18"/>
    <n v="80370"/>
    <x v="19"/>
    <x v="9"/>
    <x v="46"/>
    <n v="12"/>
    <n v="13"/>
    <n v="18"/>
    <x v="1"/>
    <x v="2"/>
    <n v="8.9"/>
  </r>
  <r>
    <s v="E00230"/>
    <s v="FN231"/>
    <s v="LN231"/>
    <x v="0"/>
    <n v="42"/>
    <x v="5"/>
    <x v="6"/>
    <x v="4"/>
    <x v="2"/>
    <x v="0"/>
    <x v="220"/>
    <m/>
    <x v="0"/>
    <x v="45"/>
    <s v="MBA"/>
    <n v="2"/>
    <n v="91219"/>
    <x v="9"/>
    <x v="7"/>
    <x v="4"/>
    <n v="17"/>
    <n v="22"/>
    <n v="55"/>
    <x v="1"/>
    <x v="0"/>
    <n v="5.4"/>
  </r>
  <r>
    <s v="E00231"/>
    <s v="FN232"/>
    <s v="LN232"/>
    <x v="1"/>
    <n v="25"/>
    <x v="3"/>
    <x v="10"/>
    <x v="2"/>
    <x v="2"/>
    <x v="1"/>
    <x v="221"/>
    <m/>
    <x v="0"/>
    <x v="62"/>
    <s v="Bachelor"/>
    <n v="23"/>
    <n v="54370"/>
    <x v="3"/>
    <x v="19"/>
    <x v="11"/>
    <n v="15"/>
    <n v="29"/>
    <n v="10"/>
    <x v="1"/>
    <x v="0"/>
    <n v="5.0999999999999996"/>
  </r>
  <r>
    <s v="E00232"/>
    <s v="FN233"/>
    <s v="LN233"/>
    <x v="1"/>
    <n v="31"/>
    <x v="4"/>
    <x v="9"/>
    <x v="4"/>
    <x v="1"/>
    <x v="1"/>
    <x v="222"/>
    <m/>
    <x v="0"/>
    <x v="27"/>
    <s v="Master"/>
    <n v="32"/>
    <n v="45108"/>
    <x v="1"/>
    <x v="0"/>
    <x v="16"/>
    <n v="8"/>
    <n v="50"/>
    <n v="21"/>
    <x v="0"/>
    <x v="2"/>
    <n v="7.7"/>
  </r>
  <r>
    <s v="E00233"/>
    <s v="FN234"/>
    <s v="LN234"/>
    <x v="0"/>
    <n v="28"/>
    <x v="5"/>
    <x v="2"/>
    <x v="2"/>
    <x v="0"/>
    <x v="0"/>
    <x v="223"/>
    <m/>
    <x v="0"/>
    <x v="53"/>
    <s v="Bachelor"/>
    <n v="22"/>
    <n v="131034"/>
    <x v="14"/>
    <x v="22"/>
    <x v="14"/>
    <n v="2"/>
    <n v="1"/>
    <n v="68"/>
    <x v="0"/>
    <x v="2"/>
    <n v="3.1"/>
  </r>
  <r>
    <s v="E00234"/>
    <s v="FN235"/>
    <s v="LN235"/>
    <x v="1"/>
    <n v="48"/>
    <x v="0"/>
    <x v="0"/>
    <x v="1"/>
    <x v="2"/>
    <x v="1"/>
    <x v="224"/>
    <m/>
    <x v="0"/>
    <x v="2"/>
    <s v="Bachelor"/>
    <n v="6"/>
    <n v="164668"/>
    <x v="3"/>
    <x v="1"/>
    <x v="12"/>
    <n v="2"/>
    <n v="13"/>
    <n v="2"/>
    <x v="0"/>
    <x v="1"/>
    <n v="4.9000000000000004"/>
  </r>
  <r>
    <s v="E00235"/>
    <s v="FN236"/>
    <s v="LN236"/>
    <x v="1"/>
    <n v="39"/>
    <x v="5"/>
    <x v="8"/>
    <x v="4"/>
    <x v="0"/>
    <x v="1"/>
    <x v="225"/>
    <m/>
    <x v="0"/>
    <x v="8"/>
    <s v="Master"/>
    <n v="8"/>
    <n v="93998"/>
    <x v="8"/>
    <x v="23"/>
    <x v="10"/>
    <n v="13"/>
    <n v="51"/>
    <n v="24"/>
    <x v="1"/>
    <x v="0"/>
    <n v="1.1000000000000001"/>
  </r>
  <r>
    <s v="E00236"/>
    <s v="FN237"/>
    <s v="LN237"/>
    <x v="1"/>
    <n v="29"/>
    <x v="5"/>
    <x v="6"/>
    <x v="2"/>
    <x v="1"/>
    <x v="0"/>
    <x v="226"/>
    <m/>
    <x v="0"/>
    <x v="21"/>
    <s v="MBA"/>
    <n v="29"/>
    <n v="62583"/>
    <x v="7"/>
    <x v="17"/>
    <x v="17"/>
    <n v="20"/>
    <n v="39"/>
    <n v="52"/>
    <x v="1"/>
    <x v="0"/>
    <n v="4.2"/>
  </r>
  <r>
    <s v="E00237"/>
    <s v="FN238"/>
    <s v="LN238"/>
    <x v="1"/>
    <n v="53"/>
    <x v="0"/>
    <x v="0"/>
    <x v="1"/>
    <x v="2"/>
    <x v="0"/>
    <x v="227"/>
    <m/>
    <x v="0"/>
    <x v="36"/>
    <s v="Bachelor"/>
    <n v="16"/>
    <n v="179096"/>
    <x v="20"/>
    <x v="15"/>
    <x v="23"/>
    <n v="7"/>
    <n v="40"/>
    <n v="18"/>
    <x v="0"/>
    <x v="1"/>
    <n v="10.5"/>
  </r>
  <r>
    <s v="E00238"/>
    <s v="FN239"/>
    <s v="LN239"/>
    <x v="1"/>
    <n v="23"/>
    <x v="4"/>
    <x v="6"/>
    <x v="0"/>
    <x v="1"/>
    <x v="0"/>
    <x v="228"/>
    <m/>
    <x v="0"/>
    <x v="21"/>
    <s v="Master"/>
    <n v="35"/>
    <n v="154250"/>
    <x v="15"/>
    <x v="8"/>
    <x v="8"/>
    <n v="14"/>
    <n v="36"/>
    <n v="63"/>
    <x v="1"/>
    <x v="1"/>
    <n v="1.2"/>
  </r>
  <r>
    <s v="E00239"/>
    <s v="FN240"/>
    <s v="LN240"/>
    <x v="1"/>
    <n v="22"/>
    <x v="0"/>
    <x v="0"/>
    <x v="1"/>
    <x v="0"/>
    <x v="0"/>
    <x v="176"/>
    <m/>
    <x v="0"/>
    <x v="23"/>
    <s v="Master"/>
    <n v="12"/>
    <n v="134023"/>
    <x v="18"/>
    <x v="14"/>
    <x v="45"/>
    <n v="10"/>
    <n v="0"/>
    <n v="63"/>
    <x v="0"/>
    <x v="2"/>
    <n v="2.4"/>
  </r>
  <r>
    <s v="E00240"/>
    <s v="FN241"/>
    <s v="LN241"/>
    <x v="0"/>
    <n v="31"/>
    <x v="2"/>
    <x v="7"/>
    <x v="4"/>
    <x v="0"/>
    <x v="1"/>
    <x v="229"/>
    <s v="2021-08-21"/>
    <x v="1"/>
    <x v="23"/>
    <s v="Bachelor"/>
    <n v="28"/>
    <n v="67586"/>
    <x v="7"/>
    <x v="9"/>
    <x v="8"/>
    <n v="11"/>
    <n v="33"/>
    <n v="43"/>
    <x v="1"/>
    <x v="1"/>
    <n v="6.2"/>
  </r>
  <r>
    <s v="E00241"/>
    <s v="FN242"/>
    <s v="LN242"/>
    <x v="0"/>
    <n v="31"/>
    <x v="2"/>
    <x v="7"/>
    <x v="3"/>
    <x v="2"/>
    <x v="0"/>
    <x v="230"/>
    <m/>
    <x v="0"/>
    <x v="63"/>
    <s v="MBA"/>
    <n v="2"/>
    <n v="122666"/>
    <x v="20"/>
    <x v="25"/>
    <x v="18"/>
    <n v="3"/>
    <n v="35"/>
    <n v="15"/>
    <x v="1"/>
    <x v="2"/>
    <n v="9.9"/>
  </r>
  <r>
    <s v="E00242"/>
    <s v="FN243"/>
    <s v="LN243"/>
    <x v="1"/>
    <n v="23"/>
    <x v="3"/>
    <x v="10"/>
    <x v="0"/>
    <x v="2"/>
    <x v="1"/>
    <x v="231"/>
    <m/>
    <x v="0"/>
    <x v="25"/>
    <s v="Bachelor"/>
    <n v="11"/>
    <n v="113109"/>
    <x v="0"/>
    <x v="17"/>
    <x v="5"/>
    <n v="6"/>
    <n v="18"/>
    <n v="11"/>
    <x v="1"/>
    <x v="2"/>
    <n v="4.9000000000000004"/>
  </r>
  <r>
    <s v="E00243"/>
    <s v="FN244"/>
    <s v="LN244"/>
    <x v="0"/>
    <n v="26"/>
    <x v="4"/>
    <x v="2"/>
    <x v="3"/>
    <x v="0"/>
    <x v="0"/>
    <x v="232"/>
    <s v="2027-01-04"/>
    <x v="1"/>
    <x v="65"/>
    <s v="Bachelor"/>
    <n v="13"/>
    <n v="123801"/>
    <x v="19"/>
    <x v="4"/>
    <x v="23"/>
    <n v="5"/>
    <n v="18"/>
    <n v="40"/>
    <x v="1"/>
    <x v="0"/>
    <n v="2.7"/>
  </r>
  <r>
    <s v="E00244"/>
    <s v="FN245"/>
    <s v="LN245"/>
    <x v="1"/>
    <n v="28"/>
    <x v="0"/>
    <x v="2"/>
    <x v="2"/>
    <x v="0"/>
    <x v="0"/>
    <x v="233"/>
    <m/>
    <x v="0"/>
    <x v="64"/>
    <s v="MBA"/>
    <n v="21"/>
    <n v="95672"/>
    <x v="19"/>
    <x v="6"/>
    <x v="8"/>
    <n v="11"/>
    <n v="20"/>
    <n v="49"/>
    <x v="0"/>
    <x v="0"/>
    <n v="9.4"/>
  </r>
  <r>
    <s v="E00245"/>
    <s v="FN246"/>
    <s v="LN246"/>
    <x v="1"/>
    <n v="54"/>
    <x v="2"/>
    <x v="5"/>
    <x v="1"/>
    <x v="1"/>
    <x v="1"/>
    <x v="234"/>
    <s v="2027-05-11"/>
    <x v="1"/>
    <x v="47"/>
    <s v="MBA"/>
    <n v="8"/>
    <n v="61891"/>
    <x v="20"/>
    <x v="25"/>
    <x v="37"/>
    <n v="9"/>
    <n v="16"/>
    <n v="9"/>
    <x v="0"/>
    <x v="0"/>
    <n v="2.6"/>
  </r>
  <r>
    <s v="E00246"/>
    <s v="FN247"/>
    <s v="LN247"/>
    <x v="0"/>
    <n v="29"/>
    <x v="5"/>
    <x v="8"/>
    <x v="1"/>
    <x v="2"/>
    <x v="1"/>
    <x v="235"/>
    <s v="2029-09-15"/>
    <x v="1"/>
    <x v="34"/>
    <s v="MBA"/>
    <n v="30"/>
    <n v="72304"/>
    <x v="1"/>
    <x v="12"/>
    <x v="29"/>
    <n v="5"/>
    <n v="1"/>
    <n v="31"/>
    <x v="1"/>
    <x v="2"/>
    <n v="0.3"/>
  </r>
  <r>
    <s v="E00247"/>
    <s v="FN248"/>
    <s v="LN248"/>
    <x v="0"/>
    <n v="43"/>
    <x v="0"/>
    <x v="2"/>
    <x v="1"/>
    <x v="0"/>
    <x v="1"/>
    <x v="236"/>
    <m/>
    <x v="0"/>
    <x v="34"/>
    <s v="Master"/>
    <n v="17"/>
    <n v="109397"/>
    <x v="17"/>
    <x v="19"/>
    <x v="14"/>
    <n v="11"/>
    <n v="26"/>
    <n v="70"/>
    <x v="1"/>
    <x v="1"/>
    <n v="5"/>
  </r>
  <r>
    <s v="E00248"/>
    <s v="FN249"/>
    <s v="LN249"/>
    <x v="0"/>
    <n v="52"/>
    <x v="3"/>
    <x v="10"/>
    <x v="0"/>
    <x v="0"/>
    <x v="1"/>
    <x v="237"/>
    <m/>
    <x v="0"/>
    <x v="46"/>
    <s v="MBA"/>
    <n v="1"/>
    <n v="91610"/>
    <x v="10"/>
    <x v="0"/>
    <x v="32"/>
    <n v="7"/>
    <n v="1"/>
    <n v="57"/>
    <x v="0"/>
    <x v="2"/>
    <n v="8.6999999999999993"/>
  </r>
  <r>
    <s v="E00249"/>
    <s v="FN250"/>
    <s v="LN250"/>
    <x v="0"/>
    <n v="59"/>
    <x v="4"/>
    <x v="9"/>
    <x v="2"/>
    <x v="0"/>
    <x v="1"/>
    <x v="238"/>
    <m/>
    <x v="0"/>
    <x v="62"/>
    <s v="Master"/>
    <n v="28"/>
    <n v="132083"/>
    <x v="12"/>
    <x v="2"/>
    <x v="4"/>
    <n v="11"/>
    <n v="55"/>
    <n v="64"/>
    <x v="1"/>
    <x v="0"/>
    <n v="5.8"/>
  </r>
  <r>
    <s v="E00250"/>
    <s v="FN251"/>
    <s v="LN251"/>
    <x v="0"/>
    <n v="26"/>
    <x v="0"/>
    <x v="2"/>
    <x v="3"/>
    <x v="2"/>
    <x v="1"/>
    <x v="239"/>
    <s v="2028-04-12"/>
    <x v="1"/>
    <x v="63"/>
    <s v="Master"/>
    <n v="6"/>
    <n v="43748"/>
    <x v="0"/>
    <x v="18"/>
    <x v="32"/>
    <n v="10"/>
    <n v="5"/>
    <n v="71"/>
    <x v="1"/>
    <x v="0"/>
    <n v="4.3"/>
  </r>
  <r>
    <s v="E00251"/>
    <s v="FN252"/>
    <s v="LN252"/>
    <x v="1"/>
    <n v="37"/>
    <x v="3"/>
    <x v="10"/>
    <x v="3"/>
    <x v="0"/>
    <x v="0"/>
    <x v="240"/>
    <m/>
    <x v="0"/>
    <x v="66"/>
    <s v="Master"/>
    <n v="20"/>
    <n v="151821"/>
    <x v="19"/>
    <x v="13"/>
    <x v="31"/>
    <n v="2"/>
    <n v="22"/>
    <n v="56"/>
    <x v="1"/>
    <x v="1"/>
    <n v="9.8000000000000007"/>
  </r>
  <r>
    <s v="E00252"/>
    <s v="FN253"/>
    <s v="LN253"/>
    <x v="0"/>
    <n v="41"/>
    <x v="1"/>
    <x v="4"/>
    <x v="4"/>
    <x v="2"/>
    <x v="1"/>
    <x v="241"/>
    <m/>
    <x v="0"/>
    <x v="53"/>
    <s v="MBA"/>
    <n v="5"/>
    <n v="76755"/>
    <x v="6"/>
    <x v="1"/>
    <x v="42"/>
    <n v="16"/>
    <n v="54"/>
    <n v="76"/>
    <x v="0"/>
    <x v="0"/>
    <n v="5.6"/>
  </r>
  <r>
    <s v="E00253"/>
    <s v="FN254"/>
    <s v="LN254"/>
    <x v="1"/>
    <n v="56"/>
    <x v="4"/>
    <x v="2"/>
    <x v="4"/>
    <x v="2"/>
    <x v="0"/>
    <x v="242"/>
    <m/>
    <x v="0"/>
    <x v="24"/>
    <s v="Master"/>
    <n v="7"/>
    <n v="49767"/>
    <x v="15"/>
    <x v="3"/>
    <x v="0"/>
    <n v="0"/>
    <n v="19"/>
    <n v="72"/>
    <x v="0"/>
    <x v="2"/>
    <n v="3.3"/>
  </r>
  <r>
    <s v="E00254"/>
    <s v="FN255"/>
    <s v="LN255"/>
    <x v="0"/>
    <n v="55"/>
    <x v="5"/>
    <x v="2"/>
    <x v="1"/>
    <x v="1"/>
    <x v="1"/>
    <x v="76"/>
    <m/>
    <x v="0"/>
    <x v="35"/>
    <s v="Bachelor"/>
    <n v="23"/>
    <n v="147669"/>
    <x v="1"/>
    <x v="5"/>
    <x v="30"/>
    <n v="6"/>
    <n v="46"/>
    <n v="59"/>
    <x v="0"/>
    <x v="1"/>
    <n v="1.4"/>
  </r>
  <r>
    <s v="E00255"/>
    <s v="FN256"/>
    <s v="LN256"/>
    <x v="0"/>
    <n v="33"/>
    <x v="2"/>
    <x v="5"/>
    <x v="0"/>
    <x v="0"/>
    <x v="0"/>
    <x v="243"/>
    <s v="2025-04-11"/>
    <x v="1"/>
    <x v="18"/>
    <s v="Bachelor"/>
    <n v="16"/>
    <n v="89159"/>
    <x v="13"/>
    <x v="21"/>
    <x v="2"/>
    <n v="18"/>
    <n v="17"/>
    <n v="1"/>
    <x v="0"/>
    <x v="0"/>
    <n v="5.0999999999999996"/>
  </r>
  <r>
    <s v="E00256"/>
    <s v="FN257"/>
    <s v="LN257"/>
    <x v="0"/>
    <n v="24"/>
    <x v="1"/>
    <x v="4"/>
    <x v="3"/>
    <x v="1"/>
    <x v="1"/>
    <x v="244"/>
    <m/>
    <x v="0"/>
    <x v="58"/>
    <s v="Master"/>
    <n v="25"/>
    <n v="108733"/>
    <x v="4"/>
    <x v="8"/>
    <x v="34"/>
    <n v="14"/>
    <n v="31"/>
    <n v="12"/>
    <x v="1"/>
    <x v="1"/>
    <n v="2.9"/>
  </r>
  <r>
    <s v="E00257"/>
    <s v="FN258"/>
    <s v="LN258"/>
    <x v="1"/>
    <n v="37"/>
    <x v="1"/>
    <x v="4"/>
    <x v="4"/>
    <x v="1"/>
    <x v="1"/>
    <x v="245"/>
    <m/>
    <x v="0"/>
    <x v="41"/>
    <s v="Master"/>
    <n v="31"/>
    <n v="116946"/>
    <x v="19"/>
    <x v="17"/>
    <x v="38"/>
    <n v="2"/>
    <n v="46"/>
    <n v="22"/>
    <x v="0"/>
    <x v="0"/>
    <n v="1.2"/>
  </r>
  <r>
    <s v="E00258"/>
    <s v="FN259"/>
    <s v="LN259"/>
    <x v="1"/>
    <n v="53"/>
    <x v="1"/>
    <x v="4"/>
    <x v="1"/>
    <x v="0"/>
    <x v="1"/>
    <x v="246"/>
    <m/>
    <x v="0"/>
    <x v="30"/>
    <s v="MBA"/>
    <n v="31"/>
    <n v="155274"/>
    <x v="2"/>
    <x v="12"/>
    <x v="27"/>
    <n v="16"/>
    <n v="23"/>
    <n v="44"/>
    <x v="0"/>
    <x v="0"/>
    <n v="9.5"/>
  </r>
  <r>
    <s v="E00259"/>
    <s v="FN260"/>
    <s v="LN260"/>
    <x v="0"/>
    <n v="26"/>
    <x v="0"/>
    <x v="2"/>
    <x v="0"/>
    <x v="0"/>
    <x v="1"/>
    <x v="238"/>
    <s v="2021-08-25"/>
    <x v="1"/>
    <x v="10"/>
    <s v="Bachelor"/>
    <n v="26"/>
    <n v="78914"/>
    <x v="3"/>
    <x v="21"/>
    <x v="23"/>
    <n v="0"/>
    <n v="56"/>
    <n v="21"/>
    <x v="1"/>
    <x v="0"/>
    <n v="5.8"/>
  </r>
  <r>
    <s v="E00260"/>
    <s v="FN261"/>
    <s v="LN261"/>
    <x v="1"/>
    <n v="52"/>
    <x v="5"/>
    <x v="8"/>
    <x v="2"/>
    <x v="0"/>
    <x v="0"/>
    <x v="247"/>
    <m/>
    <x v="0"/>
    <x v="23"/>
    <s v="Bachelor"/>
    <n v="13"/>
    <n v="73810"/>
    <x v="6"/>
    <x v="11"/>
    <x v="8"/>
    <n v="12"/>
    <n v="6"/>
    <n v="0"/>
    <x v="1"/>
    <x v="1"/>
    <n v="8.5"/>
  </r>
  <r>
    <s v="E00261"/>
    <s v="FN262"/>
    <s v="LN262"/>
    <x v="0"/>
    <n v="60"/>
    <x v="3"/>
    <x v="2"/>
    <x v="3"/>
    <x v="0"/>
    <x v="0"/>
    <x v="248"/>
    <m/>
    <x v="0"/>
    <x v="68"/>
    <s v="Master"/>
    <n v="2"/>
    <n v="142861"/>
    <x v="16"/>
    <x v="22"/>
    <x v="48"/>
    <n v="14"/>
    <n v="0"/>
    <n v="55"/>
    <x v="0"/>
    <x v="2"/>
    <n v="2.6"/>
  </r>
  <r>
    <s v="E00262"/>
    <s v="FN263"/>
    <s v="LN263"/>
    <x v="0"/>
    <n v="54"/>
    <x v="2"/>
    <x v="3"/>
    <x v="1"/>
    <x v="0"/>
    <x v="1"/>
    <x v="249"/>
    <s v="2031-10-21"/>
    <x v="1"/>
    <x v="50"/>
    <s v="MBA"/>
    <n v="0"/>
    <n v="78688"/>
    <x v="5"/>
    <x v="7"/>
    <x v="6"/>
    <n v="18"/>
    <n v="31"/>
    <n v="31"/>
    <x v="1"/>
    <x v="2"/>
    <n v="2.2999999999999998"/>
  </r>
  <r>
    <s v="E00263"/>
    <s v="FN264"/>
    <s v="LN264"/>
    <x v="0"/>
    <n v="53"/>
    <x v="2"/>
    <x v="5"/>
    <x v="2"/>
    <x v="0"/>
    <x v="1"/>
    <x v="250"/>
    <m/>
    <x v="0"/>
    <x v="39"/>
    <s v="Bachelor"/>
    <n v="2"/>
    <n v="149002"/>
    <x v="17"/>
    <x v="11"/>
    <x v="45"/>
    <n v="2"/>
    <n v="25"/>
    <n v="7"/>
    <x v="0"/>
    <x v="2"/>
    <n v="6.8"/>
  </r>
  <r>
    <s v="E00264"/>
    <s v="FN265"/>
    <s v="LN265"/>
    <x v="0"/>
    <n v="39"/>
    <x v="2"/>
    <x v="3"/>
    <x v="0"/>
    <x v="2"/>
    <x v="0"/>
    <x v="251"/>
    <m/>
    <x v="0"/>
    <x v="13"/>
    <s v="Bachelor"/>
    <n v="14"/>
    <n v="97695"/>
    <x v="13"/>
    <x v="11"/>
    <x v="10"/>
    <n v="10"/>
    <n v="59"/>
    <n v="7"/>
    <x v="1"/>
    <x v="2"/>
    <n v="7.6"/>
  </r>
  <r>
    <s v="E00265"/>
    <s v="FN266"/>
    <s v="LN266"/>
    <x v="1"/>
    <n v="49"/>
    <x v="3"/>
    <x v="2"/>
    <x v="4"/>
    <x v="2"/>
    <x v="1"/>
    <x v="252"/>
    <m/>
    <x v="0"/>
    <x v="63"/>
    <s v="Bachelor"/>
    <n v="33"/>
    <n v="60390"/>
    <x v="14"/>
    <x v="2"/>
    <x v="0"/>
    <n v="8"/>
    <n v="46"/>
    <n v="38"/>
    <x v="1"/>
    <x v="1"/>
    <n v="6"/>
  </r>
  <r>
    <s v="E00266"/>
    <s v="FN267"/>
    <s v="LN267"/>
    <x v="0"/>
    <n v="45"/>
    <x v="5"/>
    <x v="8"/>
    <x v="0"/>
    <x v="2"/>
    <x v="0"/>
    <x v="253"/>
    <m/>
    <x v="0"/>
    <x v="18"/>
    <s v="MBA"/>
    <n v="26"/>
    <n v="88847"/>
    <x v="11"/>
    <x v="10"/>
    <x v="41"/>
    <n v="15"/>
    <n v="17"/>
    <n v="74"/>
    <x v="1"/>
    <x v="1"/>
    <n v="6.2"/>
  </r>
  <r>
    <s v="E00267"/>
    <s v="FN268"/>
    <s v="LN268"/>
    <x v="1"/>
    <n v="40"/>
    <x v="0"/>
    <x v="2"/>
    <x v="4"/>
    <x v="2"/>
    <x v="0"/>
    <x v="254"/>
    <m/>
    <x v="0"/>
    <x v="30"/>
    <s v="Bachelor"/>
    <n v="25"/>
    <n v="170455"/>
    <x v="1"/>
    <x v="14"/>
    <x v="5"/>
    <n v="19"/>
    <n v="24"/>
    <n v="44"/>
    <x v="0"/>
    <x v="2"/>
    <n v="10.4"/>
  </r>
  <r>
    <s v="E00268"/>
    <s v="FN269"/>
    <s v="LN269"/>
    <x v="0"/>
    <n v="50"/>
    <x v="1"/>
    <x v="1"/>
    <x v="4"/>
    <x v="2"/>
    <x v="1"/>
    <x v="255"/>
    <s v="2021-07-06"/>
    <x v="1"/>
    <x v="53"/>
    <s v="Master"/>
    <n v="35"/>
    <n v="165628"/>
    <x v="17"/>
    <x v="21"/>
    <x v="20"/>
    <n v="10"/>
    <n v="43"/>
    <n v="37"/>
    <x v="1"/>
    <x v="1"/>
    <n v="6.5"/>
  </r>
  <r>
    <s v="E00269"/>
    <s v="FN270"/>
    <s v="LN270"/>
    <x v="0"/>
    <n v="60"/>
    <x v="5"/>
    <x v="2"/>
    <x v="2"/>
    <x v="0"/>
    <x v="1"/>
    <x v="256"/>
    <s v="2019-12-25"/>
    <x v="1"/>
    <x v="75"/>
    <s v="Master"/>
    <n v="30"/>
    <n v="85343"/>
    <x v="13"/>
    <x v="4"/>
    <x v="1"/>
    <n v="6"/>
    <n v="23"/>
    <n v="56"/>
    <x v="1"/>
    <x v="1"/>
    <n v="7.5"/>
  </r>
  <r>
    <s v="E00270"/>
    <s v="FN271"/>
    <s v="LN271"/>
    <x v="0"/>
    <n v="31"/>
    <x v="0"/>
    <x v="2"/>
    <x v="2"/>
    <x v="1"/>
    <x v="0"/>
    <x v="257"/>
    <s v="2026-06-13"/>
    <x v="1"/>
    <x v="3"/>
    <s v="Master"/>
    <n v="3"/>
    <n v="96442"/>
    <x v="3"/>
    <x v="8"/>
    <x v="31"/>
    <n v="15"/>
    <n v="9"/>
    <n v="74"/>
    <x v="0"/>
    <x v="1"/>
    <n v="4.9000000000000004"/>
  </r>
  <r>
    <s v="E00271"/>
    <s v="FN272"/>
    <s v="LN272"/>
    <x v="0"/>
    <n v="57"/>
    <x v="2"/>
    <x v="3"/>
    <x v="0"/>
    <x v="0"/>
    <x v="0"/>
    <x v="258"/>
    <m/>
    <x v="0"/>
    <x v="34"/>
    <s v="MBA"/>
    <n v="19"/>
    <n v="60106"/>
    <x v="13"/>
    <x v="10"/>
    <x v="17"/>
    <n v="13"/>
    <n v="13"/>
    <n v="76"/>
    <x v="0"/>
    <x v="1"/>
    <n v="7"/>
  </r>
  <r>
    <s v="E00272"/>
    <s v="FN273"/>
    <s v="LN273"/>
    <x v="0"/>
    <n v="26"/>
    <x v="1"/>
    <x v="1"/>
    <x v="0"/>
    <x v="0"/>
    <x v="0"/>
    <x v="259"/>
    <m/>
    <x v="0"/>
    <x v="56"/>
    <s v="MBA"/>
    <n v="8"/>
    <n v="81952"/>
    <x v="7"/>
    <x v="16"/>
    <x v="26"/>
    <n v="10"/>
    <n v="35"/>
    <n v="27"/>
    <x v="0"/>
    <x v="1"/>
    <n v="4.3"/>
  </r>
  <r>
    <s v="E00273"/>
    <s v="FN274"/>
    <s v="LN274"/>
    <x v="0"/>
    <n v="35"/>
    <x v="4"/>
    <x v="2"/>
    <x v="2"/>
    <x v="0"/>
    <x v="1"/>
    <x v="260"/>
    <m/>
    <x v="0"/>
    <x v="1"/>
    <s v="MBA"/>
    <n v="28"/>
    <n v="111793"/>
    <x v="13"/>
    <x v="2"/>
    <x v="44"/>
    <n v="19"/>
    <n v="38"/>
    <n v="66"/>
    <x v="0"/>
    <x v="2"/>
    <n v="7.7"/>
  </r>
  <r>
    <s v="E00274"/>
    <s v="FN275"/>
    <s v="LN275"/>
    <x v="1"/>
    <n v="39"/>
    <x v="1"/>
    <x v="1"/>
    <x v="2"/>
    <x v="0"/>
    <x v="1"/>
    <x v="261"/>
    <m/>
    <x v="0"/>
    <x v="75"/>
    <s v="Bachelor"/>
    <n v="15"/>
    <n v="44565"/>
    <x v="13"/>
    <x v="8"/>
    <x v="8"/>
    <n v="20"/>
    <n v="56"/>
    <n v="3"/>
    <x v="0"/>
    <x v="2"/>
    <n v="0.3"/>
  </r>
  <r>
    <s v="E00275"/>
    <s v="FN276"/>
    <s v="LN276"/>
    <x v="0"/>
    <n v="27"/>
    <x v="5"/>
    <x v="8"/>
    <x v="4"/>
    <x v="0"/>
    <x v="1"/>
    <x v="262"/>
    <s v="2021-12-02"/>
    <x v="1"/>
    <x v="2"/>
    <s v="Master"/>
    <n v="2"/>
    <n v="108181"/>
    <x v="8"/>
    <x v="21"/>
    <x v="43"/>
    <n v="18"/>
    <n v="26"/>
    <n v="57"/>
    <x v="1"/>
    <x v="0"/>
    <n v="10.4"/>
  </r>
  <r>
    <s v="E00276"/>
    <s v="FN277"/>
    <s v="LN277"/>
    <x v="0"/>
    <n v="24"/>
    <x v="4"/>
    <x v="9"/>
    <x v="3"/>
    <x v="0"/>
    <x v="1"/>
    <x v="263"/>
    <s v="2027-03-09"/>
    <x v="1"/>
    <x v="67"/>
    <s v="Master"/>
    <n v="18"/>
    <n v="113547"/>
    <x v="13"/>
    <x v="21"/>
    <x v="19"/>
    <n v="1"/>
    <n v="52"/>
    <n v="11"/>
    <x v="0"/>
    <x v="0"/>
    <n v="6.6"/>
  </r>
  <r>
    <s v="E00277"/>
    <s v="FN278"/>
    <s v="LN278"/>
    <x v="0"/>
    <n v="22"/>
    <x v="5"/>
    <x v="8"/>
    <x v="2"/>
    <x v="2"/>
    <x v="1"/>
    <x v="264"/>
    <m/>
    <x v="0"/>
    <x v="23"/>
    <s v="MBA"/>
    <n v="20"/>
    <n v="119822"/>
    <x v="18"/>
    <x v="22"/>
    <x v="3"/>
    <n v="12"/>
    <n v="42"/>
    <n v="5"/>
    <x v="1"/>
    <x v="0"/>
    <n v="4.7"/>
  </r>
  <r>
    <s v="E00278"/>
    <s v="FN279"/>
    <s v="LN279"/>
    <x v="1"/>
    <n v="59"/>
    <x v="4"/>
    <x v="6"/>
    <x v="2"/>
    <x v="1"/>
    <x v="1"/>
    <x v="265"/>
    <m/>
    <x v="0"/>
    <x v="45"/>
    <s v="Bachelor"/>
    <n v="0"/>
    <n v="132631"/>
    <x v="7"/>
    <x v="25"/>
    <x v="9"/>
    <n v="0"/>
    <n v="42"/>
    <n v="41"/>
    <x v="0"/>
    <x v="1"/>
    <n v="10.5"/>
  </r>
  <r>
    <s v="E00279"/>
    <s v="FN280"/>
    <s v="LN280"/>
    <x v="0"/>
    <n v="30"/>
    <x v="2"/>
    <x v="3"/>
    <x v="0"/>
    <x v="1"/>
    <x v="1"/>
    <x v="266"/>
    <m/>
    <x v="0"/>
    <x v="32"/>
    <s v="Bachelor"/>
    <n v="11"/>
    <n v="89667"/>
    <x v="9"/>
    <x v="7"/>
    <x v="29"/>
    <n v="16"/>
    <n v="7"/>
    <n v="60"/>
    <x v="1"/>
    <x v="0"/>
    <n v="1.5"/>
  </r>
  <r>
    <s v="E00280"/>
    <s v="FN281"/>
    <s v="LN281"/>
    <x v="0"/>
    <n v="31"/>
    <x v="5"/>
    <x v="8"/>
    <x v="0"/>
    <x v="2"/>
    <x v="0"/>
    <x v="267"/>
    <m/>
    <x v="0"/>
    <x v="9"/>
    <s v="Master"/>
    <n v="15"/>
    <n v="113735"/>
    <x v="19"/>
    <x v="23"/>
    <x v="38"/>
    <n v="15"/>
    <n v="53"/>
    <n v="50"/>
    <x v="0"/>
    <x v="0"/>
    <n v="7.9"/>
  </r>
  <r>
    <s v="E00281"/>
    <s v="FN282"/>
    <s v="LN282"/>
    <x v="0"/>
    <n v="36"/>
    <x v="2"/>
    <x v="5"/>
    <x v="3"/>
    <x v="1"/>
    <x v="0"/>
    <x v="268"/>
    <m/>
    <x v="0"/>
    <x v="56"/>
    <s v="Bachelor"/>
    <n v="3"/>
    <n v="156791"/>
    <x v="13"/>
    <x v="7"/>
    <x v="29"/>
    <n v="4"/>
    <n v="0"/>
    <n v="11"/>
    <x v="0"/>
    <x v="2"/>
    <n v="2.8"/>
  </r>
  <r>
    <s v="E00282"/>
    <s v="FN283"/>
    <s v="LN283"/>
    <x v="0"/>
    <n v="40"/>
    <x v="3"/>
    <x v="2"/>
    <x v="1"/>
    <x v="2"/>
    <x v="1"/>
    <x v="269"/>
    <m/>
    <x v="0"/>
    <x v="75"/>
    <s v="Master"/>
    <n v="31"/>
    <n v="144243"/>
    <x v="4"/>
    <x v="12"/>
    <x v="40"/>
    <n v="15"/>
    <n v="48"/>
    <n v="27"/>
    <x v="0"/>
    <x v="2"/>
    <n v="8.6"/>
  </r>
  <r>
    <s v="E00283"/>
    <s v="FN284"/>
    <s v="LN284"/>
    <x v="0"/>
    <n v="36"/>
    <x v="2"/>
    <x v="5"/>
    <x v="4"/>
    <x v="2"/>
    <x v="0"/>
    <x v="270"/>
    <m/>
    <x v="0"/>
    <x v="76"/>
    <s v="Bachelor"/>
    <n v="0"/>
    <n v="78250"/>
    <x v="15"/>
    <x v="2"/>
    <x v="0"/>
    <n v="5"/>
    <n v="7"/>
    <n v="61"/>
    <x v="0"/>
    <x v="1"/>
    <n v="0.4"/>
  </r>
  <r>
    <s v="E00284"/>
    <s v="FN285"/>
    <s v="LN285"/>
    <x v="0"/>
    <n v="45"/>
    <x v="4"/>
    <x v="9"/>
    <x v="1"/>
    <x v="0"/>
    <x v="1"/>
    <x v="271"/>
    <m/>
    <x v="0"/>
    <x v="19"/>
    <s v="Bachelor"/>
    <n v="34"/>
    <n v="80588"/>
    <x v="17"/>
    <x v="10"/>
    <x v="35"/>
    <n v="1"/>
    <n v="55"/>
    <n v="77"/>
    <x v="0"/>
    <x v="0"/>
    <n v="8.5"/>
  </r>
  <r>
    <s v="E00285"/>
    <s v="FN286"/>
    <s v="LN286"/>
    <x v="1"/>
    <n v="50"/>
    <x v="4"/>
    <x v="6"/>
    <x v="1"/>
    <x v="0"/>
    <x v="0"/>
    <x v="272"/>
    <m/>
    <x v="0"/>
    <x v="62"/>
    <s v="MBA"/>
    <n v="30"/>
    <n v="103050"/>
    <x v="5"/>
    <x v="25"/>
    <x v="26"/>
    <n v="16"/>
    <n v="5"/>
    <n v="69"/>
    <x v="1"/>
    <x v="2"/>
    <n v="9"/>
  </r>
  <r>
    <s v="E00286"/>
    <s v="FN287"/>
    <s v="LN287"/>
    <x v="0"/>
    <n v="60"/>
    <x v="1"/>
    <x v="4"/>
    <x v="2"/>
    <x v="0"/>
    <x v="1"/>
    <x v="273"/>
    <m/>
    <x v="0"/>
    <x v="49"/>
    <s v="Bachelor"/>
    <n v="27"/>
    <n v="71424"/>
    <x v="19"/>
    <x v="21"/>
    <x v="0"/>
    <n v="14"/>
    <n v="53"/>
    <n v="4"/>
    <x v="0"/>
    <x v="2"/>
    <n v="2.5"/>
  </r>
  <r>
    <s v="E00287"/>
    <s v="FN288"/>
    <s v="LN288"/>
    <x v="1"/>
    <n v="49"/>
    <x v="0"/>
    <x v="0"/>
    <x v="3"/>
    <x v="0"/>
    <x v="1"/>
    <x v="222"/>
    <m/>
    <x v="0"/>
    <x v="45"/>
    <s v="Bachelor"/>
    <n v="2"/>
    <n v="136748"/>
    <x v="20"/>
    <x v="8"/>
    <x v="9"/>
    <n v="11"/>
    <n v="38"/>
    <n v="59"/>
    <x v="1"/>
    <x v="1"/>
    <n v="7.7"/>
  </r>
  <r>
    <s v="E00288"/>
    <s v="FN289"/>
    <s v="LN289"/>
    <x v="1"/>
    <n v="33"/>
    <x v="1"/>
    <x v="4"/>
    <x v="2"/>
    <x v="0"/>
    <x v="1"/>
    <x v="274"/>
    <m/>
    <x v="0"/>
    <x v="0"/>
    <s v="Bachelor"/>
    <n v="28"/>
    <n v="126338"/>
    <x v="7"/>
    <x v="6"/>
    <x v="10"/>
    <n v="9"/>
    <n v="4"/>
    <n v="8"/>
    <x v="1"/>
    <x v="2"/>
    <n v="8.5"/>
  </r>
  <r>
    <s v="E00289"/>
    <s v="FN290"/>
    <s v="LN290"/>
    <x v="0"/>
    <n v="28"/>
    <x v="4"/>
    <x v="2"/>
    <x v="3"/>
    <x v="0"/>
    <x v="1"/>
    <x v="275"/>
    <m/>
    <x v="0"/>
    <x v="36"/>
    <s v="MBA"/>
    <n v="1"/>
    <n v="136435"/>
    <x v="16"/>
    <x v="18"/>
    <x v="40"/>
    <n v="18"/>
    <n v="21"/>
    <n v="49"/>
    <x v="0"/>
    <x v="1"/>
    <n v="5.4"/>
  </r>
  <r>
    <s v="E00290"/>
    <s v="FN291"/>
    <s v="LN291"/>
    <x v="0"/>
    <n v="22"/>
    <x v="3"/>
    <x v="10"/>
    <x v="1"/>
    <x v="2"/>
    <x v="1"/>
    <x v="276"/>
    <m/>
    <x v="0"/>
    <x v="18"/>
    <s v="Bachelor"/>
    <n v="9"/>
    <n v="48188"/>
    <x v="12"/>
    <x v="21"/>
    <x v="37"/>
    <n v="11"/>
    <n v="54"/>
    <n v="12"/>
    <x v="1"/>
    <x v="1"/>
    <n v="7"/>
  </r>
  <r>
    <s v="E00291"/>
    <s v="FN292"/>
    <s v="LN292"/>
    <x v="1"/>
    <n v="51"/>
    <x v="1"/>
    <x v="1"/>
    <x v="4"/>
    <x v="1"/>
    <x v="1"/>
    <x v="277"/>
    <m/>
    <x v="0"/>
    <x v="40"/>
    <s v="Master"/>
    <n v="19"/>
    <n v="158981"/>
    <x v="3"/>
    <x v="16"/>
    <x v="3"/>
    <n v="12"/>
    <n v="9"/>
    <n v="56"/>
    <x v="0"/>
    <x v="1"/>
    <n v="6.6"/>
  </r>
  <r>
    <s v="E00292"/>
    <s v="FN293"/>
    <s v="LN293"/>
    <x v="1"/>
    <n v="41"/>
    <x v="2"/>
    <x v="5"/>
    <x v="1"/>
    <x v="2"/>
    <x v="1"/>
    <x v="278"/>
    <m/>
    <x v="0"/>
    <x v="22"/>
    <s v="MBA"/>
    <n v="16"/>
    <n v="54241"/>
    <x v="3"/>
    <x v="5"/>
    <x v="9"/>
    <n v="15"/>
    <n v="36"/>
    <n v="61"/>
    <x v="1"/>
    <x v="2"/>
    <n v="3.2"/>
  </r>
  <r>
    <s v="E00293"/>
    <s v="FN294"/>
    <s v="LN294"/>
    <x v="0"/>
    <n v="41"/>
    <x v="0"/>
    <x v="0"/>
    <x v="4"/>
    <x v="1"/>
    <x v="1"/>
    <x v="279"/>
    <m/>
    <x v="0"/>
    <x v="51"/>
    <s v="Bachelor"/>
    <n v="0"/>
    <n v="136356"/>
    <x v="0"/>
    <x v="7"/>
    <x v="25"/>
    <n v="0"/>
    <n v="32"/>
    <n v="47"/>
    <x v="0"/>
    <x v="1"/>
    <n v="4.5999999999999996"/>
  </r>
  <r>
    <s v="E00294"/>
    <s v="FN295"/>
    <s v="LN295"/>
    <x v="0"/>
    <n v="21"/>
    <x v="0"/>
    <x v="2"/>
    <x v="1"/>
    <x v="1"/>
    <x v="1"/>
    <x v="280"/>
    <m/>
    <x v="0"/>
    <x v="15"/>
    <s v="MBA"/>
    <n v="22"/>
    <n v="73550"/>
    <x v="11"/>
    <x v="0"/>
    <x v="17"/>
    <n v="3"/>
    <n v="54"/>
    <n v="51"/>
    <x v="1"/>
    <x v="2"/>
    <n v="4.8"/>
  </r>
  <r>
    <s v="E00295"/>
    <s v="FN296"/>
    <s v="LN296"/>
    <x v="0"/>
    <n v="22"/>
    <x v="3"/>
    <x v="2"/>
    <x v="1"/>
    <x v="1"/>
    <x v="1"/>
    <x v="281"/>
    <s v="2034-02-23"/>
    <x v="1"/>
    <x v="18"/>
    <s v="Bachelor"/>
    <n v="0"/>
    <n v="56524"/>
    <x v="15"/>
    <x v="6"/>
    <x v="6"/>
    <n v="2"/>
    <n v="25"/>
    <n v="42"/>
    <x v="1"/>
    <x v="2"/>
    <n v="0.6"/>
  </r>
  <r>
    <s v="E00296"/>
    <s v="FN297"/>
    <s v="LN297"/>
    <x v="1"/>
    <n v="22"/>
    <x v="4"/>
    <x v="9"/>
    <x v="3"/>
    <x v="0"/>
    <x v="1"/>
    <x v="282"/>
    <m/>
    <x v="0"/>
    <x v="68"/>
    <s v="Master"/>
    <n v="7"/>
    <n v="100296"/>
    <x v="7"/>
    <x v="21"/>
    <x v="24"/>
    <n v="16"/>
    <n v="10"/>
    <n v="4"/>
    <x v="1"/>
    <x v="1"/>
    <n v="7.7"/>
  </r>
  <r>
    <s v="E00297"/>
    <s v="FN298"/>
    <s v="LN298"/>
    <x v="0"/>
    <n v="54"/>
    <x v="1"/>
    <x v="4"/>
    <x v="2"/>
    <x v="2"/>
    <x v="1"/>
    <x v="283"/>
    <m/>
    <x v="0"/>
    <x v="70"/>
    <s v="Master"/>
    <n v="17"/>
    <n v="148053"/>
    <x v="19"/>
    <x v="10"/>
    <x v="4"/>
    <n v="17"/>
    <n v="9"/>
    <n v="13"/>
    <x v="0"/>
    <x v="1"/>
    <n v="7.7"/>
  </r>
  <r>
    <s v="E00298"/>
    <s v="FN299"/>
    <s v="LN299"/>
    <x v="0"/>
    <n v="21"/>
    <x v="4"/>
    <x v="6"/>
    <x v="2"/>
    <x v="0"/>
    <x v="1"/>
    <x v="284"/>
    <m/>
    <x v="0"/>
    <x v="38"/>
    <s v="Master"/>
    <n v="13"/>
    <n v="66281"/>
    <x v="17"/>
    <x v="23"/>
    <x v="40"/>
    <n v="1"/>
    <n v="20"/>
    <n v="36"/>
    <x v="0"/>
    <x v="1"/>
    <n v="2.8"/>
  </r>
  <r>
    <s v="E00299"/>
    <s v="FN300"/>
    <s v="LN300"/>
    <x v="1"/>
    <n v="24"/>
    <x v="0"/>
    <x v="2"/>
    <x v="3"/>
    <x v="0"/>
    <x v="0"/>
    <x v="285"/>
    <m/>
    <x v="0"/>
    <x v="47"/>
    <s v="Bachelor"/>
    <n v="8"/>
    <n v="123572"/>
    <x v="20"/>
    <x v="2"/>
    <x v="37"/>
    <n v="14"/>
    <n v="20"/>
    <n v="25"/>
    <x v="1"/>
    <x v="0"/>
    <n v="7.1"/>
  </r>
  <r>
    <s v="E00300"/>
    <s v="FN301"/>
    <s v="LN301"/>
    <x v="1"/>
    <n v="56"/>
    <x v="4"/>
    <x v="2"/>
    <x v="3"/>
    <x v="1"/>
    <x v="0"/>
    <x v="286"/>
    <m/>
    <x v="0"/>
    <x v="15"/>
    <s v="MBA"/>
    <n v="19"/>
    <n v="118367"/>
    <x v="3"/>
    <x v="4"/>
    <x v="43"/>
    <n v="18"/>
    <n v="51"/>
    <n v="22"/>
    <x v="0"/>
    <x v="2"/>
    <n v="9.1999999999999993"/>
  </r>
  <r>
    <s v="E00301"/>
    <s v="FN302"/>
    <s v="LN302"/>
    <x v="0"/>
    <n v="50"/>
    <x v="3"/>
    <x v="10"/>
    <x v="2"/>
    <x v="2"/>
    <x v="0"/>
    <x v="287"/>
    <s v="2021-06-13"/>
    <x v="1"/>
    <x v="40"/>
    <s v="Bachelor"/>
    <n v="33"/>
    <n v="160986"/>
    <x v="16"/>
    <x v="22"/>
    <x v="6"/>
    <n v="18"/>
    <n v="8"/>
    <n v="23"/>
    <x v="1"/>
    <x v="0"/>
    <n v="8.1999999999999993"/>
  </r>
  <r>
    <s v="E00302"/>
    <s v="FN303"/>
    <s v="LN303"/>
    <x v="1"/>
    <n v="21"/>
    <x v="5"/>
    <x v="2"/>
    <x v="2"/>
    <x v="2"/>
    <x v="0"/>
    <x v="288"/>
    <m/>
    <x v="0"/>
    <x v="40"/>
    <s v="Bachelor"/>
    <n v="31"/>
    <n v="117860"/>
    <x v="20"/>
    <x v="3"/>
    <x v="27"/>
    <n v="18"/>
    <n v="18"/>
    <n v="27"/>
    <x v="1"/>
    <x v="0"/>
    <n v="6.1"/>
  </r>
  <r>
    <s v="E00303"/>
    <s v="FN304"/>
    <s v="LN304"/>
    <x v="0"/>
    <n v="26"/>
    <x v="1"/>
    <x v="1"/>
    <x v="3"/>
    <x v="2"/>
    <x v="0"/>
    <x v="181"/>
    <m/>
    <x v="0"/>
    <x v="74"/>
    <s v="Bachelor"/>
    <n v="12"/>
    <n v="53992"/>
    <x v="17"/>
    <x v="2"/>
    <x v="33"/>
    <n v="3"/>
    <n v="17"/>
    <n v="75"/>
    <x v="0"/>
    <x v="2"/>
    <n v="8.5"/>
  </r>
  <r>
    <s v="E00304"/>
    <s v="FN305"/>
    <s v="LN305"/>
    <x v="1"/>
    <n v="55"/>
    <x v="4"/>
    <x v="9"/>
    <x v="3"/>
    <x v="2"/>
    <x v="0"/>
    <x v="289"/>
    <m/>
    <x v="0"/>
    <x v="38"/>
    <s v="Bachelor"/>
    <n v="7"/>
    <n v="40949"/>
    <x v="7"/>
    <x v="7"/>
    <x v="15"/>
    <n v="16"/>
    <n v="20"/>
    <n v="65"/>
    <x v="1"/>
    <x v="0"/>
    <n v="4.9000000000000004"/>
  </r>
  <r>
    <s v="E00305"/>
    <s v="FN306"/>
    <s v="LN306"/>
    <x v="0"/>
    <n v="33"/>
    <x v="5"/>
    <x v="8"/>
    <x v="0"/>
    <x v="0"/>
    <x v="0"/>
    <x v="290"/>
    <m/>
    <x v="0"/>
    <x v="5"/>
    <s v="Bachelor"/>
    <n v="12"/>
    <n v="99807"/>
    <x v="20"/>
    <x v="23"/>
    <x v="50"/>
    <n v="6"/>
    <n v="53"/>
    <n v="68"/>
    <x v="0"/>
    <x v="1"/>
    <n v="9.3000000000000007"/>
  </r>
  <r>
    <s v="E00306"/>
    <s v="FN307"/>
    <s v="LN307"/>
    <x v="1"/>
    <n v="37"/>
    <x v="1"/>
    <x v="1"/>
    <x v="4"/>
    <x v="2"/>
    <x v="1"/>
    <x v="291"/>
    <m/>
    <x v="0"/>
    <x v="52"/>
    <s v="MBA"/>
    <n v="14"/>
    <n v="99220"/>
    <x v="1"/>
    <x v="1"/>
    <x v="27"/>
    <n v="3"/>
    <n v="33"/>
    <n v="18"/>
    <x v="1"/>
    <x v="0"/>
    <n v="10.3"/>
  </r>
  <r>
    <s v="E00307"/>
    <s v="FN308"/>
    <s v="LN308"/>
    <x v="1"/>
    <n v="46"/>
    <x v="2"/>
    <x v="3"/>
    <x v="1"/>
    <x v="2"/>
    <x v="1"/>
    <x v="292"/>
    <m/>
    <x v="0"/>
    <x v="53"/>
    <s v="Bachelor"/>
    <n v="6"/>
    <n v="87118"/>
    <x v="11"/>
    <x v="23"/>
    <x v="18"/>
    <n v="0"/>
    <n v="35"/>
    <n v="65"/>
    <x v="1"/>
    <x v="0"/>
    <n v="3.7"/>
  </r>
  <r>
    <s v="E00308"/>
    <s v="FN309"/>
    <s v="LN309"/>
    <x v="0"/>
    <n v="25"/>
    <x v="3"/>
    <x v="10"/>
    <x v="1"/>
    <x v="1"/>
    <x v="0"/>
    <x v="293"/>
    <m/>
    <x v="0"/>
    <x v="35"/>
    <s v="MBA"/>
    <n v="5"/>
    <n v="67556"/>
    <x v="16"/>
    <x v="19"/>
    <x v="45"/>
    <n v="2"/>
    <n v="28"/>
    <n v="70"/>
    <x v="1"/>
    <x v="0"/>
    <n v="0.3"/>
  </r>
  <r>
    <s v="E00309"/>
    <s v="FN310"/>
    <s v="LN310"/>
    <x v="1"/>
    <n v="50"/>
    <x v="1"/>
    <x v="1"/>
    <x v="0"/>
    <x v="0"/>
    <x v="0"/>
    <x v="294"/>
    <m/>
    <x v="0"/>
    <x v="54"/>
    <s v="MBA"/>
    <n v="14"/>
    <n v="118109"/>
    <x v="19"/>
    <x v="0"/>
    <x v="29"/>
    <n v="9"/>
    <n v="19"/>
    <n v="3"/>
    <x v="0"/>
    <x v="0"/>
    <n v="2.4"/>
  </r>
  <r>
    <s v="E00310"/>
    <s v="FN311"/>
    <s v="LN311"/>
    <x v="0"/>
    <n v="28"/>
    <x v="2"/>
    <x v="3"/>
    <x v="1"/>
    <x v="2"/>
    <x v="0"/>
    <x v="295"/>
    <m/>
    <x v="0"/>
    <x v="1"/>
    <s v="Bachelor"/>
    <n v="4"/>
    <n v="113028"/>
    <x v="18"/>
    <x v="25"/>
    <x v="24"/>
    <n v="19"/>
    <n v="31"/>
    <n v="62"/>
    <x v="1"/>
    <x v="0"/>
    <n v="0.3"/>
  </r>
  <r>
    <s v="E00311"/>
    <s v="FN312"/>
    <s v="LN312"/>
    <x v="0"/>
    <n v="56"/>
    <x v="5"/>
    <x v="6"/>
    <x v="4"/>
    <x v="0"/>
    <x v="0"/>
    <x v="296"/>
    <m/>
    <x v="0"/>
    <x v="16"/>
    <s v="Master"/>
    <n v="31"/>
    <n v="146368"/>
    <x v="17"/>
    <x v="4"/>
    <x v="26"/>
    <n v="13"/>
    <n v="22"/>
    <n v="8"/>
    <x v="0"/>
    <x v="0"/>
    <n v="5.6"/>
  </r>
  <r>
    <s v="E00312"/>
    <s v="FN313"/>
    <s v="LN313"/>
    <x v="0"/>
    <n v="21"/>
    <x v="0"/>
    <x v="2"/>
    <x v="0"/>
    <x v="2"/>
    <x v="0"/>
    <x v="297"/>
    <m/>
    <x v="0"/>
    <x v="28"/>
    <s v="Master"/>
    <n v="4"/>
    <n v="174678"/>
    <x v="4"/>
    <x v="4"/>
    <x v="4"/>
    <n v="2"/>
    <n v="14"/>
    <n v="19"/>
    <x v="0"/>
    <x v="0"/>
    <n v="3.1"/>
  </r>
  <r>
    <s v="E00313"/>
    <s v="FN314"/>
    <s v="LN314"/>
    <x v="0"/>
    <n v="43"/>
    <x v="0"/>
    <x v="2"/>
    <x v="4"/>
    <x v="0"/>
    <x v="1"/>
    <x v="298"/>
    <m/>
    <x v="0"/>
    <x v="28"/>
    <s v="Master"/>
    <n v="17"/>
    <n v="103080"/>
    <x v="4"/>
    <x v="12"/>
    <x v="1"/>
    <n v="6"/>
    <n v="30"/>
    <n v="24"/>
    <x v="1"/>
    <x v="2"/>
    <n v="1.6"/>
  </r>
  <r>
    <s v="E00314"/>
    <s v="FN315"/>
    <s v="LN315"/>
    <x v="1"/>
    <n v="54"/>
    <x v="5"/>
    <x v="2"/>
    <x v="3"/>
    <x v="1"/>
    <x v="1"/>
    <x v="299"/>
    <m/>
    <x v="0"/>
    <x v="0"/>
    <s v="Bachelor"/>
    <n v="21"/>
    <n v="137011"/>
    <x v="7"/>
    <x v="12"/>
    <x v="43"/>
    <n v="12"/>
    <n v="29"/>
    <n v="22"/>
    <x v="0"/>
    <x v="1"/>
    <n v="8.9"/>
  </r>
  <r>
    <s v="E00315"/>
    <s v="FN316"/>
    <s v="LN316"/>
    <x v="0"/>
    <n v="43"/>
    <x v="0"/>
    <x v="0"/>
    <x v="3"/>
    <x v="1"/>
    <x v="1"/>
    <x v="300"/>
    <m/>
    <x v="0"/>
    <x v="59"/>
    <s v="Master"/>
    <n v="21"/>
    <n v="147924"/>
    <x v="5"/>
    <x v="9"/>
    <x v="20"/>
    <n v="0"/>
    <n v="22"/>
    <n v="75"/>
    <x v="1"/>
    <x v="2"/>
    <n v="10.1"/>
  </r>
  <r>
    <s v="E00316"/>
    <s v="FN317"/>
    <s v="LN317"/>
    <x v="0"/>
    <n v="29"/>
    <x v="1"/>
    <x v="4"/>
    <x v="3"/>
    <x v="0"/>
    <x v="0"/>
    <x v="301"/>
    <m/>
    <x v="0"/>
    <x v="44"/>
    <s v="MBA"/>
    <n v="21"/>
    <n v="51244"/>
    <x v="8"/>
    <x v="20"/>
    <x v="13"/>
    <n v="4"/>
    <n v="55"/>
    <n v="35"/>
    <x v="1"/>
    <x v="0"/>
    <n v="8.6"/>
  </r>
  <r>
    <s v="E00317"/>
    <s v="FN318"/>
    <s v="LN318"/>
    <x v="0"/>
    <n v="45"/>
    <x v="2"/>
    <x v="3"/>
    <x v="2"/>
    <x v="1"/>
    <x v="0"/>
    <x v="302"/>
    <m/>
    <x v="0"/>
    <x v="58"/>
    <s v="Master"/>
    <n v="35"/>
    <n v="50648"/>
    <x v="18"/>
    <x v="15"/>
    <x v="38"/>
    <n v="9"/>
    <n v="1"/>
    <n v="73"/>
    <x v="1"/>
    <x v="1"/>
    <n v="2.4"/>
  </r>
  <r>
    <s v="E00318"/>
    <s v="FN319"/>
    <s v="LN319"/>
    <x v="1"/>
    <n v="40"/>
    <x v="2"/>
    <x v="7"/>
    <x v="2"/>
    <x v="1"/>
    <x v="1"/>
    <x v="303"/>
    <m/>
    <x v="0"/>
    <x v="3"/>
    <s v="MBA"/>
    <n v="27"/>
    <n v="49152"/>
    <x v="17"/>
    <x v="8"/>
    <x v="31"/>
    <n v="15"/>
    <n v="52"/>
    <n v="53"/>
    <x v="1"/>
    <x v="0"/>
    <n v="9.4"/>
  </r>
  <r>
    <s v="E00319"/>
    <s v="FN320"/>
    <s v="LN320"/>
    <x v="0"/>
    <n v="42"/>
    <x v="2"/>
    <x v="3"/>
    <x v="2"/>
    <x v="0"/>
    <x v="1"/>
    <x v="304"/>
    <m/>
    <x v="0"/>
    <x v="29"/>
    <s v="Master"/>
    <n v="15"/>
    <n v="94783"/>
    <x v="11"/>
    <x v="8"/>
    <x v="2"/>
    <n v="16"/>
    <n v="9"/>
    <n v="42"/>
    <x v="1"/>
    <x v="0"/>
    <n v="7.9"/>
  </r>
  <r>
    <s v="E00320"/>
    <s v="FN321"/>
    <s v="LN321"/>
    <x v="1"/>
    <n v="42"/>
    <x v="3"/>
    <x v="10"/>
    <x v="4"/>
    <x v="1"/>
    <x v="0"/>
    <x v="305"/>
    <m/>
    <x v="0"/>
    <x v="22"/>
    <s v="MBA"/>
    <n v="10"/>
    <n v="119494"/>
    <x v="13"/>
    <x v="1"/>
    <x v="45"/>
    <n v="6"/>
    <n v="37"/>
    <n v="32"/>
    <x v="1"/>
    <x v="0"/>
    <n v="5.0999999999999996"/>
  </r>
  <r>
    <s v="E00321"/>
    <s v="FN322"/>
    <s v="LN322"/>
    <x v="0"/>
    <n v="58"/>
    <x v="2"/>
    <x v="7"/>
    <x v="4"/>
    <x v="0"/>
    <x v="0"/>
    <x v="306"/>
    <m/>
    <x v="0"/>
    <x v="70"/>
    <s v="Bachelor"/>
    <n v="28"/>
    <n v="172912"/>
    <x v="6"/>
    <x v="21"/>
    <x v="49"/>
    <n v="6"/>
    <n v="7"/>
    <n v="26"/>
    <x v="0"/>
    <x v="0"/>
    <n v="2.2000000000000002"/>
  </r>
  <r>
    <s v="E00322"/>
    <s v="FN323"/>
    <s v="LN323"/>
    <x v="0"/>
    <n v="54"/>
    <x v="3"/>
    <x v="2"/>
    <x v="2"/>
    <x v="2"/>
    <x v="0"/>
    <x v="117"/>
    <m/>
    <x v="0"/>
    <x v="48"/>
    <s v="Master"/>
    <n v="17"/>
    <n v="148685"/>
    <x v="1"/>
    <x v="3"/>
    <x v="32"/>
    <n v="0"/>
    <n v="15"/>
    <n v="17"/>
    <x v="1"/>
    <x v="0"/>
    <n v="5.4"/>
  </r>
  <r>
    <s v="E00323"/>
    <s v="FN324"/>
    <s v="LN324"/>
    <x v="0"/>
    <n v="38"/>
    <x v="4"/>
    <x v="9"/>
    <x v="4"/>
    <x v="0"/>
    <x v="1"/>
    <x v="307"/>
    <m/>
    <x v="0"/>
    <x v="72"/>
    <s v="MBA"/>
    <n v="20"/>
    <n v="102856"/>
    <x v="8"/>
    <x v="0"/>
    <x v="17"/>
    <n v="18"/>
    <n v="48"/>
    <n v="51"/>
    <x v="0"/>
    <x v="1"/>
    <n v="9.5"/>
  </r>
  <r>
    <s v="E00324"/>
    <s v="FN325"/>
    <s v="LN325"/>
    <x v="0"/>
    <n v="33"/>
    <x v="4"/>
    <x v="6"/>
    <x v="2"/>
    <x v="1"/>
    <x v="1"/>
    <x v="308"/>
    <m/>
    <x v="0"/>
    <x v="71"/>
    <s v="Bachelor"/>
    <n v="16"/>
    <n v="130421"/>
    <x v="8"/>
    <x v="19"/>
    <x v="11"/>
    <n v="9"/>
    <n v="52"/>
    <n v="33"/>
    <x v="0"/>
    <x v="0"/>
    <n v="9.3000000000000007"/>
  </r>
  <r>
    <s v="E00325"/>
    <s v="FN326"/>
    <s v="LN326"/>
    <x v="0"/>
    <n v="32"/>
    <x v="2"/>
    <x v="3"/>
    <x v="3"/>
    <x v="0"/>
    <x v="0"/>
    <x v="206"/>
    <m/>
    <x v="0"/>
    <x v="31"/>
    <s v="Bachelor"/>
    <n v="15"/>
    <n v="117200"/>
    <x v="17"/>
    <x v="9"/>
    <x v="33"/>
    <n v="2"/>
    <n v="31"/>
    <n v="67"/>
    <x v="0"/>
    <x v="2"/>
    <n v="2.6"/>
  </r>
  <r>
    <s v="E00326"/>
    <s v="FN327"/>
    <s v="LN327"/>
    <x v="0"/>
    <n v="40"/>
    <x v="5"/>
    <x v="6"/>
    <x v="4"/>
    <x v="2"/>
    <x v="0"/>
    <x v="309"/>
    <m/>
    <x v="0"/>
    <x v="49"/>
    <s v="Bachelor"/>
    <n v="26"/>
    <n v="43596"/>
    <x v="19"/>
    <x v="21"/>
    <x v="1"/>
    <n v="20"/>
    <n v="39"/>
    <n v="76"/>
    <x v="0"/>
    <x v="2"/>
    <n v="0.5"/>
  </r>
  <r>
    <s v="E00327"/>
    <s v="FN328"/>
    <s v="LN328"/>
    <x v="1"/>
    <n v="41"/>
    <x v="0"/>
    <x v="0"/>
    <x v="1"/>
    <x v="1"/>
    <x v="0"/>
    <x v="133"/>
    <s v="2026-08-28"/>
    <x v="1"/>
    <x v="69"/>
    <s v="Master"/>
    <n v="7"/>
    <n v="147867"/>
    <x v="17"/>
    <x v="17"/>
    <x v="2"/>
    <n v="17"/>
    <n v="22"/>
    <n v="71"/>
    <x v="0"/>
    <x v="0"/>
    <n v="4.5"/>
  </r>
  <r>
    <s v="E00328"/>
    <s v="FN329"/>
    <s v="LN329"/>
    <x v="1"/>
    <n v="40"/>
    <x v="5"/>
    <x v="2"/>
    <x v="2"/>
    <x v="1"/>
    <x v="0"/>
    <x v="310"/>
    <m/>
    <x v="0"/>
    <x v="69"/>
    <s v="Bachelor"/>
    <n v="32"/>
    <n v="122063"/>
    <x v="5"/>
    <x v="15"/>
    <x v="30"/>
    <n v="8"/>
    <n v="44"/>
    <n v="78"/>
    <x v="0"/>
    <x v="2"/>
    <n v="7.6"/>
  </r>
  <r>
    <s v="E00329"/>
    <s v="FN330"/>
    <s v="LN330"/>
    <x v="0"/>
    <n v="47"/>
    <x v="5"/>
    <x v="2"/>
    <x v="2"/>
    <x v="0"/>
    <x v="0"/>
    <x v="311"/>
    <s v="2024-04-21"/>
    <x v="1"/>
    <x v="71"/>
    <s v="MBA"/>
    <n v="8"/>
    <n v="168341"/>
    <x v="11"/>
    <x v="7"/>
    <x v="4"/>
    <n v="8"/>
    <n v="59"/>
    <n v="75"/>
    <x v="1"/>
    <x v="1"/>
    <n v="7"/>
  </r>
  <r>
    <s v="E00330"/>
    <s v="FN331"/>
    <s v="LN331"/>
    <x v="0"/>
    <n v="58"/>
    <x v="4"/>
    <x v="9"/>
    <x v="3"/>
    <x v="0"/>
    <x v="1"/>
    <x v="312"/>
    <m/>
    <x v="0"/>
    <x v="11"/>
    <s v="Bachelor"/>
    <n v="15"/>
    <n v="104005"/>
    <x v="15"/>
    <x v="5"/>
    <x v="16"/>
    <n v="9"/>
    <n v="32"/>
    <n v="37"/>
    <x v="0"/>
    <x v="0"/>
    <n v="9.8000000000000007"/>
  </r>
  <r>
    <s v="E00331"/>
    <s v="FN332"/>
    <s v="LN332"/>
    <x v="0"/>
    <n v="53"/>
    <x v="3"/>
    <x v="2"/>
    <x v="2"/>
    <x v="2"/>
    <x v="1"/>
    <x v="313"/>
    <m/>
    <x v="0"/>
    <x v="72"/>
    <s v="Master"/>
    <n v="15"/>
    <n v="170271"/>
    <x v="16"/>
    <x v="4"/>
    <x v="28"/>
    <n v="5"/>
    <n v="8"/>
    <n v="1"/>
    <x v="0"/>
    <x v="0"/>
    <n v="5.8"/>
  </r>
  <r>
    <s v="E00332"/>
    <s v="FN333"/>
    <s v="LN333"/>
    <x v="1"/>
    <n v="22"/>
    <x v="0"/>
    <x v="0"/>
    <x v="4"/>
    <x v="0"/>
    <x v="0"/>
    <x v="314"/>
    <m/>
    <x v="0"/>
    <x v="39"/>
    <s v="MBA"/>
    <n v="4"/>
    <n v="143292"/>
    <x v="3"/>
    <x v="16"/>
    <x v="40"/>
    <n v="0"/>
    <n v="16"/>
    <n v="21"/>
    <x v="0"/>
    <x v="2"/>
    <n v="6.3"/>
  </r>
  <r>
    <s v="E00333"/>
    <s v="FN334"/>
    <s v="LN334"/>
    <x v="1"/>
    <n v="36"/>
    <x v="5"/>
    <x v="8"/>
    <x v="4"/>
    <x v="1"/>
    <x v="1"/>
    <x v="315"/>
    <m/>
    <x v="0"/>
    <x v="8"/>
    <s v="Bachelor"/>
    <n v="2"/>
    <n v="65303"/>
    <x v="9"/>
    <x v="20"/>
    <x v="27"/>
    <n v="15"/>
    <n v="37"/>
    <n v="62"/>
    <x v="0"/>
    <x v="2"/>
    <n v="4.2"/>
  </r>
  <r>
    <s v="E00334"/>
    <s v="FN335"/>
    <s v="LN335"/>
    <x v="1"/>
    <n v="58"/>
    <x v="4"/>
    <x v="9"/>
    <x v="4"/>
    <x v="1"/>
    <x v="0"/>
    <x v="273"/>
    <m/>
    <x v="0"/>
    <x v="60"/>
    <s v="Master"/>
    <n v="16"/>
    <n v="99725"/>
    <x v="14"/>
    <x v="25"/>
    <x v="32"/>
    <n v="8"/>
    <n v="58"/>
    <n v="77"/>
    <x v="1"/>
    <x v="2"/>
    <n v="2.5"/>
  </r>
  <r>
    <s v="E00335"/>
    <s v="FN336"/>
    <s v="LN336"/>
    <x v="0"/>
    <n v="30"/>
    <x v="5"/>
    <x v="2"/>
    <x v="3"/>
    <x v="0"/>
    <x v="0"/>
    <x v="316"/>
    <s v="2027-01-03"/>
    <x v="1"/>
    <x v="10"/>
    <s v="Bachelor"/>
    <n v="22"/>
    <n v="77336"/>
    <x v="6"/>
    <x v="18"/>
    <x v="47"/>
    <n v="12"/>
    <n v="2"/>
    <n v="58"/>
    <x v="1"/>
    <x v="1"/>
    <n v="5"/>
  </r>
  <r>
    <s v="E00336"/>
    <s v="FN337"/>
    <s v="LN337"/>
    <x v="1"/>
    <n v="45"/>
    <x v="4"/>
    <x v="6"/>
    <x v="4"/>
    <x v="0"/>
    <x v="0"/>
    <x v="317"/>
    <m/>
    <x v="0"/>
    <x v="20"/>
    <s v="MBA"/>
    <n v="2"/>
    <n v="167169"/>
    <x v="13"/>
    <x v="25"/>
    <x v="33"/>
    <n v="6"/>
    <n v="40"/>
    <n v="53"/>
    <x v="1"/>
    <x v="2"/>
    <n v="7.9"/>
  </r>
  <r>
    <s v="E00337"/>
    <s v="FN338"/>
    <s v="LN338"/>
    <x v="1"/>
    <n v="21"/>
    <x v="4"/>
    <x v="9"/>
    <x v="4"/>
    <x v="1"/>
    <x v="0"/>
    <x v="318"/>
    <m/>
    <x v="0"/>
    <x v="38"/>
    <s v="MBA"/>
    <n v="21"/>
    <n v="84881"/>
    <x v="13"/>
    <x v="8"/>
    <x v="36"/>
    <n v="18"/>
    <n v="44"/>
    <n v="71"/>
    <x v="1"/>
    <x v="0"/>
    <n v="2.9"/>
  </r>
  <r>
    <s v="E00338"/>
    <s v="FN339"/>
    <s v="LN339"/>
    <x v="1"/>
    <n v="54"/>
    <x v="3"/>
    <x v="2"/>
    <x v="2"/>
    <x v="1"/>
    <x v="0"/>
    <x v="277"/>
    <m/>
    <x v="0"/>
    <x v="37"/>
    <s v="Master"/>
    <n v="1"/>
    <n v="119046"/>
    <x v="19"/>
    <x v="8"/>
    <x v="7"/>
    <n v="3"/>
    <n v="11"/>
    <n v="53"/>
    <x v="0"/>
    <x v="0"/>
    <n v="6.6"/>
  </r>
  <r>
    <s v="E00339"/>
    <s v="FN340"/>
    <s v="LN340"/>
    <x v="1"/>
    <n v="42"/>
    <x v="5"/>
    <x v="6"/>
    <x v="4"/>
    <x v="2"/>
    <x v="1"/>
    <x v="212"/>
    <m/>
    <x v="0"/>
    <x v="66"/>
    <s v="Master"/>
    <n v="14"/>
    <n v="43843"/>
    <x v="13"/>
    <x v="24"/>
    <x v="41"/>
    <n v="19"/>
    <n v="21"/>
    <n v="16"/>
    <x v="0"/>
    <x v="0"/>
    <n v="9.1"/>
  </r>
  <r>
    <s v="E00340"/>
    <s v="FN341"/>
    <s v="LN341"/>
    <x v="1"/>
    <n v="52"/>
    <x v="3"/>
    <x v="2"/>
    <x v="1"/>
    <x v="0"/>
    <x v="0"/>
    <x v="236"/>
    <m/>
    <x v="0"/>
    <x v="72"/>
    <s v="Master"/>
    <n v="25"/>
    <n v="56394"/>
    <x v="19"/>
    <x v="21"/>
    <x v="13"/>
    <n v="0"/>
    <n v="21"/>
    <n v="51"/>
    <x v="1"/>
    <x v="1"/>
    <n v="5"/>
  </r>
  <r>
    <s v="E00341"/>
    <s v="FN342"/>
    <s v="LN342"/>
    <x v="1"/>
    <n v="22"/>
    <x v="0"/>
    <x v="0"/>
    <x v="3"/>
    <x v="2"/>
    <x v="0"/>
    <x v="254"/>
    <m/>
    <x v="0"/>
    <x v="30"/>
    <s v="Master"/>
    <n v="1"/>
    <n v="169737"/>
    <x v="12"/>
    <x v="1"/>
    <x v="26"/>
    <n v="7"/>
    <n v="19"/>
    <n v="10"/>
    <x v="1"/>
    <x v="1"/>
    <n v="10.4"/>
  </r>
  <r>
    <s v="E00342"/>
    <s v="FN343"/>
    <s v="LN343"/>
    <x v="1"/>
    <n v="25"/>
    <x v="3"/>
    <x v="10"/>
    <x v="4"/>
    <x v="2"/>
    <x v="0"/>
    <x v="319"/>
    <m/>
    <x v="0"/>
    <x v="36"/>
    <s v="Master"/>
    <n v="27"/>
    <n v="87711"/>
    <x v="9"/>
    <x v="25"/>
    <x v="14"/>
    <n v="17"/>
    <n v="16"/>
    <n v="67"/>
    <x v="1"/>
    <x v="1"/>
    <n v="4.5999999999999996"/>
  </r>
  <r>
    <s v="E00343"/>
    <s v="FN344"/>
    <s v="LN344"/>
    <x v="1"/>
    <n v="26"/>
    <x v="4"/>
    <x v="2"/>
    <x v="4"/>
    <x v="2"/>
    <x v="1"/>
    <x v="320"/>
    <m/>
    <x v="0"/>
    <x v="39"/>
    <s v="Master"/>
    <n v="22"/>
    <n v="106067"/>
    <x v="8"/>
    <x v="8"/>
    <x v="4"/>
    <n v="13"/>
    <n v="6"/>
    <n v="58"/>
    <x v="0"/>
    <x v="0"/>
    <n v="7.4"/>
  </r>
  <r>
    <s v="E00344"/>
    <s v="FN345"/>
    <s v="LN345"/>
    <x v="1"/>
    <n v="26"/>
    <x v="1"/>
    <x v="4"/>
    <x v="1"/>
    <x v="0"/>
    <x v="1"/>
    <x v="321"/>
    <m/>
    <x v="0"/>
    <x v="76"/>
    <s v="Master"/>
    <n v="31"/>
    <n v="115680"/>
    <x v="11"/>
    <x v="1"/>
    <x v="44"/>
    <n v="4"/>
    <n v="22"/>
    <n v="72"/>
    <x v="0"/>
    <x v="2"/>
    <n v="3.8"/>
  </r>
  <r>
    <s v="E00345"/>
    <s v="FN346"/>
    <s v="LN346"/>
    <x v="1"/>
    <n v="50"/>
    <x v="0"/>
    <x v="2"/>
    <x v="1"/>
    <x v="1"/>
    <x v="0"/>
    <x v="322"/>
    <m/>
    <x v="0"/>
    <x v="10"/>
    <s v="Master"/>
    <n v="25"/>
    <n v="107642"/>
    <x v="8"/>
    <x v="21"/>
    <x v="49"/>
    <n v="6"/>
    <n v="11"/>
    <n v="44"/>
    <x v="1"/>
    <x v="1"/>
    <n v="2.9"/>
  </r>
  <r>
    <s v="E00346"/>
    <s v="FN347"/>
    <s v="LN347"/>
    <x v="1"/>
    <n v="24"/>
    <x v="2"/>
    <x v="5"/>
    <x v="1"/>
    <x v="1"/>
    <x v="0"/>
    <x v="323"/>
    <m/>
    <x v="0"/>
    <x v="69"/>
    <s v="MBA"/>
    <n v="23"/>
    <n v="159230"/>
    <x v="2"/>
    <x v="15"/>
    <x v="40"/>
    <n v="10"/>
    <n v="11"/>
    <n v="29"/>
    <x v="0"/>
    <x v="1"/>
    <n v="1.2"/>
  </r>
  <r>
    <s v="E00347"/>
    <s v="FN348"/>
    <s v="LN348"/>
    <x v="0"/>
    <n v="21"/>
    <x v="1"/>
    <x v="1"/>
    <x v="2"/>
    <x v="1"/>
    <x v="0"/>
    <x v="324"/>
    <m/>
    <x v="0"/>
    <x v="40"/>
    <s v="Master"/>
    <n v="8"/>
    <n v="138952"/>
    <x v="5"/>
    <x v="12"/>
    <x v="2"/>
    <n v="1"/>
    <n v="26"/>
    <n v="41"/>
    <x v="0"/>
    <x v="0"/>
    <n v="1.6"/>
  </r>
  <r>
    <s v="E00348"/>
    <s v="FN349"/>
    <s v="LN349"/>
    <x v="1"/>
    <n v="33"/>
    <x v="5"/>
    <x v="8"/>
    <x v="1"/>
    <x v="2"/>
    <x v="0"/>
    <x v="325"/>
    <m/>
    <x v="0"/>
    <x v="20"/>
    <s v="Bachelor"/>
    <n v="23"/>
    <n v="49218"/>
    <x v="18"/>
    <x v="1"/>
    <x v="5"/>
    <n v="14"/>
    <n v="11"/>
    <n v="58"/>
    <x v="1"/>
    <x v="1"/>
    <n v="8"/>
  </r>
  <r>
    <s v="E00349"/>
    <s v="FN350"/>
    <s v="LN350"/>
    <x v="0"/>
    <n v="24"/>
    <x v="4"/>
    <x v="6"/>
    <x v="2"/>
    <x v="0"/>
    <x v="1"/>
    <x v="326"/>
    <m/>
    <x v="0"/>
    <x v="65"/>
    <s v="Master"/>
    <n v="6"/>
    <n v="78968"/>
    <x v="11"/>
    <x v="25"/>
    <x v="11"/>
    <n v="6"/>
    <n v="59"/>
    <n v="19"/>
    <x v="0"/>
    <x v="0"/>
    <n v="1"/>
  </r>
  <r>
    <s v="E00350"/>
    <s v="FN351"/>
    <s v="LN351"/>
    <x v="0"/>
    <n v="32"/>
    <x v="5"/>
    <x v="8"/>
    <x v="4"/>
    <x v="1"/>
    <x v="1"/>
    <x v="327"/>
    <m/>
    <x v="0"/>
    <x v="73"/>
    <s v="Bachelor"/>
    <n v="21"/>
    <n v="97001"/>
    <x v="8"/>
    <x v="8"/>
    <x v="34"/>
    <n v="5"/>
    <n v="17"/>
    <n v="53"/>
    <x v="0"/>
    <x v="0"/>
    <n v="1.3"/>
  </r>
  <r>
    <s v="E00351"/>
    <s v="FN352"/>
    <s v="LN352"/>
    <x v="1"/>
    <n v="48"/>
    <x v="4"/>
    <x v="9"/>
    <x v="1"/>
    <x v="1"/>
    <x v="0"/>
    <x v="328"/>
    <m/>
    <x v="0"/>
    <x v="6"/>
    <s v="Bachelor"/>
    <n v="34"/>
    <n v="46241"/>
    <x v="0"/>
    <x v="11"/>
    <x v="41"/>
    <n v="14"/>
    <n v="20"/>
    <n v="73"/>
    <x v="0"/>
    <x v="0"/>
    <n v="9.6999999999999993"/>
  </r>
  <r>
    <s v="E00352"/>
    <s v="FN353"/>
    <s v="LN353"/>
    <x v="1"/>
    <n v="38"/>
    <x v="0"/>
    <x v="2"/>
    <x v="1"/>
    <x v="0"/>
    <x v="0"/>
    <x v="329"/>
    <s v="2023-06-12"/>
    <x v="1"/>
    <x v="47"/>
    <s v="MBA"/>
    <n v="16"/>
    <n v="153894"/>
    <x v="11"/>
    <x v="12"/>
    <x v="3"/>
    <n v="9"/>
    <n v="43"/>
    <n v="34"/>
    <x v="1"/>
    <x v="1"/>
    <n v="6.6"/>
  </r>
  <r>
    <s v="E00353"/>
    <s v="FN354"/>
    <s v="LN354"/>
    <x v="0"/>
    <n v="40"/>
    <x v="1"/>
    <x v="1"/>
    <x v="0"/>
    <x v="2"/>
    <x v="0"/>
    <x v="330"/>
    <m/>
    <x v="0"/>
    <x v="15"/>
    <s v="Master"/>
    <n v="2"/>
    <n v="107897"/>
    <x v="20"/>
    <x v="0"/>
    <x v="43"/>
    <n v="4"/>
    <n v="59"/>
    <n v="19"/>
    <x v="1"/>
    <x v="0"/>
    <n v="6"/>
  </r>
  <r>
    <s v="E00354"/>
    <s v="FN355"/>
    <s v="LN355"/>
    <x v="1"/>
    <n v="54"/>
    <x v="2"/>
    <x v="7"/>
    <x v="0"/>
    <x v="1"/>
    <x v="1"/>
    <x v="331"/>
    <m/>
    <x v="0"/>
    <x v="17"/>
    <s v="Master"/>
    <n v="14"/>
    <n v="175722"/>
    <x v="19"/>
    <x v="11"/>
    <x v="19"/>
    <n v="12"/>
    <n v="27"/>
    <n v="71"/>
    <x v="1"/>
    <x v="1"/>
    <n v="0.5"/>
  </r>
  <r>
    <s v="E00355"/>
    <s v="FN356"/>
    <s v="LN356"/>
    <x v="1"/>
    <n v="35"/>
    <x v="2"/>
    <x v="3"/>
    <x v="4"/>
    <x v="0"/>
    <x v="0"/>
    <x v="332"/>
    <s v="2021-04-21"/>
    <x v="1"/>
    <x v="33"/>
    <s v="Bachelor"/>
    <n v="22"/>
    <n v="40376"/>
    <x v="9"/>
    <x v="4"/>
    <x v="24"/>
    <n v="15"/>
    <n v="32"/>
    <n v="40"/>
    <x v="0"/>
    <x v="2"/>
    <n v="8.3000000000000007"/>
  </r>
  <r>
    <s v="E00356"/>
    <s v="FN357"/>
    <s v="LN357"/>
    <x v="1"/>
    <n v="56"/>
    <x v="4"/>
    <x v="2"/>
    <x v="2"/>
    <x v="2"/>
    <x v="0"/>
    <x v="333"/>
    <m/>
    <x v="0"/>
    <x v="23"/>
    <s v="Master"/>
    <n v="4"/>
    <n v="63443"/>
    <x v="1"/>
    <x v="9"/>
    <x v="44"/>
    <n v="8"/>
    <n v="36"/>
    <n v="41"/>
    <x v="1"/>
    <x v="2"/>
    <n v="4.4000000000000004"/>
  </r>
  <r>
    <s v="E00357"/>
    <s v="FN358"/>
    <s v="LN358"/>
    <x v="0"/>
    <n v="38"/>
    <x v="1"/>
    <x v="1"/>
    <x v="0"/>
    <x v="1"/>
    <x v="1"/>
    <x v="334"/>
    <m/>
    <x v="0"/>
    <x v="62"/>
    <s v="Bachelor"/>
    <n v="25"/>
    <n v="75407"/>
    <x v="6"/>
    <x v="3"/>
    <x v="11"/>
    <n v="7"/>
    <n v="30"/>
    <n v="3"/>
    <x v="0"/>
    <x v="2"/>
    <n v="8.1999999999999993"/>
  </r>
  <r>
    <s v="E00358"/>
    <s v="FN359"/>
    <s v="LN359"/>
    <x v="0"/>
    <n v="45"/>
    <x v="0"/>
    <x v="2"/>
    <x v="4"/>
    <x v="2"/>
    <x v="0"/>
    <x v="335"/>
    <m/>
    <x v="0"/>
    <x v="46"/>
    <s v="Bachelor"/>
    <n v="4"/>
    <n v="158409"/>
    <x v="19"/>
    <x v="14"/>
    <x v="22"/>
    <n v="12"/>
    <n v="4"/>
    <n v="74"/>
    <x v="0"/>
    <x v="0"/>
    <n v="6.5"/>
  </r>
  <r>
    <s v="E00359"/>
    <s v="FN360"/>
    <s v="LN360"/>
    <x v="1"/>
    <n v="60"/>
    <x v="5"/>
    <x v="2"/>
    <x v="2"/>
    <x v="0"/>
    <x v="1"/>
    <x v="336"/>
    <s v="2022-05-07"/>
    <x v="1"/>
    <x v="49"/>
    <s v="Master"/>
    <n v="32"/>
    <n v="129213"/>
    <x v="13"/>
    <x v="15"/>
    <x v="12"/>
    <n v="15"/>
    <n v="54"/>
    <n v="54"/>
    <x v="1"/>
    <x v="1"/>
    <n v="9.9"/>
  </r>
  <r>
    <s v="E00360"/>
    <s v="FN361"/>
    <s v="LN361"/>
    <x v="1"/>
    <n v="25"/>
    <x v="5"/>
    <x v="2"/>
    <x v="4"/>
    <x v="2"/>
    <x v="1"/>
    <x v="337"/>
    <m/>
    <x v="0"/>
    <x v="68"/>
    <s v="Master"/>
    <n v="11"/>
    <n v="72362"/>
    <x v="13"/>
    <x v="2"/>
    <x v="35"/>
    <n v="2"/>
    <n v="48"/>
    <n v="0"/>
    <x v="0"/>
    <x v="2"/>
    <n v="8"/>
  </r>
  <r>
    <s v="E00361"/>
    <s v="FN362"/>
    <s v="LN362"/>
    <x v="0"/>
    <n v="23"/>
    <x v="0"/>
    <x v="0"/>
    <x v="0"/>
    <x v="0"/>
    <x v="0"/>
    <x v="338"/>
    <s v="2019-12-16"/>
    <x v="1"/>
    <x v="34"/>
    <s v="MBA"/>
    <n v="35"/>
    <n v="65576"/>
    <x v="4"/>
    <x v="8"/>
    <x v="16"/>
    <n v="18"/>
    <n v="12"/>
    <n v="35"/>
    <x v="1"/>
    <x v="2"/>
    <n v="9"/>
  </r>
  <r>
    <s v="E00362"/>
    <s v="FN363"/>
    <s v="LN363"/>
    <x v="1"/>
    <n v="45"/>
    <x v="2"/>
    <x v="7"/>
    <x v="3"/>
    <x v="0"/>
    <x v="1"/>
    <x v="339"/>
    <m/>
    <x v="0"/>
    <x v="69"/>
    <s v="Bachelor"/>
    <n v="8"/>
    <n v="69831"/>
    <x v="15"/>
    <x v="16"/>
    <x v="25"/>
    <n v="2"/>
    <n v="53"/>
    <n v="73"/>
    <x v="0"/>
    <x v="0"/>
    <n v="3.6"/>
  </r>
  <r>
    <s v="E00363"/>
    <s v="FN364"/>
    <s v="LN364"/>
    <x v="0"/>
    <n v="57"/>
    <x v="1"/>
    <x v="4"/>
    <x v="0"/>
    <x v="2"/>
    <x v="0"/>
    <x v="340"/>
    <m/>
    <x v="0"/>
    <x v="63"/>
    <s v="MBA"/>
    <n v="25"/>
    <n v="91529"/>
    <x v="9"/>
    <x v="1"/>
    <x v="27"/>
    <n v="2"/>
    <n v="56"/>
    <n v="18"/>
    <x v="0"/>
    <x v="2"/>
    <n v="6.2"/>
  </r>
  <r>
    <s v="E00364"/>
    <s v="FN365"/>
    <s v="LN365"/>
    <x v="1"/>
    <n v="50"/>
    <x v="4"/>
    <x v="2"/>
    <x v="3"/>
    <x v="0"/>
    <x v="1"/>
    <x v="341"/>
    <m/>
    <x v="0"/>
    <x v="10"/>
    <s v="Master"/>
    <n v="29"/>
    <n v="159017"/>
    <x v="4"/>
    <x v="0"/>
    <x v="35"/>
    <n v="15"/>
    <n v="21"/>
    <n v="38"/>
    <x v="1"/>
    <x v="0"/>
    <n v="8.8000000000000007"/>
  </r>
  <r>
    <s v="E00365"/>
    <s v="FN366"/>
    <s v="LN366"/>
    <x v="1"/>
    <n v="52"/>
    <x v="0"/>
    <x v="2"/>
    <x v="3"/>
    <x v="2"/>
    <x v="1"/>
    <x v="342"/>
    <m/>
    <x v="0"/>
    <x v="40"/>
    <s v="Master"/>
    <n v="6"/>
    <n v="158679"/>
    <x v="13"/>
    <x v="25"/>
    <x v="32"/>
    <n v="14"/>
    <n v="1"/>
    <n v="41"/>
    <x v="0"/>
    <x v="2"/>
    <n v="9.5"/>
  </r>
  <r>
    <s v="E00366"/>
    <s v="FN367"/>
    <s v="LN367"/>
    <x v="0"/>
    <n v="29"/>
    <x v="1"/>
    <x v="1"/>
    <x v="4"/>
    <x v="2"/>
    <x v="1"/>
    <x v="343"/>
    <m/>
    <x v="0"/>
    <x v="61"/>
    <s v="MBA"/>
    <n v="4"/>
    <n v="43722"/>
    <x v="6"/>
    <x v="20"/>
    <x v="12"/>
    <n v="3"/>
    <n v="19"/>
    <n v="41"/>
    <x v="1"/>
    <x v="1"/>
    <n v="10.1"/>
  </r>
  <r>
    <s v="E00367"/>
    <s v="FN368"/>
    <s v="LN368"/>
    <x v="1"/>
    <n v="36"/>
    <x v="5"/>
    <x v="6"/>
    <x v="1"/>
    <x v="1"/>
    <x v="1"/>
    <x v="344"/>
    <s v="2025-02-03"/>
    <x v="1"/>
    <x v="62"/>
    <s v="Master"/>
    <n v="29"/>
    <n v="148355"/>
    <x v="14"/>
    <x v="3"/>
    <x v="49"/>
    <n v="20"/>
    <n v="15"/>
    <n v="76"/>
    <x v="1"/>
    <x v="0"/>
    <n v="9.6999999999999993"/>
  </r>
  <r>
    <s v="E00368"/>
    <s v="FN369"/>
    <s v="LN369"/>
    <x v="0"/>
    <n v="38"/>
    <x v="0"/>
    <x v="2"/>
    <x v="1"/>
    <x v="1"/>
    <x v="0"/>
    <x v="345"/>
    <m/>
    <x v="0"/>
    <x v="14"/>
    <s v="Master"/>
    <n v="31"/>
    <n v="158387"/>
    <x v="16"/>
    <x v="6"/>
    <x v="11"/>
    <n v="12"/>
    <n v="47"/>
    <n v="23"/>
    <x v="1"/>
    <x v="1"/>
    <n v="6.7"/>
  </r>
  <r>
    <s v="E00369"/>
    <s v="FN370"/>
    <s v="LN370"/>
    <x v="1"/>
    <n v="26"/>
    <x v="4"/>
    <x v="6"/>
    <x v="2"/>
    <x v="2"/>
    <x v="1"/>
    <x v="346"/>
    <s v="2025-04-02"/>
    <x v="1"/>
    <x v="5"/>
    <s v="Bachelor"/>
    <n v="25"/>
    <n v="109665"/>
    <x v="0"/>
    <x v="5"/>
    <x v="35"/>
    <n v="8"/>
    <n v="38"/>
    <n v="44"/>
    <x v="1"/>
    <x v="0"/>
    <n v="6.7"/>
  </r>
  <r>
    <s v="E00370"/>
    <s v="FN371"/>
    <s v="LN371"/>
    <x v="1"/>
    <n v="56"/>
    <x v="1"/>
    <x v="4"/>
    <x v="0"/>
    <x v="0"/>
    <x v="1"/>
    <x v="347"/>
    <m/>
    <x v="0"/>
    <x v="73"/>
    <s v="Master"/>
    <n v="2"/>
    <n v="120236"/>
    <x v="6"/>
    <x v="20"/>
    <x v="3"/>
    <n v="3"/>
    <n v="26"/>
    <n v="6"/>
    <x v="0"/>
    <x v="1"/>
    <n v="2.9"/>
  </r>
  <r>
    <s v="E00371"/>
    <s v="FN372"/>
    <s v="LN372"/>
    <x v="0"/>
    <n v="27"/>
    <x v="3"/>
    <x v="2"/>
    <x v="2"/>
    <x v="1"/>
    <x v="0"/>
    <x v="348"/>
    <m/>
    <x v="0"/>
    <x v="27"/>
    <s v="MBA"/>
    <n v="29"/>
    <n v="134328"/>
    <x v="1"/>
    <x v="11"/>
    <x v="30"/>
    <n v="4"/>
    <n v="40"/>
    <n v="64"/>
    <x v="1"/>
    <x v="1"/>
    <n v="5.6"/>
  </r>
  <r>
    <s v="E00372"/>
    <s v="FN373"/>
    <s v="LN373"/>
    <x v="1"/>
    <n v="24"/>
    <x v="4"/>
    <x v="9"/>
    <x v="0"/>
    <x v="1"/>
    <x v="1"/>
    <x v="349"/>
    <m/>
    <x v="0"/>
    <x v="65"/>
    <s v="Master"/>
    <n v="31"/>
    <n v="156375"/>
    <x v="17"/>
    <x v="6"/>
    <x v="0"/>
    <n v="6"/>
    <n v="3"/>
    <n v="10"/>
    <x v="1"/>
    <x v="0"/>
    <n v="3"/>
  </r>
  <r>
    <s v="E00373"/>
    <s v="FN374"/>
    <s v="LN374"/>
    <x v="1"/>
    <n v="40"/>
    <x v="4"/>
    <x v="2"/>
    <x v="4"/>
    <x v="0"/>
    <x v="0"/>
    <x v="350"/>
    <s v="2027-01-31"/>
    <x v="1"/>
    <x v="2"/>
    <s v="MBA"/>
    <n v="13"/>
    <n v="136462"/>
    <x v="5"/>
    <x v="17"/>
    <x v="45"/>
    <n v="3"/>
    <n v="58"/>
    <n v="50"/>
    <x v="1"/>
    <x v="0"/>
    <n v="1.7"/>
  </r>
  <r>
    <s v="E00374"/>
    <s v="FN375"/>
    <s v="LN375"/>
    <x v="0"/>
    <n v="23"/>
    <x v="1"/>
    <x v="4"/>
    <x v="3"/>
    <x v="0"/>
    <x v="0"/>
    <x v="326"/>
    <m/>
    <x v="0"/>
    <x v="28"/>
    <s v="MBA"/>
    <n v="21"/>
    <n v="170461"/>
    <x v="1"/>
    <x v="0"/>
    <x v="26"/>
    <n v="12"/>
    <n v="48"/>
    <n v="6"/>
    <x v="0"/>
    <x v="1"/>
    <n v="1"/>
  </r>
  <r>
    <s v="E00375"/>
    <s v="FN376"/>
    <s v="LN376"/>
    <x v="1"/>
    <n v="39"/>
    <x v="2"/>
    <x v="5"/>
    <x v="1"/>
    <x v="1"/>
    <x v="1"/>
    <x v="351"/>
    <m/>
    <x v="0"/>
    <x v="16"/>
    <s v="MBA"/>
    <n v="17"/>
    <n v="42271"/>
    <x v="20"/>
    <x v="18"/>
    <x v="2"/>
    <n v="13"/>
    <n v="24"/>
    <n v="61"/>
    <x v="0"/>
    <x v="1"/>
    <n v="0.4"/>
  </r>
  <r>
    <s v="E00376"/>
    <s v="FN377"/>
    <s v="LN377"/>
    <x v="1"/>
    <n v="60"/>
    <x v="4"/>
    <x v="6"/>
    <x v="3"/>
    <x v="1"/>
    <x v="1"/>
    <x v="352"/>
    <m/>
    <x v="0"/>
    <x v="39"/>
    <s v="Bachelor"/>
    <n v="20"/>
    <n v="56261"/>
    <x v="13"/>
    <x v="22"/>
    <x v="3"/>
    <n v="7"/>
    <n v="0"/>
    <n v="3"/>
    <x v="1"/>
    <x v="1"/>
    <n v="2.6"/>
  </r>
  <r>
    <s v="E00377"/>
    <s v="FN378"/>
    <s v="LN378"/>
    <x v="1"/>
    <n v="51"/>
    <x v="5"/>
    <x v="6"/>
    <x v="2"/>
    <x v="2"/>
    <x v="0"/>
    <x v="353"/>
    <m/>
    <x v="0"/>
    <x v="49"/>
    <s v="Master"/>
    <n v="13"/>
    <n v="176258"/>
    <x v="10"/>
    <x v="4"/>
    <x v="34"/>
    <n v="7"/>
    <n v="44"/>
    <n v="26"/>
    <x v="0"/>
    <x v="2"/>
    <n v="5.9"/>
  </r>
  <r>
    <s v="E00378"/>
    <s v="FN379"/>
    <s v="LN379"/>
    <x v="0"/>
    <n v="21"/>
    <x v="2"/>
    <x v="3"/>
    <x v="1"/>
    <x v="2"/>
    <x v="0"/>
    <x v="354"/>
    <s v="2030-06-11"/>
    <x v="1"/>
    <x v="18"/>
    <s v="Master"/>
    <n v="21"/>
    <n v="166961"/>
    <x v="3"/>
    <x v="2"/>
    <x v="3"/>
    <n v="18"/>
    <n v="1"/>
    <n v="69"/>
    <x v="0"/>
    <x v="2"/>
    <n v="0.3"/>
  </r>
  <r>
    <s v="E00379"/>
    <s v="FN380"/>
    <s v="LN380"/>
    <x v="0"/>
    <n v="53"/>
    <x v="1"/>
    <x v="4"/>
    <x v="1"/>
    <x v="1"/>
    <x v="1"/>
    <x v="355"/>
    <m/>
    <x v="0"/>
    <x v="18"/>
    <s v="Bachelor"/>
    <n v="22"/>
    <n v="122557"/>
    <x v="15"/>
    <x v="2"/>
    <x v="23"/>
    <n v="7"/>
    <n v="54"/>
    <n v="61"/>
    <x v="0"/>
    <x v="0"/>
    <n v="2"/>
  </r>
  <r>
    <s v="E00380"/>
    <s v="FN381"/>
    <s v="LN381"/>
    <x v="1"/>
    <n v="37"/>
    <x v="2"/>
    <x v="7"/>
    <x v="1"/>
    <x v="0"/>
    <x v="1"/>
    <x v="356"/>
    <m/>
    <x v="0"/>
    <x v="11"/>
    <s v="Master"/>
    <n v="16"/>
    <n v="140576"/>
    <x v="1"/>
    <x v="17"/>
    <x v="43"/>
    <n v="11"/>
    <n v="57"/>
    <n v="62"/>
    <x v="0"/>
    <x v="2"/>
    <n v="4.0999999999999996"/>
  </r>
  <r>
    <s v="E00381"/>
    <s v="FN382"/>
    <s v="LN382"/>
    <x v="0"/>
    <n v="57"/>
    <x v="3"/>
    <x v="10"/>
    <x v="1"/>
    <x v="2"/>
    <x v="1"/>
    <x v="239"/>
    <m/>
    <x v="0"/>
    <x v="24"/>
    <s v="Bachelor"/>
    <n v="33"/>
    <n v="159669"/>
    <x v="0"/>
    <x v="23"/>
    <x v="23"/>
    <n v="18"/>
    <n v="10"/>
    <n v="49"/>
    <x v="1"/>
    <x v="2"/>
    <n v="4.3"/>
  </r>
  <r>
    <s v="E00382"/>
    <s v="FN383"/>
    <s v="LN383"/>
    <x v="1"/>
    <n v="53"/>
    <x v="2"/>
    <x v="5"/>
    <x v="4"/>
    <x v="0"/>
    <x v="1"/>
    <x v="357"/>
    <m/>
    <x v="0"/>
    <x v="77"/>
    <s v="MBA"/>
    <n v="2"/>
    <n v="41578"/>
    <x v="17"/>
    <x v="25"/>
    <x v="21"/>
    <n v="10"/>
    <n v="20"/>
    <n v="22"/>
    <x v="1"/>
    <x v="2"/>
    <n v="4"/>
  </r>
  <r>
    <s v="E00383"/>
    <s v="FN384"/>
    <s v="LN384"/>
    <x v="0"/>
    <n v="44"/>
    <x v="1"/>
    <x v="4"/>
    <x v="0"/>
    <x v="1"/>
    <x v="0"/>
    <x v="358"/>
    <m/>
    <x v="0"/>
    <x v="46"/>
    <s v="MBA"/>
    <n v="20"/>
    <n v="73283"/>
    <x v="7"/>
    <x v="8"/>
    <x v="20"/>
    <n v="20"/>
    <n v="0"/>
    <n v="46"/>
    <x v="0"/>
    <x v="1"/>
    <n v="3.8"/>
  </r>
  <r>
    <s v="E00384"/>
    <s v="FN385"/>
    <s v="LN385"/>
    <x v="0"/>
    <n v="56"/>
    <x v="5"/>
    <x v="6"/>
    <x v="2"/>
    <x v="1"/>
    <x v="1"/>
    <x v="359"/>
    <m/>
    <x v="0"/>
    <x v="62"/>
    <s v="MBA"/>
    <n v="33"/>
    <n v="71120"/>
    <x v="3"/>
    <x v="7"/>
    <x v="26"/>
    <n v="11"/>
    <n v="28"/>
    <n v="55"/>
    <x v="1"/>
    <x v="1"/>
    <n v="2.6"/>
  </r>
  <r>
    <s v="E00385"/>
    <s v="FN386"/>
    <s v="LN386"/>
    <x v="1"/>
    <n v="34"/>
    <x v="0"/>
    <x v="0"/>
    <x v="3"/>
    <x v="0"/>
    <x v="1"/>
    <x v="360"/>
    <m/>
    <x v="0"/>
    <x v="14"/>
    <s v="Master"/>
    <n v="28"/>
    <n v="163010"/>
    <x v="8"/>
    <x v="2"/>
    <x v="23"/>
    <n v="19"/>
    <n v="57"/>
    <n v="0"/>
    <x v="0"/>
    <x v="1"/>
    <n v="6.6"/>
  </r>
  <r>
    <s v="E00386"/>
    <s v="FN387"/>
    <s v="LN387"/>
    <x v="0"/>
    <n v="50"/>
    <x v="1"/>
    <x v="1"/>
    <x v="2"/>
    <x v="1"/>
    <x v="0"/>
    <x v="361"/>
    <m/>
    <x v="0"/>
    <x v="19"/>
    <s v="Master"/>
    <n v="23"/>
    <n v="109419"/>
    <x v="9"/>
    <x v="22"/>
    <x v="42"/>
    <n v="4"/>
    <n v="26"/>
    <n v="5"/>
    <x v="1"/>
    <x v="2"/>
    <n v="4.8"/>
  </r>
  <r>
    <s v="E00387"/>
    <s v="FN388"/>
    <s v="LN388"/>
    <x v="1"/>
    <n v="57"/>
    <x v="2"/>
    <x v="3"/>
    <x v="3"/>
    <x v="2"/>
    <x v="0"/>
    <x v="362"/>
    <s v="2025-08-12"/>
    <x v="1"/>
    <x v="72"/>
    <s v="Master"/>
    <n v="13"/>
    <n v="166055"/>
    <x v="7"/>
    <x v="25"/>
    <x v="29"/>
    <n v="5"/>
    <n v="11"/>
    <n v="62"/>
    <x v="0"/>
    <x v="1"/>
    <n v="3"/>
  </r>
  <r>
    <s v="E00388"/>
    <s v="FN389"/>
    <s v="LN389"/>
    <x v="1"/>
    <n v="43"/>
    <x v="4"/>
    <x v="2"/>
    <x v="1"/>
    <x v="1"/>
    <x v="0"/>
    <x v="363"/>
    <m/>
    <x v="0"/>
    <x v="41"/>
    <s v="Master"/>
    <n v="16"/>
    <n v="54840"/>
    <x v="3"/>
    <x v="24"/>
    <x v="22"/>
    <n v="10"/>
    <n v="60"/>
    <n v="36"/>
    <x v="1"/>
    <x v="1"/>
    <n v="5.7"/>
  </r>
  <r>
    <s v="E00389"/>
    <s v="FN390"/>
    <s v="LN390"/>
    <x v="0"/>
    <n v="24"/>
    <x v="0"/>
    <x v="2"/>
    <x v="0"/>
    <x v="2"/>
    <x v="1"/>
    <x v="364"/>
    <m/>
    <x v="0"/>
    <x v="29"/>
    <s v="Master"/>
    <n v="8"/>
    <n v="61692"/>
    <x v="8"/>
    <x v="15"/>
    <x v="5"/>
    <n v="6"/>
    <n v="50"/>
    <n v="77"/>
    <x v="0"/>
    <x v="0"/>
    <n v="4.2"/>
  </r>
  <r>
    <s v="E00390"/>
    <s v="FN391"/>
    <s v="LN391"/>
    <x v="0"/>
    <n v="25"/>
    <x v="5"/>
    <x v="8"/>
    <x v="2"/>
    <x v="1"/>
    <x v="0"/>
    <x v="365"/>
    <m/>
    <x v="0"/>
    <x v="19"/>
    <s v="Bachelor"/>
    <n v="20"/>
    <n v="44375"/>
    <x v="13"/>
    <x v="2"/>
    <x v="16"/>
    <n v="10"/>
    <n v="2"/>
    <n v="60"/>
    <x v="1"/>
    <x v="0"/>
    <n v="2.2000000000000002"/>
  </r>
  <r>
    <s v="E00391"/>
    <s v="FN392"/>
    <s v="LN392"/>
    <x v="0"/>
    <n v="22"/>
    <x v="3"/>
    <x v="2"/>
    <x v="0"/>
    <x v="2"/>
    <x v="0"/>
    <x v="366"/>
    <m/>
    <x v="0"/>
    <x v="1"/>
    <s v="Bachelor"/>
    <n v="1"/>
    <n v="44894"/>
    <x v="6"/>
    <x v="23"/>
    <x v="22"/>
    <n v="6"/>
    <n v="31"/>
    <n v="56"/>
    <x v="1"/>
    <x v="1"/>
    <n v="0.7"/>
  </r>
  <r>
    <s v="E00392"/>
    <s v="FN393"/>
    <s v="LN393"/>
    <x v="0"/>
    <n v="25"/>
    <x v="2"/>
    <x v="3"/>
    <x v="3"/>
    <x v="2"/>
    <x v="1"/>
    <x v="367"/>
    <m/>
    <x v="0"/>
    <x v="66"/>
    <s v="MBA"/>
    <n v="24"/>
    <n v="101538"/>
    <x v="3"/>
    <x v="25"/>
    <x v="38"/>
    <n v="3"/>
    <n v="56"/>
    <n v="23"/>
    <x v="0"/>
    <x v="2"/>
    <n v="9"/>
  </r>
  <r>
    <s v="E00393"/>
    <s v="FN394"/>
    <s v="LN394"/>
    <x v="0"/>
    <n v="31"/>
    <x v="4"/>
    <x v="2"/>
    <x v="4"/>
    <x v="2"/>
    <x v="1"/>
    <x v="149"/>
    <m/>
    <x v="0"/>
    <x v="6"/>
    <s v="MBA"/>
    <n v="1"/>
    <n v="105181"/>
    <x v="11"/>
    <x v="12"/>
    <x v="6"/>
    <n v="11"/>
    <n v="15"/>
    <n v="40"/>
    <x v="1"/>
    <x v="0"/>
    <n v="2.8"/>
  </r>
  <r>
    <s v="E00394"/>
    <s v="FN395"/>
    <s v="LN395"/>
    <x v="0"/>
    <n v="35"/>
    <x v="4"/>
    <x v="2"/>
    <x v="3"/>
    <x v="2"/>
    <x v="1"/>
    <x v="328"/>
    <m/>
    <x v="0"/>
    <x v="51"/>
    <s v="Master"/>
    <n v="28"/>
    <n v="127076"/>
    <x v="15"/>
    <x v="8"/>
    <x v="40"/>
    <n v="19"/>
    <n v="60"/>
    <n v="42"/>
    <x v="1"/>
    <x v="0"/>
    <n v="9.6999999999999993"/>
  </r>
  <r>
    <s v="E00395"/>
    <s v="FN396"/>
    <s v="LN396"/>
    <x v="1"/>
    <n v="51"/>
    <x v="1"/>
    <x v="1"/>
    <x v="1"/>
    <x v="1"/>
    <x v="0"/>
    <x v="368"/>
    <m/>
    <x v="0"/>
    <x v="7"/>
    <s v="Master"/>
    <n v="5"/>
    <n v="83109"/>
    <x v="18"/>
    <x v="25"/>
    <x v="39"/>
    <n v="1"/>
    <n v="10"/>
    <n v="40"/>
    <x v="1"/>
    <x v="0"/>
    <n v="1.8"/>
  </r>
  <r>
    <s v="E00396"/>
    <s v="FN397"/>
    <s v="LN397"/>
    <x v="0"/>
    <n v="56"/>
    <x v="0"/>
    <x v="0"/>
    <x v="0"/>
    <x v="2"/>
    <x v="1"/>
    <x v="369"/>
    <m/>
    <x v="0"/>
    <x v="69"/>
    <s v="Master"/>
    <n v="18"/>
    <n v="140461"/>
    <x v="8"/>
    <x v="10"/>
    <x v="16"/>
    <n v="13"/>
    <n v="29"/>
    <n v="7"/>
    <x v="1"/>
    <x v="2"/>
    <n v="0.6"/>
  </r>
  <r>
    <s v="E00397"/>
    <s v="FN398"/>
    <s v="LN398"/>
    <x v="0"/>
    <n v="35"/>
    <x v="0"/>
    <x v="0"/>
    <x v="0"/>
    <x v="1"/>
    <x v="0"/>
    <x v="370"/>
    <m/>
    <x v="0"/>
    <x v="19"/>
    <s v="Master"/>
    <n v="28"/>
    <n v="161321"/>
    <x v="19"/>
    <x v="0"/>
    <x v="40"/>
    <n v="15"/>
    <n v="49"/>
    <n v="10"/>
    <x v="1"/>
    <x v="2"/>
    <n v="6.1"/>
  </r>
  <r>
    <s v="E00398"/>
    <s v="FN399"/>
    <s v="LN399"/>
    <x v="0"/>
    <n v="33"/>
    <x v="4"/>
    <x v="2"/>
    <x v="2"/>
    <x v="1"/>
    <x v="1"/>
    <x v="371"/>
    <m/>
    <x v="0"/>
    <x v="1"/>
    <s v="Bachelor"/>
    <n v="24"/>
    <n v="134145"/>
    <x v="20"/>
    <x v="19"/>
    <x v="25"/>
    <n v="8"/>
    <n v="60"/>
    <n v="24"/>
    <x v="0"/>
    <x v="2"/>
    <n v="7.3"/>
  </r>
  <r>
    <s v="E00399"/>
    <s v="FN400"/>
    <s v="LN400"/>
    <x v="0"/>
    <n v="28"/>
    <x v="2"/>
    <x v="7"/>
    <x v="2"/>
    <x v="0"/>
    <x v="0"/>
    <x v="372"/>
    <s v="2032-12-18"/>
    <x v="1"/>
    <x v="36"/>
    <s v="MBA"/>
    <n v="17"/>
    <n v="136097"/>
    <x v="16"/>
    <x v="17"/>
    <x v="41"/>
    <n v="8"/>
    <n v="58"/>
    <n v="67"/>
    <x v="1"/>
    <x v="0"/>
    <n v="1.1000000000000001"/>
  </r>
  <r>
    <s v="E00400"/>
    <s v="FN401"/>
    <s v="LN401"/>
    <x v="0"/>
    <n v="44"/>
    <x v="2"/>
    <x v="5"/>
    <x v="0"/>
    <x v="1"/>
    <x v="0"/>
    <x v="14"/>
    <m/>
    <x v="0"/>
    <x v="4"/>
    <s v="Bachelor"/>
    <n v="19"/>
    <n v="72196"/>
    <x v="6"/>
    <x v="20"/>
    <x v="4"/>
    <n v="7"/>
    <n v="37"/>
    <n v="28"/>
    <x v="0"/>
    <x v="0"/>
    <n v="0.5"/>
  </r>
  <r>
    <s v="E00401"/>
    <s v="FN402"/>
    <s v="LN402"/>
    <x v="0"/>
    <n v="28"/>
    <x v="4"/>
    <x v="9"/>
    <x v="2"/>
    <x v="2"/>
    <x v="1"/>
    <x v="373"/>
    <m/>
    <x v="0"/>
    <x v="73"/>
    <s v="MBA"/>
    <n v="1"/>
    <n v="121839"/>
    <x v="7"/>
    <x v="6"/>
    <x v="2"/>
    <n v="4"/>
    <n v="52"/>
    <n v="18"/>
    <x v="1"/>
    <x v="0"/>
    <n v="8.5"/>
  </r>
  <r>
    <s v="E00402"/>
    <s v="FN403"/>
    <s v="LN403"/>
    <x v="0"/>
    <n v="42"/>
    <x v="4"/>
    <x v="2"/>
    <x v="0"/>
    <x v="1"/>
    <x v="1"/>
    <x v="374"/>
    <m/>
    <x v="0"/>
    <x v="28"/>
    <s v="Master"/>
    <n v="3"/>
    <n v="82456"/>
    <x v="20"/>
    <x v="15"/>
    <x v="26"/>
    <n v="5"/>
    <n v="39"/>
    <n v="21"/>
    <x v="0"/>
    <x v="0"/>
    <n v="2.8"/>
  </r>
  <r>
    <s v="E00403"/>
    <s v="FN404"/>
    <s v="LN404"/>
    <x v="1"/>
    <n v="57"/>
    <x v="0"/>
    <x v="0"/>
    <x v="1"/>
    <x v="1"/>
    <x v="0"/>
    <x v="375"/>
    <m/>
    <x v="0"/>
    <x v="50"/>
    <s v="MBA"/>
    <n v="2"/>
    <n v="44188"/>
    <x v="4"/>
    <x v="0"/>
    <x v="49"/>
    <n v="14"/>
    <n v="45"/>
    <n v="0"/>
    <x v="1"/>
    <x v="0"/>
    <n v="8.3000000000000007"/>
  </r>
  <r>
    <s v="E00404"/>
    <s v="FN405"/>
    <s v="LN405"/>
    <x v="0"/>
    <n v="56"/>
    <x v="4"/>
    <x v="2"/>
    <x v="4"/>
    <x v="0"/>
    <x v="1"/>
    <x v="376"/>
    <m/>
    <x v="0"/>
    <x v="27"/>
    <s v="MBA"/>
    <n v="8"/>
    <n v="101318"/>
    <x v="11"/>
    <x v="18"/>
    <x v="33"/>
    <n v="19"/>
    <n v="44"/>
    <n v="63"/>
    <x v="0"/>
    <x v="1"/>
    <n v="2.8"/>
  </r>
  <r>
    <s v="E00405"/>
    <s v="FN406"/>
    <s v="LN406"/>
    <x v="0"/>
    <n v="28"/>
    <x v="4"/>
    <x v="2"/>
    <x v="3"/>
    <x v="0"/>
    <x v="0"/>
    <x v="377"/>
    <m/>
    <x v="0"/>
    <x v="33"/>
    <s v="MBA"/>
    <n v="9"/>
    <n v="107817"/>
    <x v="2"/>
    <x v="19"/>
    <x v="15"/>
    <n v="9"/>
    <n v="21"/>
    <n v="7"/>
    <x v="0"/>
    <x v="2"/>
    <n v="0.4"/>
  </r>
  <r>
    <s v="E00406"/>
    <s v="FN407"/>
    <s v="LN407"/>
    <x v="1"/>
    <n v="51"/>
    <x v="0"/>
    <x v="2"/>
    <x v="0"/>
    <x v="1"/>
    <x v="1"/>
    <x v="378"/>
    <m/>
    <x v="0"/>
    <x v="45"/>
    <s v="Bachelor"/>
    <n v="12"/>
    <n v="96655"/>
    <x v="18"/>
    <x v="25"/>
    <x v="1"/>
    <n v="16"/>
    <n v="42"/>
    <n v="66"/>
    <x v="0"/>
    <x v="0"/>
    <n v="6"/>
  </r>
  <r>
    <s v="E00407"/>
    <s v="FN408"/>
    <s v="LN408"/>
    <x v="0"/>
    <n v="21"/>
    <x v="5"/>
    <x v="8"/>
    <x v="4"/>
    <x v="1"/>
    <x v="0"/>
    <x v="122"/>
    <m/>
    <x v="0"/>
    <x v="78"/>
    <s v="Master"/>
    <n v="19"/>
    <n v="71931"/>
    <x v="20"/>
    <x v="8"/>
    <x v="5"/>
    <n v="6"/>
    <n v="1"/>
    <n v="71"/>
    <x v="1"/>
    <x v="2"/>
    <n v="5.3"/>
  </r>
  <r>
    <s v="E00408"/>
    <s v="FN409"/>
    <s v="LN409"/>
    <x v="1"/>
    <n v="38"/>
    <x v="5"/>
    <x v="2"/>
    <x v="3"/>
    <x v="2"/>
    <x v="0"/>
    <x v="379"/>
    <m/>
    <x v="0"/>
    <x v="36"/>
    <s v="MBA"/>
    <n v="16"/>
    <n v="173162"/>
    <x v="16"/>
    <x v="20"/>
    <x v="27"/>
    <n v="12"/>
    <n v="11"/>
    <n v="27"/>
    <x v="1"/>
    <x v="1"/>
    <n v="7.8"/>
  </r>
  <r>
    <s v="E00409"/>
    <s v="FN410"/>
    <s v="LN410"/>
    <x v="1"/>
    <n v="28"/>
    <x v="2"/>
    <x v="5"/>
    <x v="2"/>
    <x v="1"/>
    <x v="0"/>
    <x v="380"/>
    <s v="2031-04-21"/>
    <x v="1"/>
    <x v="18"/>
    <s v="MBA"/>
    <n v="17"/>
    <n v="85551"/>
    <x v="7"/>
    <x v="0"/>
    <x v="23"/>
    <n v="18"/>
    <n v="29"/>
    <n v="17"/>
    <x v="1"/>
    <x v="1"/>
    <n v="2.4"/>
  </r>
  <r>
    <s v="E00410"/>
    <s v="FN411"/>
    <s v="LN411"/>
    <x v="1"/>
    <n v="50"/>
    <x v="4"/>
    <x v="6"/>
    <x v="3"/>
    <x v="2"/>
    <x v="1"/>
    <x v="381"/>
    <m/>
    <x v="0"/>
    <x v="75"/>
    <s v="Master"/>
    <n v="24"/>
    <n v="143327"/>
    <x v="6"/>
    <x v="4"/>
    <x v="32"/>
    <n v="17"/>
    <n v="27"/>
    <n v="54"/>
    <x v="0"/>
    <x v="2"/>
    <n v="1.4"/>
  </r>
  <r>
    <s v="E00411"/>
    <s v="FN412"/>
    <s v="LN412"/>
    <x v="0"/>
    <n v="50"/>
    <x v="5"/>
    <x v="8"/>
    <x v="3"/>
    <x v="1"/>
    <x v="0"/>
    <x v="382"/>
    <m/>
    <x v="0"/>
    <x v="28"/>
    <s v="Master"/>
    <n v="0"/>
    <n v="101878"/>
    <x v="20"/>
    <x v="25"/>
    <x v="3"/>
    <n v="2"/>
    <n v="6"/>
    <n v="20"/>
    <x v="0"/>
    <x v="1"/>
    <n v="7.5"/>
  </r>
  <r>
    <s v="E00412"/>
    <s v="FN413"/>
    <s v="LN413"/>
    <x v="1"/>
    <n v="47"/>
    <x v="5"/>
    <x v="2"/>
    <x v="3"/>
    <x v="1"/>
    <x v="1"/>
    <x v="383"/>
    <s v="2024-10-08"/>
    <x v="1"/>
    <x v="46"/>
    <s v="MBA"/>
    <n v="1"/>
    <n v="93413"/>
    <x v="15"/>
    <x v="24"/>
    <x v="8"/>
    <n v="12"/>
    <n v="43"/>
    <n v="42"/>
    <x v="1"/>
    <x v="1"/>
    <n v="6.1"/>
  </r>
  <r>
    <s v="E00413"/>
    <s v="FN414"/>
    <s v="LN414"/>
    <x v="0"/>
    <n v="56"/>
    <x v="1"/>
    <x v="4"/>
    <x v="0"/>
    <x v="2"/>
    <x v="1"/>
    <x v="384"/>
    <m/>
    <x v="0"/>
    <x v="76"/>
    <s v="MBA"/>
    <n v="29"/>
    <n v="67568"/>
    <x v="16"/>
    <x v="18"/>
    <x v="22"/>
    <n v="3"/>
    <n v="13"/>
    <n v="63"/>
    <x v="1"/>
    <x v="0"/>
    <n v="2.2000000000000002"/>
  </r>
  <r>
    <s v="E00414"/>
    <s v="FN415"/>
    <s v="LN415"/>
    <x v="0"/>
    <n v="50"/>
    <x v="3"/>
    <x v="10"/>
    <x v="0"/>
    <x v="2"/>
    <x v="1"/>
    <x v="385"/>
    <m/>
    <x v="0"/>
    <x v="71"/>
    <s v="MBA"/>
    <n v="18"/>
    <n v="47223"/>
    <x v="13"/>
    <x v="12"/>
    <x v="23"/>
    <n v="5"/>
    <n v="49"/>
    <n v="14"/>
    <x v="1"/>
    <x v="2"/>
    <n v="5"/>
  </r>
  <r>
    <s v="E00415"/>
    <s v="FN416"/>
    <s v="LN416"/>
    <x v="0"/>
    <n v="31"/>
    <x v="4"/>
    <x v="6"/>
    <x v="3"/>
    <x v="2"/>
    <x v="1"/>
    <x v="386"/>
    <m/>
    <x v="0"/>
    <x v="19"/>
    <s v="Bachelor"/>
    <n v="21"/>
    <n v="88577"/>
    <x v="16"/>
    <x v="4"/>
    <x v="21"/>
    <n v="17"/>
    <n v="2"/>
    <n v="8"/>
    <x v="1"/>
    <x v="1"/>
    <n v="3.7"/>
  </r>
  <r>
    <s v="E00416"/>
    <s v="FN417"/>
    <s v="LN417"/>
    <x v="0"/>
    <n v="39"/>
    <x v="0"/>
    <x v="2"/>
    <x v="2"/>
    <x v="2"/>
    <x v="0"/>
    <x v="387"/>
    <m/>
    <x v="0"/>
    <x v="18"/>
    <s v="Master"/>
    <n v="25"/>
    <n v="156880"/>
    <x v="0"/>
    <x v="11"/>
    <x v="15"/>
    <n v="8"/>
    <n v="32"/>
    <n v="40"/>
    <x v="0"/>
    <x v="0"/>
    <n v="3.7"/>
  </r>
  <r>
    <s v="E00417"/>
    <s v="FN418"/>
    <s v="LN418"/>
    <x v="0"/>
    <n v="44"/>
    <x v="0"/>
    <x v="0"/>
    <x v="3"/>
    <x v="1"/>
    <x v="0"/>
    <x v="388"/>
    <s v="2022-08-12"/>
    <x v="1"/>
    <x v="47"/>
    <s v="Master"/>
    <n v="31"/>
    <n v="152729"/>
    <x v="10"/>
    <x v="19"/>
    <x v="14"/>
    <n v="10"/>
    <n v="34"/>
    <n v="40"/>
    <x v="0"/>
    <x v="0"/>
    <n v="7.1"/>
  </r>
  <r>
    <s v="E00418"/>
    <s v="FN419"/>
    <s v="LN419"/>
    <x v="1"/>
    <n v="47"/>
    <x v="1"/>
    <x v="4"/>
    <x v="0"/>
    <x v="1"/>
    <x v="0"/>
    <x v="389"/>
    <m/>
    <x v="0"/>
    <x v="37"/>
    <s v="Master"/>
    <n v="4"/>
    <n v="69931"/>
    <x v="5"/>
    <x v="24"/>
    <x v="24"/>
    <n v="10"/>
    <n v="59"/>
    <n v="33"/>
    <x v="0"/>
    <x v="1"/>
    <n v="2"/>
  </r>
  <r>
    <s v="E00419"/>
    <s v="FN420"/>
    <s v="LN420"/>
    <x v="0"/>
    <n v="49"/>
    <x v="3"/>
    <x v="2"/>
    <x v="2"/>
    <x v="2"/>
    <x v="0"/>
    <x v="390"/>
    <s v="2020-07-17"/>
    <x v="1"/>
    <x v="27"/>
    <s v="Bachelor"/>
    <n v="13"/>
    <n v="41923"/>
    <x v="20"/>
    <x v="16"/>
    <x v="13"/>
    <n v="11"/>
    <n v="52"/>
    <n v="68"/>
    <x v="1"/>
    <x v="2"/>
    <n v="8.6"/>
  </r>
  <r>
    <s v="E00420"/>
    <s v="FN421"/>
    <s v="LN421"/>
    <x v="0"/>
    <n v="22"/>
    <x v="4"/>
    <x v="9"/>
    <x v="1"/>
    <x v="0"/>
    <x v="0"/>
    <x v="391"/>
    <m/>
    <x v="0"/>
    <x v="22"/>
    <s v="Master"/>
    <n v="25"/>
    <n v="69222"/>
    <x v="18"/>
    <x v="20"/>
    <x v="30"/>
    <n v="12"/>
    <n v="46"/>
    <n v="4"/>
    <x v="0"/>
    <x v="0"/>
    <n v="0.5"/>
  </r>
  <r>
    <s v="E00421"/>
    <s v="FN422"/>
    <s v="LN422"/>
    <x v="0"/>
    <n v="46"/>
    <x v="1"/>
    <x v="4"/>
    <x v="2"/>
    <x v="1"/>
    <x v="1"/>
    <x v="392"/>
    <m/>
    <x v="0"/>
    <x v="16"/>
    <s v="Master"/>
    <n v="8"/>
    <n v="123489"/>
    <x v="16"/>
    <x v="22"/>
    <x v="42"/>
    <n v="7"/>
    <n v="11"/>
    <n v="12"/>
    <x v="0"/>
    <x v="2"/>
    <n v="9"/>
  </r>
  <r>
    <s v="E00422"/>
    <s v="FN423"/>
    <s v="LN423"/>
    <x v="1"/>
    <n v="56"/>
    <x v="3"/>
    <x v="2"/>
    <x v="0"/>
    <x v="2"/>
    <x v="1"/>
    <x v="393"/>
    <m/>
    <x v="0"/>
    <x v="78"/>
    <s v="MBA"/>
    <n v="23"/>
    <n v="43993"/>
    <x v="12"/>
    <x v="10"/>
    <x v="23"/>
    <n v="1"/>
    <n v="41"/>
    <n v="46"/>
    <x v="1"/>
    <x v="1"/>
    <n v="7.5"/>
  </r>
  <r>
    <s v="E00423"/>
    <s v="FN424"/>
    <s v="LN424"/>
    <x v="0"/>
    <n v="40"/>
    <x v="2"/>
    <x v="7"/>
    <x v="1"/>
    <x v="1"/>
    <x v="1"/>
    <x v="394"/>
    <m/>
    <x v="0"/>
    <x v="17"/>
    <s v="MBA"/>
    <n v="17"/>
    <n v="91236"/>
    <x v="9"/>
    <x v="9"/>
    <x v="32"/>
    <n v="17"/>
    <n v="42"/>
    <n v="55"/>
    <x v="1"/>
    <x v="1"/>
    <n v="1"/>
  </r>
  <r>
    <s v="E00424"/>
    <s v="FN425"/>
    <s v="LN425"/>
    <x v="0"/>
    <n v="59"/>
    <x v="3"/>
    <x v="10"/>
    <x v="4"/>
    <x v="1"/>
    <x v="1"/>
    <x v="146"/>
    <s v="2028-04-23"/>
    <x v="1"/>
    <x v="25"/>
    <s v="MBA"/>
    <n v="20"/>
    <n v="162808"/>
    <x v="17"/>
    <x v="9"/>
    <x v="15"/>
    <n v="3"/>
    <n v="38"/>
    <n v="24"/>
    <x v="1"/>
    <x v="0"/>
    <n v="2.4"/>
  </r>
  <r>
    <s v="E00425"/>
    <s v="FN426"/>
    <s v="LN426"/>
    <x v="0"/>
    <n v="44"/>
    <x v="3"/>
    <x v="2"/>
    <x v="1"/>
    <x v="1"/>
    <x v="0"/>
    <x v="395"/>
    <m/>
    <x v="0"/>
    <x v="28"/>
    <s v="MBA"/>
    <n v="3"/>
    <n v="45256"/>
    <x v="6"/>
    <x v="15"/>
    <x v="0"/>
    <n v="11"/>
    <n v="31"/>
    <n v="9"/>
    <x v="0"/>
    <x v="1"/>
    <n v="5.4"/>
  </r>
  <r>
    <s v="E00426"/>
    <s v="FN427"/>
    <s v="LN427"/>
    <x v="1"/>
    <n v="53"/>
    <x v="4"/>
    <x v="2"/>
    <x v="0"/>
    <x v="0"/>
    <x v="0"/>
    <x v="396"/>
    <m/>
    <x v="0"/>
    <x v="61"/>
    <s v="Bachelor"/>
    <n v="1"/>
    <n v="171134"/>
    <x v="3"/>
    <x v="5"/>
    <x v="40"/>
    <n v="14"/>
    <n v="7"/>
    <n v="4"/>
    <x v="1"/>
    <x v="0"/>
    <n v="1.3"/>
  </r>
  <r>
    <s v="E00427"/>
    <s v="FN428"/>
    <s v="LN428"/>
    <x v="0"/>
    <n v="21"/>
    <x v="2"/>
    <x v="3"/>
    <x v="1"/>
    <x v="0"/>
    <x v="0"/>
    <x v="397"/>
    <m/>
    <x v="0"/>
    <x v="35"/>
    <s v="Master"/>
    <n v="23"/>
    <n v="117988"/>
    <x v="11"/>
    <x v="21"/>
    <x v="8"/>
    <n v="19"/>
    <n v="21"/>
    <n v="28"/>
    <x v="1"/>
    <x v="1"/>
    <n v="0.2"/>
  </r>
  <r>
    <s v="E00428"/>
    <s v="FN429"/>
    <s v="LN429"/>
    <x v="0"/>
    <n v="37"/>
    <x v="2"/>
    <x v="5"/>
    <x v="0"/>
    <x v="1"/>
    <x v="0"/>
    <x v="128"/>
    <m/>
    <x v="0"/>
    <x v="43"/>
    <s v="Bachelor"/>
    <n v="31"/>
    <n v="142024"/>
    <x v="14"/>
    <x v="5"/>
    <x v="27"/>
    <n v="15"/>
    <n v="54"/>
    <n v="38"/>
    <x v="0"/>
    <x v="2"/>
    <n v="9.6"/>
  </r>
  <r>
    <s v="E00429"/>
    <s v="FN430"/>
    <s v="LN430"/>
    <x v="1"/>
    <n v="58"/>
    <x v="4"/>
    <x v="9"/>
    <x v="0"/>
    <x v="2"/>
    <x v="0"/>
    <x v="398"/>
    <m/>
    <x v="0"/>
    <x v="67"/>
    <s v="Bachelor"/>
    <n v="18"/>
    <n v="45981"/>
    <x v="19"/>
    <x v="9"/>
    <x v="10"/>
    <n v="2"/>
    <n v="43"/>
    <n v="17"/>
    <x v="1"/>
    <x v="2"/>
    <n v="8"/>
  </r>
  <r>
    <s v="E00430"/>
    <s v="FN431"/>
    <s v="LN431"/>
    <x v="0"/>
    <n v="40"/>
    <x v="1"/>
    <x v="1"/>
    <x v="2"/>
    <x v="1"/>
    <x v="1"/>
    <x v="399"/>
    <s v="2022-09-17"/>
    <x v="1"/>
    <x v="63"/>
    <s v="Master"/>
    <n v="15"/>
    <n v="149447"/>
    <x v="13"/>
    <x v="14"/>
    <x v="35"/>
    <n v="2"/>
    <n v="52"/>
    <n v="73"/>
    <x v="0"/>
    <x v="2"/>
    <n v="5.7"/>
  </r>
  <r>
    <s v="E00431"/>
    <s v="FN432"/>
    <s v="LN432"/>
    <x v="0"/>
    <n v="33"/>
    <x v="1"/>
    <x v="1"/>
    <x v="4"/>
    <x v="1"/>
    <x v="1"/>
    <x v="400"/>
    <s v="2020-08-07"/>
    <x v="1"/>
    <x v="54"/>
    <s v="Master"/>
    <n v="0"/>
    <n v="54945"/>
    <x v="6"/>
    <x v="12"/>
    <x v="41"/>
    <n v="3"/>
    <n v="24"/>
    <n v="38"/>
    <x v="0"/>
    <x v="2"/>
    <n v="9.3000000000000007"/>
  </r>
  <r>
    <s v="E00432"/>
    <s v="FN433"/>
    <s v="LN433"/>
    <x v="0"/>
    <n v="59"/>
    <x v="0"/>
    <x v="0"/>
    <x v="4"/>
    <x v="0"/>
    <x v="0"/>
    <x v="366"/>
    <m/>
    <x v="0"/>
    <x v="43"/>
    <s v="Bachelor"/>
    <n v="30"/>
    <n v="146369"/>
    <x v="16"/>
    <x v="15"/>
    <x v="47"/>
    <n v="3"/>
    <n v="16"/>
    <n v="53"/>
    <x v="1"/>
    <x v="1"/>
    <n v="0.7"/>
  </r>
  <r>
    <s v="E00433"/>
    <s v="FN434"/>
    <s v="LN434"/>
    <x v="0"/>
    <n v="41"/>
    <x v="1"/>
    <x v="4"/>
    <x v="0"/>
    <x v="0"/>
    <x v="1"/>
    <x v="401"/>
    <m/>
    <x v="0"/>
    <x v="61"/>
    <s v="Master"/>
    <n v="9"/>
    <n v="119672"/>
    <x v="10"/>
    <x v="22"/>
    <x v="20"/>
    <n v="6"/>
    <n v="40"/>
    <n v="17"/>
    <x v="0"/>
    <x v="0"/>
    <n v="1.4"/>
  </r>
  <r>
    <s v="E00434"/>
    <s v="FN435"/>
    <s v="LN435"/>
    <x v="1"/>
    <n v="44"/>
    <x v="2"/>
    <x v="3"/>
    <x v="1"/>
    <x v="0"/>
    <x v="0"/>
    <x v="402"/>
    <m/>
    <x v="0"/>
    <x v="4"/>
    <s v="Bachelor"/>
    <n v="12"/>
    <n v="137358"/>
    <x v="3"/>
    <x v="14"/>
    <x v="22"/>
    <n v="6"/>
    <n v="58"/>
    <n v="68"/>
    <x v="0"/>
    <x v="2"/>
    <n v="1.8"/>
  </r>
  <r>
    <s v="E00435"/>
    <s v="FN436"/>
    <s v="LN436"/>
    <x v="0"/>
    <n v="55"/>
    <x v="2"/>
    <x v="7"/>
    <x v="3"/>
    <x v="2"/>
    <x v="0"/>
    <x v="403"/>
    <m/>
    <x v="0"/>
    <x v="28"/>
    <s v="MBA"/>
    <n v="26"/>
    <n v="102246"/>
    <x v="17"/>
    <x v="11"/>
    <x v="12"/>
    <n v="7"/>
    <n v="34"/>
    <n v="72"/>
    <x v="0"/>
    <x v="1"/>
    <n v="0.5"/>
  </r>
  <r>
    <s v="E00436"/>
    <s v="FN437"/>
    <s v="LN437"/>
    <x v="1"/>
    <n v="59"/>
    <x v="5"/>
    <x v="8"/>
    <x v="4"/>
    <x v="0"/>
    <x v="0"/>
    <x v="404"/>
    <m/>
    <x v="0"/>
    <x v="64"/>
    <s v="Bachelor"/>
    <n v="19"/>
    <n v="73502"/>
    <x v="15"/>
    <x v="6"/>
    <x v="47"/>
    <n v="7"/>
    <n v="4"/>
    <n v="8"/>
    <x v="0"/>
    <x v="1"/>
    <n v="9.3000000000000007"/>
  </r>
  <r>
    <s v="E00437"/>
    <s v="FN438"/>
    <s v="LN438"/>
    <x v="0"/>
    <n v="30"/>
    <x v="1"/>
    <x v="1"/>
    <x v="2"/>
    <x v="0"/>
    <x v="1"/>
    <x v="405"/>
    <m/>
    <x v="0"/>
    <x v="37"/>
    <s v="Master"/>
    <n v="0"/>
    <n v="118419"/>
    <x v="13"/>
    <x v="16"/>
    <x v="5"/>
    <n v="3"/>
    <n v="22"/>
    <n v="38"/>
    <x v="1"/>
    <x v="1"/>
    <n v="6.8"/>
  </r>
  <r>
    <s v="E00438"/>
    <s v="FN439"/>
    <s v="LN439"/>
    <x v="1"/>
    <n v="44"/>
    <x v="2"/>
    <x v="5"/>
    <x v="2"/>
    <x v="2"/>
    <x v="0"/>
    <x v="406"/>
    <m/>
    <x v="0"/>
    <x v="23"/>
    <s v="Master"/>
    <n v="23"/>
    <n v="87881"/>
    <x v="5"/>
    <x v="9"/>
    <x v="49"/>
    <n v="20"/>
    <n v="52"/>
    <n v="62"/>
    <x v="0"/>
    <x v="1"/>
    <n v="9.1999999999999993"/>
  </r>
  <r>
    <s v="E00439"/>
    <s v="FN440"/>
    <s v="LN440"/>
    <x v="1"/>
    <n v="36"/>
    <x v="0"/>
    <x v="0"/>
    <x v="4"/>
    <x v="0"/>
    <x v="0"/>
    <x v="407"/>
    <m/>
    <x v="0"/>
    <x v="9"/>
    <s v="MBA"/>
    <n v="16"/>
    <n v="56841"/>
    <x v="13"/>
    <x v="9"/>
    <x v="47"/>
    <n v="15"/>
    <n v="18"/>
    <n v="23"/>
    <x v="1"/>
    <x v="1"/>
    <n v="3"/>
  </r>
  <r>
    <s v="E00440"/>
    <s v="FN441"/>
    <s v="LN441"/>
    <x v="1"/>
    <n v="33"/>
    <x v="1"/>
    <x v="1"/>
    <x v="1"/>
    <x v="1"/>
    <x v="1"/>
    <x v="408"/>
    <m/>
    <x v="0"/>
    <x v="27"/>
    <s v="Master"/>
    <n v="7"/>
    <n v="135340"/>
    <x v="8"/>
    <x v="9"/>
    <x v="12"/>
    <n v="18"/>
    <n v="3"/>
    <n v="29"/>
    <x v="0"/>
    <x v="0"/>
    <n v="0.4"/>
  </r>
  <r>
    <s v="E00441"/>
    <s v="FN442"/>
    <s v="LN442"/>
    <x v="0"/>
    <n v="28"/>
    <x v="2"/>
    <x v="5"/>
    <x v="2"/>
    <x v="0"/>
    <x v="0"/>
    <x v="409"/>
    <m/>
    <x v="0"/>
    <x v="28"/>
    <s v="Bachelor"/>
    <n v="29"/>
    <n v="151168"/>
    <x v="16"/>
    <x v="10"/>
    <x v="49"/>
    <n v="18"/>
    <n v="50"/>
    <n v="7"/>
    <x v="0"/>
    <x v="0"/>
    <n v="1"/>
  </r>
  <r>
    <s v="E00442"/>
    <s v="FN443"/>
    <s v="LN443"/>
    <x v="1"/>
    <n v="31"/>
    <x v="0"/>
    <x v="0"/>
    <x v="4"/>
    <x v="2"/>
    <x v="0"/>
    <x v="410"/>
    <m/>
    <x v="0"/>
    <x v="51"/>
    <s v="Master"/>
    <n v="11"/>
    <n v="87885"/>
    <x v="8"/>
    <x v="17"/>
    <x v="20"/>
    <n v="19"/>
    <n v="39"/>
    <n v="4"/>
    <x v="1"/>
    <x v="0"/>
    <n v="9.9"/>
  </r>
  <r>
    <s v="E00443"/>
    <s v="FN444"/>
    <s v="LN444"/>
    <x v="0"/>
    <n v="51"/>
    <x v="2"/>
    <x v="3"/>
    <x v="3"/>
    <x v="2"/>
    <x v="1"/>
    <x v="411"/>
    <m/>
    <x v="0"/>
    <x v="44"/>
    <s v="MBA"/>
    <n v="26"/>
    <n v="110833"/>
    <x v="10"/>
    <x v="21"/>
    <x v="8"/>
    <n v="19"/>
    <n v="9"/>
    <n v="59"/>
    <x v="1"/>
    <x v="2"/>
    <n v="0.8"/>
  </r>
  <r>
    <s v="E00444"/>
    <s v="FN445"/>
    <s v="LN445"/>
    <x v="0"/>
    <n v="22"/>
    <x v="0"/>
    <x v="2"/>
    <x v="0"/>
    <x v="2"/>
    <x v="0"/>
    <x v="412"/>
    <m/>
    <x v="0"/>
    <x v="52"/>
    <s v="MBA"/>
    <n v="17"/>
    <n v="101304"/>
    <x v="15"/>
    <x v="9"/>
    <x v="33"/>
    <n v="13"/>
    <n v="18"/>
    <n v="8"/>
    <x v="0"/>
    <x v="1"/>
    <n v="5.7"/>
  </r>
  <r>
    <s v="E00445"/>
    <s v="FN446"/>
    <s v="LN446"/>
    <x v="0"/>
    <n v="47"/>
    <x v="4"/>
    <x v="2"/>
    <x v="0"/>
    <x v="1"/>
    <x v="1"/>
    <x v="263"/>
    <m/>
    <x v="0"/>
    <x v="48"/>
    <s v="Master"/>
    <n v="20"/>
    <n v="64407"/>
    <x v="18"/>
    <x v="12"/>
    <x v="26"/>
    <n v="12"/>
    <n v="28"/>
    <n v="26"/>
    <x v="1"/>
    <x v="2"/>
    <n v="6.6"/>
  </r>
  <r>
    <s v="E00446"/>
    <s v="FN447"/>
    <s v="LN447"/>
    <x v="0"/>
    <n v="35"/>
    <x v="2"/>
    <x v="5"/>
    <x v="4"/>
    <x v="2"/>
    <x v="0"/>
    <x v="413"/>
    <s v="2024-05-02"/>
    <x v="1"/>
    <x v="70"/>
    <s v="Bachelor"/>
    <n v="24"/>
    <n v="143704"/>
    <x v="3"/>
    <x v="9"/>
    <x v="12"/>
    <n v="16"/>
    <n v="52"/>
    <n v="43"/>
    <x v="0"/>
    <x v="2"/>
    <n v="4.8"/>
  </r>
  <r>
    <s v="E00447"/>
    <s v="FN448"/>
    <s v="LN448"/>
    <x v="1"/>
    <n v="49"/>
    <x v="4"/>
    <x v="2"/>
    <x v="2"/>
    <x v="0"/>
    <x v="1"/>
    <x v="414"/>
    <m/>
    <x v="0"/>
    <x v="46"/>
    <s v="Bachelor"/>
    <n v="34"/>
    <n v="172225"/>
    <x v="14"/>
    <x v="0"/>
    <x v="49"/>
    <n v="0"/>
    <n v="47"/>
    <n v="68"/>
    <x v="1"/>
    <x v="1"/>
    <n v="0.6"/>
  </r>
  <r>
    <s v="E00448"/>
    <s v="FN449"/>
    <s v="LN449"/>
    <x v="0"/>
    <n v="29"/>
    <x v="3"/>
    <x v="2"/>
    <x v="4"/>
    <x v="1"/>
    <x v="0"/>
    <x v="415"/>
    <m/>
    <x v="0"/>
    <x v="46"/>
    <s v="Master"/>
    <n v="35"/>
    <n v="44407"/>
    <x v="3"/>
    <x v="23"/>
    <x v="34"/>
    <n v="17"/>
    <n v="29"/>
    <n v="14"/>
    <x v="0"/>
    <x v="0"/>
    <n v="8.6999999999999993"/>
  </r>
  <r>
    <s v="E00449"/>
    <s v="FN450"/>
    <s v="LN450"/>
    <x v="0"/>
    <n v="34"/>
    <x v="3"/>
    <x v="2"/>
    <x v="0"/>
    <x v="1"/>
    <x v="0"/>
    <x v="122"/>
    <m/>
    <x v="0"/>
    <x v="58"/>
    <s v="Bachelor"/>
    <n v="27"/>
    <n v="143516"/>
    <x v="0"/>
    <x v="25"/>
    <x v="1"/>
    <n v="20"/>
    <n v="37"/>
    <n v="18"/>
    <x v="0"/>
    <x v="2"/>
    <n v="5.3"/>
  </r>
  <r>
    <s v="E00450"/>
    <s v="FN451"/>
    <s v="LN451"/>
    <x v="0"/>
    <n v="32"/>
    <x v="5"/>
    <x v="6"/>
    <x v="4"/>
    <x v="2"/>
    <x v="1"/>
    <x v="416"/>
    <m/>
    <x v="0"/>
    <x v="3"/>
    <s v="MBA"/>
    <n v="25"/>
    <n v="45993"/>
    <x v="2"/>
    <x v="18"/>
    <x v="11"/>
    <n v="16"/>
    <n v="4"/>
    <n v="59"/>
    <x v="0"/>
    <x v="0"/>
    <n v="6"/>
  </r>
  <r>
    <s v="E00451"/>
    <s v="FN452"/>
    <s v="LN452"/>
    <x v="1"/>
    <n v="38"/>
    <x v="5"/>
    <x v="8"/>
    <x v="2"/>
    <x v="0"/>
    <x v="1"/>
    <x v="417"/>
    <m/>
    <x v="0"/>
    <x v="30"/>
    <s v="Master"/>
    <n v="19"/>
    <n v="119114"/>
    <x v="6"/>
    <x v="2"/>
    <x v="26"/>
    <n v="17"/>
    <n v="36"/>
    <n v="33"/>
    <x v="0"/>
    <x v="1"/>
    <n v="7"/>
  </r>
  <r>
    <s v="E00452"/>
    <s v="FN453"/>
    <s v="LN453"/>
    <x v="0"/>
    <n v="60"/>
    <x v="4"/>
    <x v="6"/>
    <x v="4"/>
    <x v="1"/>
    <x v="1"/>
    <x v="418"/>
    <m/>
    <x v="0"/>
    <x v="0"/>
    <s v="Bachelor"/>
    <n v="10"/>
    <n v="54616"/>
    <x v="13"/>
    <x v="21"/>
    <x v="16"/>
    <n v="3"/>
    <n v="8"/>
    <n v="71"/>
    <x v="1"/>
    <x v="2"/>
    <n v="1.2"/>
  </r>
  <r>
    <s v="E00453"/>
    <s v="FN454"/>
    <s v="LN454"/>
    <x v="0"/>
    <n v="40"/>
    <x v="1"/>
    <x v="4"/>
    <x v="0"/>
    <x v="0"/>
    <x v="0"/>
    <x v="419"/>
    <s v="2023-10-15"/>
    <x v="1"/>
    <x v="61"/>
    <s v="MBA"/>
    <n v="16"/>
    <n v="171084"/>
    <x v="20"/>
    <x v="10"/>
    <x v="37"/>
    <n v="15"/>
    <n v="54"/>
    <n v="2"/>
    <x v="0"/>
    <x v="0"/>
    <n v="6.9"/>
  </r>
  <r>
    <s v="E00454"/>
    <s v="FN455"/>
    <s v="LN455"/>
    <x v="0"/>
    <n v="49"/>
    <x v="4"/>
    <x v="6"/>
    <x v="4"/>
    <x v="2"/>
    <x v="1"/>
    <x v="420"/>
    <m/>
    <x v="0"/>
    <x v="14"/>
    <s v="MBA"/>
    <n v="31"/>
    <n v="112092"/>
    <x v="14"/>
    <x v="9"/>
    <x v="7"/>
    <n v="20"/>
    <n v="23"/>
    <n v="57"/>
    <x v="1"/>
    <x v="2"/>
    <n v="2.9"/>
  </r>
  <r>
    <s v="E00455"/>
    <s v="FN456"/>
    <s v="LN456"/>
    <x v="1"/>
    <n v="51"/>
    <x v="0"/>
    <x v="2"/>
    <x v="0"/>
    <x v="2"/>
    <x v="1"/>
    <x v="421"/>
    <m/>
    <x v="0"/>
    <x v="2"/>
    <s v="Master"/>
    <n v="19"/>
    <n v="58025"/>
    <x v="12"/>
    <x v="0"/>
    <x v="24"/>
    <n v="3"/>
    <n v="37"/>
    <n v="40"/>
    <x v="0"/>
    <x v="2"/>
    <n v="2.1"/>
  </r>
  <r>
    <s v="E00456"/>
    <s v="FN457"/>
    <s v="LN457"/>
    <x v="1"/>
    <n v="21"/>
    <x v="2"/>
    <x v="3"/>
    <x v="3"/>
    <x v="0"/>
    <x v="0"/>
    <x v="422"/>
    <m/>
    <x v="0"/>
    <x v="55"/>
    <s v="Bachelor"/>
    <n v="9"/>
    <n v="164901"/>
    <x v="16"/>
    <x v="1"/>
    <x v="28"/>
    <n v="13"/>
    <n v="16"/>
    <n v="64"/>
    <x v="1"/>
    <x v="0"/>
    <n v="4.4000000000000004"/>
  </r>
  <r>
    <s v="E00457"/>
    <s v="FN458"/>
    <s v="LN458"/>
    <x v="1"/>
    <n v="38"/>
    <x v="5"/>
    <x v="2"/>
    <x v="0"/>
    <x v="1"/>
    <x v="0"/>
    <x v="423"/>
    <m/>
    <x v="0"/>
    <x v="50"/>
    <s v="MBA"/>
    <n v="20"/>
    <n v="97407"/>
    <x v="7"/>
    <x v="10"/>
    <x v="40"/>
    <n v="12"/>
    <n v="15"/>
    <n v="48"/>
    <x v="0"/>
    <x v="0"/>
    <n v="7.7"/>
  </r>
  <r>
    <s v="E00458"/>
    <s v="FN459"/>
    <s v="LN459"/>
    <x v="1"/>
    <n v="46"/>
    <x v="2"/>
    <x v="7"/>
    <x v="4"/>
    <x v="2"/>
    <x v="0"/>
    <x v="424"/>
    <m/>
    <x v="0"/>
    <x v="1"/>
    <s v="Bachelor"/>
    <n v="8"/>
    <n v="85116"/>
    <x v="10"/>
    <x v="21"/>
    <x v="30"/>
    <n v="20"/>
    <n v="48"/>
    <n v="17"/>
    <x v="1"/>
    <x v="2"/>
    <n v="4.9000000000000004"/>
  </r>
  <r>
    <s v="E00459"/>
    <s v="FN460"/>
    <s v="LN460"/>
    <x v="1"/>
    <n v="28"/>
    <x v="4"/>
    <x v="2"/>
    <x v="0"/>
    <x v="0"/>
    <x v="1"/>
    <x v="425"/>
    <m/>
    <x v="0"/>
    <x v="9"/>
    <s v="MBA"/>
    <n v="0"/>
    <n v="119643"/>
    <x v="10"/>
    <x v="21"/>
    <x v="19"/>
    <n v="12"/>
    <n v="45"/>
    <n v="40"/>
    <x v="1"/>
    <x v="0"/>
    <n v="0.7"/>
  </r>
  <r>
    <s v="E00460"/>
    <s v="FN461"/>
    <s v="LN461"/>
    <x v="1"/>
    <n v="48"/>
    <x v="5"/>
    <x v="6"/>
    <x v="3"/>
    <x v="1"/>
    <x v="1"/>
    <x v="426"/>
    <m/>
    <x v="0"/>
    <x v="64"/>
    <s v="Master"/>
    <n v="25"/>
    <n v="137809"/>
    <x v="20"/>
    <x v="20"/>
    <x v="32"/>
    <n v="0"/>
    <n v="36"/>
    <n v="10"/>
    <x v="1"/>
    <x v="0"/>
    <n v="5.9"/>
  </r>
  <r>
    <s v="E00461"/>
    <s v="FN462"/>
    <s v="LN462"/>
    <x v="1"/>
    <n v="32"/>
    <x v="2"/>
    <x v="7"/>
    <x v="4"/>
    <x v="2"/>
    <x v="0"/>
    <x v="183"/>
    <m/>
    <x v="0"/>
    <x v="35"/>
    <s v="MBA"/>
    <n v="27"/>
    <n v="83149"/>
    <x v="16"/>
    <x v="13"/>
    <x v="12"/>
    <n v="14"/>
    <n v="29"/>
    <n v="52"/>
    <x v="0"/>
    <x v="2"/>
    <n v="6"/>
  </r>
  <r>
    <s v="E00462"/>
    <s v="FN463"/>
    <s v="LN463"/>
    <x v="1"/>
    <n v="48"/>
    <x v="3"/>
    <x v="2"/>
    <x v="0"/>
    <x v="0"/>
    <x v="1"/>
    <x v="427"/>
    <m/>
    <x v="0"/>
    <x v="65"/>
    <s v="Master"/>
    <n v="16"/>
    <n v="55406"/>
    <x v="9"/>
    <x v="10"/>
    <x v="21"/>
    <n v="20"/>
    <n v="20"/>
    <n v="45"/>
    <x v="1"/>
    <x v="1"/>
    <n v="1"/>
  </r>
  <r>
    <s v="E00463"/>
    <s v="FN464"/>
    <s v="LN464"/>
    <x v="0"/>
    <n v="55"/>
    <x v="4"/>
    <x v="2"/>
    <x v="1"/>
    <x v="0"/>
    <x v="0"/>
    <x v="428"/>
    <m/>
    <x v="0"/>
    <x v="31"/>
    <s v="MBA"/>
    <n v="0"/>
    <n v="139086"/>
    <x v="11"/>
    <x v="7"/>
    <x v="41"/>
    <n v="15"/>
    <n v="22"/>
    <n v="73"/>
    <x v="0"/>
    <x v="2"/>
    <n v="1.6"/>
  </r>
  <r>
    <s v="E00464"/>
    <s v="FN465"/>
    <s v="LN465"/>
    <x v="1"/>
    <n v="39"/>
    <x v="1"/>
    <x v="4"/>
    <x v="4"/>
    <x v="0"/>
    <x v="0"/>
    <x v="429"/>
    <m/>
    <x v="0"/>
    <x v="60"/>
    <s v="Bachelor"/>
    <n v="3"/>
    <n v="108110"/>
    <x v="2"/>
    <x v="17"/>
    <x v="10"/>
    <n v="12"/>
    <n v="10"/>
    <n v="34"/>
    <x v="1"/>
    <x v="1"/>
    <n v="9.6"/>
  </r>
  <r>
    <s v="E00465"/>
    <s v="FN466"/>
    <s v="LN466"/>
    <x v="0"/>
    <n v="29"/>
    <x v="2"/>
    <x v="3"/>
    <x v="3"/>
    <x v="0"/>
    <x v="0"/>
    <x v="430"/>
    <m/>
    <x v="0"/>
    <x v="38"/>
    <s v="MBA"/>
    <n v="16"/>
    <n v="100537"/>
    <x v="6"/>
    <x v="19"/>
    <x v="33"/>
    <n v="10"/>
    <n v="34"/>
    <n v="38"/>
    <x v="0"/>
    <x v="1"/>
    <n v="8.3000000000000007"/>
  </r>
  <r>
    <s v="E00466"/>
    <s v="FN467"/>
    <s v="LN467"/>
    <x v="1"/>
    <n v="58"/>
    <x v="1"/>
    <x v="1"/>
    <x v="1"/>
    <x v="1"/>
    <x v="0"/>
    <x v="431"/>
    <m/>
    <x v="0"/>
    <x v="30"/>
    <s v="Bachelor"/>
    <n v="3"/>
    <n v="174344"/>
    <x v="17"/>
    <x v="11"/>
    <x v="30"/>
    <n v="9"/>
    <n v="4"/>
    <n v="40"/>
    <x v="0"/>
    <x v="2"/>
    <n v="6.5"/>
  </r>
  <r>
    <s v="E00467"/>
    <s v="FN468"/>
    <s v="LN468"/>
    <x v="0"/>
    <n v="43"/>
    <x v="3"/>
    <x v="2"/>
    <x v="3"/>
    <x v="2"/>
    <x v="0"/>
    <x v="118"/>
    <m/>
    <x v="0"/>
    <x v="2"/>
    <s v="MBA"/>
    <n v="9"/>
    <n v="48652"/>
    <x v="14"/>
    <x v="9"/>
    <x v="41"/>
    <n v="10"/>
    <n v="38"/>
    <n v="4"/>
    <x v="1"/>
    <x v="2"/>
    <n v="1.3"/>
  </r>
  <r>
    <s v="E00468"/>
    <s v="FN469"/>
    <s v="LN469"/>
    <x v="1"/>
    <n v="41"/>
    <x v="3"/>
    <x v="10"/>
    <x v="4"/>
    <x v="1"/>
    <x v="1"/>
    <x v="432"/>
    <s v="2023-10-01"/>
    <x v="1"/>
    <x v="29"/>
    <s v="Bachelor"/>
    <n v="6"/>
    <n v="66053"/>
    <x v="14"/>
    <x v="12"/>
    <x v="19"/>
    <n v="17"/>
    <n v="6"/>
    <n v="11"/>
    <x v="1"/>
    <x v="1"/>
    <n v="3.7"/>
  </r>
  <r>
    <s v="E00469"/>
    <s v="FN470"/>
    <s v="LN470"/>
    <x v="1"/>
    <n v="25"/>
    <x v="5"/>
    <x v="8"/>
    <x v="1"/>
    <x v="2"/>
    <x v="1"/>
    <x v="433"/>
    <m/>
    <x v="0"/>
    <x v="7"/>
    <s v="Master"/>
    <n v="2"/>
    <n v="96005"/>
    <x v="1"/>
    <x v="17"/>
    <x v="36"/>
    <n v="13"/>
    <n v="34"/>
    <n v="4"/>
    <x v="0"/>
    <x v="0"/>
    <n v="9.5"/>
  </r>
  <r>
    <s v="E00470"/>
    <s v="FN471"/>
    <s v="LN471"/>
    <x v="0"/>
    <n v="28"/>
    <x v="4"/>
    <x v="2"/>
    <x v="2"/>
    <x v="2"/>
    <x v="1"/>
    <x v="434"/>
    <m/>
    <x v="0"/>
    <x v="73"/>
    <s v="MBA"/>
    <n v="8"/>
    <n v="127129"/>
    <x v="16"/>
    <x v="12"/>
    <x v="0"/>
    <n v="13"/>
    <n v="43"/>
    <n v="67"/>
    <x v="0"/>
    <x v="1"/>
    <n v="3"/>
  </r>
  <r>
    <s v="E00471"/>
    <s v="FN472"/>
    <s v="LN472"/>
    <x v="1"/>
    <n v="43"/>
    <x v="1"/>
    <x v="1"/>
    <x v="1"/>
    <x v="1"/>
    <x v="0"/>
    <x v="360"/>
    <m/>
    <x v="0"/>
    <x v="45"/>
    <s v="Master"/>
    <n v="23"/>
    <n v="142377"/>
    <x v="0"/>
    <x v="3"/>
    <x v="39"/>
    <n v="6"/>
    <n v="43"/>
    <n v="60"/>
    <x v="0"/>
    <x v="1"/>
    <n v="6.6"/>
  </r>
  <r>
    <s v="E00472"/>
    <s v="FN473"/>
    <s v="LN473"/>
    <x v="1"/>
    <n v="35"/>
    <x v="2"/>
    <x v="5"/>
    <x v="0"/>
    <x v="1"/>
    <x v="0"/>
    <x v="387"/>
    <m/>
    <x v="0"/>
    <x v="23"/>
    <s v="MBA"/>
    <n v="33"/>
    <n v="99464"/>
    <x v="1"/>
    <x v="21"/>
    <x v="19"/>
    <n v="5"/>
    <n v="56"/>
    <n v="25"/>
    <x v="1"/>
    <x v="2"/>
    <n v="3.7"/>
  </r>
  <r>
    <s v="E00473"/>
    <s v="FN474"/>
    <s v="LN474"/>
    <x v="0"/>
    <n v="27"/>
    <x v="3"/>
    <x v="10"/>
    <x v="2"/>
    <x v="2"/>
    <x v="0"/>
    <x v="435"/>
    <s v="2020-07-31"/>
    <x v="1"/>
    <x v="52"/>
    <s v="Bachelor"/>
    <n v="33"/>
    <n v="94275"/>
    <x v="5"/>
    <x v="1"/>
    <x v="17"/>
    <n v="7"/>
    <n v="24"/>
    <n v="46"/>
    <x v="1"/>
    <x v="1"/>
    <n v="7"/>
  </r>
  <r>
    <s v="E00474"/>
    <s v="FN475"/>
    <s v="LN475"/>
    <x v="1"/>
    <n v="49"/>
    <x v="3"/>
    <x v="10"/>
    <x v="3"/>
    <x v="2"/>
    <x v="1"/>
    <x v="436"/>
    <m/>
    <x v="0"/>
    <x v="55"/>
    <s v="Master"/>
    <n v="32"/>
    <n v="105495"/>
    <x v="20"/>
    <x v="0"/>
    <x v="19"/>
    <n v="10"/>
    <n v="21"/>
    <n v="18"/>
    <x v="0"/>
    <x v="2"/>
    <n v="3.1"/>
  </r>
  <r>
    <s v="E00475"/>
    <s v="FN476"/>
    <s v="LN476"/>
    <x v="0"/>
    <n v="60"/>
    <x v="1"/>
    <x v="1"/>
    <x v="3"/>
    <x v="1"/>
    <x v="0"/>
    <x v="437"/>
    <m/>
    <x v="0"/>
    <x v="67"/>
    <s v="Master"/>
    <n v="0"/>
    <n v="177740"/>
    <x v="14"/>
    <x v="4"/>
    <x v="43"/>
    <n v="10"/>
    <n v="0"/>
    <n v="2"/>
    <x v="1"/>
    <x v="0"/>
    <n v="2.1"/>
  </r>
  <r>
    <s v="E00476"/>
    <s v="FN477"/>
    <s v="LN477"/>
    <x v="1"/>
    <n v="59"/>
    <x v="5"/>
    <x v="8"/>
    <x v="1"/>
    <x v="2"/>
    <x v="1"/>
    <x v="438"/>
    <m/>
    <x v="0"/>
    <x v="22"/>
    <s v="Master"/>
    <n v="4"/>
    <n v="93145"/>
    <x v="5"/>
    <x v="2"/>
    <x v="15"/>
    <n v="11"/>
    <n v="4"/>
    <n v="29"/>
    <x v="1"/>
    <x v="2"/>
    <n v="8.3000000000000007"/>
  </r>
  <r>
    <s v="E00477"/>
    <s v="FN478"/>
    <s v="LN478"/>
    <x v="0"/>
    <n v="38"/>
    <x v="0"/>
    <x v="2"/>
    <x v="1"/>
    <x v="1"/>
    <x v="0"/>
    <x v="91"/>
    <m/>
    <x v="0"/>
    <x v="59"/>
    <s v="Master"/>
    <n v="32"/>
    <n v="40921"/>
    <x v="11"/>
    <x v="11"/>
    <x v="13"/>
    <n v="14"/>
    <n v="58"/>
    <n v="65"/>
    <x v="0"/>
    <x v="2"/>
    <n v="1.3"/>
  </r>
  <r>
    <s v="E00478"/>
    <s v="FN479"/>
    <s v="LN479"/>
    <x v="0"/>
    <n v="47"/>
    <x v="1"/>
    <x v="4"/>
    <x v="0"/>
    <x v="2"/>
    <x v="0"/>
    <x v="439"/>
    <m/>
    <x v="0"/>
    <x v="22"/>
    <s v="Master"/>
    <n v="16"/>
    <n v="159278"/>
    <x v="17"/>
    <x v="15"/>
    <x v="2"/>
    <n v="10"/>
    <n v="3"/>
    <n v="69"/>
    <x v="1"/>
    <x v="1"/>
    <n v="3.4"/>
  </r>
  <r>
    <s v="E00479"/>
    <s v="FN480"/>
    <s v="LN480"/>
    <x v="1"/>
    <n v="41"/>
    <x v="4"/>
    <x v="2"/>
    <x v="3"/>
    <x v="2"/>
    <x v="1"/>
    <x v="440"/>
    <s v="2023-10-14"/>
    <x v="1"/>
    <x v="39"/>
    <s v="Bachelor"/>
    <n v="11"/>
    <n v="120778"/>
    <x v="2"/>
    <x v="12"/>
    <x v="14"/>
    <n v="2"/>
    <n v="0"/>
    <n v="62"/>
    <x v="1"/>
    <x v="0"/>
    <n v="10.4"/>
  </r>
  <r>
    <s v="E00480"/>
    <s v="FN481"/>
    <s v="LN481"/>
    <x v="1"/>
    <n v="35"/>
    <x v="0"/>
    <x v="0"/>
    <x v="4"/>
    <x v="1"/>
    <x v="1"/>
    <x v="441"/>
    <m/>
    <x v="0"/>
    <x v="49"/>
    <s v="Master"/>
    <n v="2"/>
    <n v="169811"/>
    <x v="16"/>
    <x v="2"/>
    <x v="27"/>
    <n v="15"/>
    <n v="40"/>
    <n v="29"/>
    <x v="1"/>
    <x v="0"/>
    <n v="6.3"/>
  </r>
  <r>
    <s v="E00481"/>
    <s v="FN482"/>
    <s v="LN482"/>
    <x v="0"/>
    <n v="52"/>
    <x v="3"/>
    <x v="2"/>
    <x v="4"/>
    <x v="2"/>
    <x v="0"/>
    <x v="442"/>
    <m/>
    <x v="0"/>
    <x v="60"/>
    <s v="Master"/>
    <n v="18"/>
    <n v="91540"/>
    <x v="13"/>
    <x v="25"/>
    <x v="22"/>
    <n v="14"/>
    <n v="9"/>
    <n v="31"/>
    <x v="0"/>
    <x v="2"/>
    <n v="7.8"/>
  </r>
  <r>
    <s v="E00482"/>
    <s v="FN483"/>
    <s v="LN483"/>
    <x v="1"/>
    <n v="60"/>
    <x v="2"/>
    <x v="7"/>
    <x v="1"/>
    <x v="0"/>
    <x v="1"/>
    <x v="443"/>
    <m/>
    <x v="0"/>
    <x v="74"/>
    <s v="Bachelor"/>
    <n v="18"/>
    <n v="134372"/>
    <x v="11"/>
    <x v="1"/>
    <x v="27"/>
    <n v="4"/>
    <n v="53"/>
    <n v="46"/>
    <x v="0"/>
    <x v="1"/>
    <n v="7.8"/>
  </r>
  <r>
    <s v="E00483"/>
    <s v="FN484"/>
    <s v="LN484"/>
    <x v="1"/>
    <n v="39"/>
    <x v="2"/>
    <x v="5"/>
    <x v="1"/>
    <x v="2"/>
    <x v="1"/>
    <x v="444"/>
    <m/>
    <x v="0"/>
    <x v="30"/>
    <s v="Master"/>
    <n v="16"/>
    <n v="73024"/>
    <x v="1"/>
    <x v="16"/>
    <x v="17"/>
    <n v="2"/>
    <n v="43"/>
    <n v="20"/>
    <x v="0"/>
    <x v="2"/>
    <n v="5.4"/>
  </r>
  <r>
    <s v="E00484"/>
    <s v="FN485"/>
    <s v="LN485"/>
    <x v="1"/>
    <n v="57"/>
    <x v="5"/>
    <x v="2"/>
    <x v="4"/>
    <x v="1"/>
    <x v="0"/>
    <x v="445"/>
    <m/>
    <x v="0"/>
    <x v="75"/>
    <s v="Master"/>
    <n v="8"/>
    <n v="145375"/>
    <x v="9"/>
    <x v="4"/>
    <x v="0"/>
    <n v="14"/>
    <n v="3"/>
    <n v="63"/>
    <x v="1"/>
    <x v="1"/>
    <n v="0.2"/>
  </r>
  <r>
    <s v="E00485"/>
    <s v="FN486"/>
    <s v="LN486"/>
    <x v="0"/>
    <n v="36"/>
    <x v="4"/>
    <x v="6"/>
    <x v="3"/>
    <x v="0"/>
    <x v="0"/>
    <x v="446"/>
    <m/>
    <x v="0"/>
    <x v="37"/>
    <s v="MBA"/>
    <n v="20"/>
    <n v="137807"/>
    <x v="7"/>
    <x v="3"/>
    <x v="42"/>
    <n v="6"/>
    <n v="6"/>
    <n v="73"/>
    <x v="0"/>
    <x v="1"/>
    <n v="1.9"/>
  </r>
  <r>
    <s v="E00486"/>
    <s v="FN487"/>
    <s v="LN487"/>
    <x v="0"/>
    <n v="58"/>
    <x v="0"/>
    <x v="0"/>
    <x v="0"/>
    <x v="0"/>
    <x v="1"/>
    <x v="447"/>
    <m/>
    <x v="0"/>
    <x v="35"/>
    <s v="Bachelor"/>
    <n v="2"/>
    <n v="142667"/>
    <x v="19"/>
    <x v="18"/>
    <x v="50"/>
    <n v="20"/>
    <n v="6"/>
    <n v="71"/>
    <x v="0"/>
    <x v="1"/>
    <n v="6.5"/>
  </r>
  <r>
    <s v="E00487"/>
    <s v="FN488"/>
    <s v="LN488"/>
    <x v="1"/>
    <n v="21"/>
    <x v="0"/>
    <x v="0"/>
    <x v="3"/>
    <x v="2"/>
    <x v="1"/>
    <x v="448"/>
    <m/>
    <x v="0"/>
    <x v="61"/>
    <s v="Bachelor"/>
    <n v="4"/>
    <n v="145224"/>
    <x v="4"/>
    <x v="13"/>
    <x v="41"/>
    <n v="6"/>
    <n v="60"/>
    <n v="37"/>
    <x v="0"/>
    <x v="0"/>
    <n v="3.4"/>
  </r>
  <r>
    <s v="E00488"/>
    <s v="FN489"/>
    <s v="LN489"/>
    <x v="1"/>
    <n v="52"/>
    <x v="5"/>
    <x v="8"/>
    <x v="0"/>
    <x v="2"/>
    <x v="0"/>
    <x v="449"/>
    <m/>
    <x v="0"/>
    <x v="42"/>
    <s v="MBA"/>
    <n v="14"/>
    <n v="117195"/>
    <x v="8"/>
    <x v="12"/>
    <x v="20"/>
    <n v="15"/>
    <n v="49"/>
    <n v="11"/>
    <x v="0"/>
    <x v="1"/>
    <n v="4.5999999999999996"/>
  </r>
  <r>
    <s v="E00489"/>
    <s v="FN490"/>
    <s v="LN490"/>
    <x v="1"/>
    <n v="48"/>
    <x v="5"/>
    <x v="8"/>
    <x v="1"/>
    <x v="0"/>
    <x v="1"/>
    <x v="55"/>
    <m/>
    <x v="0"/>
    <x v="15"/>
    <s v="Master"/>
    <n v="2"/>
    <n v="82964"/>
    <x v="16"/>
    <x v="5"/>
    <x v="9"/>
    <n v="8"/>
    <n v="59"/>
    <n v="50"/>
    <x v="0"/>
    <x v="0"/>
    <n v="7.8"/>
  </r>
  <r>
    <s v="E00490"/>
    <s v="FN491"/>
    <s v="LN491"/>
    <x v="1"/>
    <n v="45"/>
    <x v="5"/>
    <x v="6"/>
    <x v="2"/>
    <x v="0"/>
    <x v="0"/>
    <x v="450"/>
    <s v="2024-11-16"/>
    <x v="1"/>
    <x v="75"/>
    <s v="Master"/>
    <n v="10"/>
    <n v="92854"/>
    <x v="15"/>
    <x v="11"/>
    <x v="49"/>
    <n v="16"/>
    <n v="57"/>
    <n v="44"/>
    <x v="1"/>
    <x v="0"/>
    <n v="5"/>
  </r>
  <r>
    <s v="E00491"/>
    <s v="FN492"/>
    <s v="LN492"/>
    <x v="1"/>
    <n v="33"/>
    <x v="5"/>
    <x v="6"/>
    <x v="4"/>
    <x v="2"/>
    <x v="0"/>
    <x v="8"/>
    <m/>
    <x v="0"/>
    <x v="34"/>
    <s v="MBA"/>
    <n v="1"/>
    <n v="90870"/>
    <x v="6"/>
    <x v="0"/>
    <x v="30"/>
    <n v="2"/>
    <n v="22"/>
    <n v="70"/>
    <x v="0"/>
    <x v="0"/>
    <n v="6"/>
  </r>
  <r>
    <s v="E00492"/>
    <s v="FN493"/>
    <s v="LN493"/>
    <x v="1"/>
    <n v="49"/>
    <x v="3"/>
    <x v="10"/>
    <x v="4"/>
    <x v="2"/>
    <x v="0"/>
    <x v="451"/>
    <m/>
    <x v="0"/>
    <x v="4"/>
    <s v="MBA"/>
    <n v="33"/>
    <n v="41054"/>
    <x v="11"/>
    <x v="3"/>
    <x v="1"/>
    <n v="20"/>
    <n v="16"/>
    <n v="7"/>
    <x v="1"/>
    <x v="1"/>
    <n v="5.6"/>
  </r>
  <r>
    <s v="E00493"/>
    <s v="FN494"/>
    <s v="LN494"/>
    <x v="1"/>
    <n v="32"/>
    <x v="2"/>
    <x v="7"/>
    <x v="2"/>
    <x v="0"/>
    <x v="0"/>
    <x v="452"/>
    <m/>
    <x v="0"/>
    <x v="42"/>
    <s v="Bachelor"/>
    <n v="29"/>
    <n v="83598"/>
    <x v="20"/>
    <x v="5"/>
    <x v="13"/>
    <n v="11"/>
    <n v="40"/>
    <n v="63"/>
    <x v="0"/>
    <x v="0"/>
    <n v="10.4"/>
  </r>
  <r>
    <s v="E00494"/>
    <s v="FN495"/>
    <s v="LN495"/>
    <x v="1"/>
    <n v="27"/>
    <x v="2"/>
    <x v="5"/>
    <x v="1"/>
    <x v="2"/>
    <x v="0"/>
    <x v="59"/>
    <s v="2021-07-12"/>
    <x v="1"/>
    <x v="26"/>
    <s v="Bachelor"/>
    <n v="1"/>
    <n v="115887"/>
    <x v="11"/>
    <x v="3"/>
    <x v="5"/>
    <n v="10"/>
    <n v="40"/>
    <n v="27"/>
    <x v="0"/>
    <x v="1"/>
    <n v="7.3"/>
  </r>
  <r>
    <s v="E00495"/>
    <s v="FN496"/>
    <s v="LN496"/>
    <x v="0"/>
    <n v="27"/>
    <x v="5"/>
    <x v="2"/>
    <x v="0"/>
    <x v="0"/>
    <x v="0"/>
    <x v="453"/>
    <m/>
    <x v="0"/>
    <x v="1"/>
    <s v="Bachelor"/>
    <n v="4"/>
    <n v="154365"/>
    <x v="5"/>
    <x v="10"/>
    <x v="50"/>
    <n v="17"/>
    <n v="22"/>
    <n v="9"/>
    <x v="1"/>
    <x v="1"/>
    <n v="3.3"/>
  </r>
  <r>
    <s v="E00496"/>
    <s v="FN497"/>
    <s v="LN497"/>
    <x v="1"/>
    <n v="51"/>
    <x v="1"/>
    <x v="1"/>
    <x v="3"/>
    <x v="2"/>
    <x v="1"/>
    <x v="454"/>
    <s v="2028-08-08"/>
    <x v="1"/>
    <x v="45"/>
    <s v="MBA"/>
    <n v="4"/>
    <n v="145986"/>
    <x v="2"/>
    <x v="6"/>
    <x v="45"/>
    <n v="19"/>
    <n v="20"/>
    <n v="53"/>
    <x v="0"/>
    <x v="0"/>
    <n v="0.5"/>
  </r>
  <r>
    <s v="E00497"/>
    <s v="FN498"/>
    <s v="LN498"/>
    <x v="0"/>
    <n v="58"/>
    <x v="1"/>
    <x v="1"/>
    <x v="1"/>
    <x v="1"/>
    <x v="1"/>
    <x v="455"/>
    <m/>
    <x v="0"/>
    <x v="61"/>
    <s v="Bachelor"/>
    <n v="3"/>
    <n v="154078"/>
    <x v="17"/>
    <x v="10"/>
    <x v="11"/>
    <n v="9"/>
    <n v="52"/>
    <n v="76"/>
    <x v="1"/>
    <x v="2"/>
    <n v="5.0999999999999996"/>
  </r>
  <r>
    <s v="E00498"/>
    <s v="FN499"/>
    <s v="LN499"/>
    <x v="1"/>
    <n v="40"/>
    <x v="0"/>
    <x v="0"/>
    <x v="3"/>
    <x v="1"/>
    <x v="1"/>
    <x v="456"/>
    <m/>
    <x v="0"/>
    <x v="23"/>
    <s v="MBA"/>
    <n v="30"/>
    <n v="56325"/>
    <x v="16"/>
    <x v="12"/>
    <x v="22"/>
    <n v="4"/>
    <n v="12"/>
    <n v="53"/>
    <x v="0"/>
    <x v="2"/>
    <n v="6.3"/>
  </r>
  <r>
    <s v="E00499"/>
    <s v="FN500"/>
    <s v="LN500"/>
    <x v="1"/>
    <n v="23"/>
    <x v="1"/>
    <x v="4"/>
    <x v="2"/>
    <x v="1"/>
    <x v="1"/>
    <x v="457"/>
    <m/>
    <x v="0"/>
    <x v="72"/>
    <s v="Master"/>
    <n v="20"/>
    <n v="95916"/>
    <x v="20"/>
    <x v="16"/>
    <x v="20"/>
    <n v="20"/>
    <n v="43"/>
    <n v="80"/>
    <x v="1"/>
    <x v="1"/>
    <n v="0.7"/>
  </r>
  <r>
    <s v="E00500"/>
    <s v="FN501"/>
    <s v="LN501"/>
    <x v="1"/>
    <n v="50"/>
    <x v="0"/>
    <x v="2"/>
    <x v="0"/>
    <x v="2"/>
    <x v="1"/>
    <x v="458"/>
    <m/>
    <x v="0"/>
    <x v="32"/>
    <s v="Master"/>
    <n v="14"/>
    <n v="133507"/>
    <x v="12"/>
    <x v="18"/>
    <x v="7"/>
    <n v="16"/>
    <n v="23"/>
    <n v="78"/>
    <x v="1"/>
    <x v="1"/>
    <n v="9.5"/>
  </r>
  <r>
    <s v="E00501"/>
    <s v="FN502"/>
    <s v="LN502"/>
    <x v="1"/>
    <n v="30"/>
    <x v="4"/>
    <x v="2"/>
    <x v="1"/>
    <x v="0"/>
    <x v="1"/>
    <x v="459"/>
    <m/>
    <x v="0"/>
    <x v="4"/>
    <s v="Master"/>
    <n v="17"/>
    <n v="103565"/>
    <x v="6"/>
    <x v="0"/>
    <x v="30"/>
    <n v="19"/>
    <n v="5"/>
    <n v="10"/>
    <x v="1"/>
    <x v="2"/>
    <n v="6"/>
  </r>
  <r>
    <s v="E00502"/>
    <s v="FN503"/>
    <s v="LN503"/>
    <x v="1"/>
    <n v="45"/>
    <x v="4"/>
    <x v="2"/>
    <x v="2"/>
    <x v="0"/>
    <x v="1"/>
    <x v="460"/>
    <s v="2027-01-18"/>
    <x v="1"/>
    <x v="8"/>
    <s v="Master"/>
    <n v="30"/>
    <n v="152713"/>
    <x v="11"/>
    <x v="8"/>
    <x v="21"/>
    <n v="6"/>
    <n v="15"/>
    <n v="54"/>
    <x v="0"/>
    <x v="2"/>
    <n v="7.5"/>
  </r>
  <r>
    <s v="E00503"/>
    <s v="FN504"/>
    <s v="LN504"/>
    <x v="0"/>
    <n v="30"/>
    <x v="3"/>
    <x v="10"/>
    <x v="0"/>
    <x v="2"/>
    <x v="0"/>
    <x v="461"/>
    <m/>
    <x v="0"/>
    <x v="2"/>
    <s v="Master"/>
    <n v="13"/>
    <n v="68908"/>
    <x v="6"/>
    <x v="15"/>
    <x v="3"/>
    <n v="15"/>
    <n v="55"/>
    <n v="34"/>
    <x v="1"/>
    <x v="0"/>
    <n v="0.5"/>
  </r>
  <r>
    <s v="E00504"/>
    <s v="FN505"/>
    <s v="LN505"/>
    <x v="0"/>
    <n v="37"/>
    <x v="5"/>
    <x v="2"/>
    <x v="0"/>
    <x v="0"/>
    <x v="1"/>
    <x v="48"/>
    <m/>
    <x v="0"/>
    <x v="14"/>
    <s v="Master"/>
    <n v="20"/>
    <n v="87107"/>
    <x v="0"/>
    <x v="11"/>
    <x v="7"/>
    <n v="18"/>
    <n v="45"/>
    <n v="57"/>
    <x v="1"/>
    <x v="1"/>
    <n v="2.5"/>
  </r>
  <r>
    <s v="E00505"/>
    <s v="FN506"/>
    <s v="LN506"/>
    <x v="1"/>
    <n v="44"/>
    <x v="1"/>
    <x v="4"/>
    <x v="3"/>
    <x v="0"/>
    <x v="1"/>
    <x v="462"/>
    <m/>
    <x v="0"/>
    <x v="23"/>
    <s v="MBA"/>
    <n v="17"/>
    <n v="73413"/>
    <x v="8"/>
    <x v="5"/>
    <x v="3"/>
    <n v="0"/>
    <n v="17"/>
    <n v="19"/>
    <x v="0"/>
    <x v="0"/>
    <n v="3.7"/>
  </r>
  <r>
    <s v="E00506"/>
    <s v="FN507"/>
    <s v="LN507"/>
    <x v="1"/>
    <n v="24"/>
    <x v="2"/>
    <x v="5"/>
    <x v="4"/>
    <x v="2"/>
    <x v="0"/>
    <x v="463"/>
    <m/>
    <x v="0"/>
    <x v="44"/>
    <s v="Bachelor"/>
    <n v="29"/>
    <n v="144717"/>
    <x v="17"/>
    <x v="17"/>
    <x v="26"/>
    <n v="1"/>
    <n v="23"/>
    <n v="48"/>
    <x v="1"/>
    <x v="2"/>
    <n v="3"/>
  </r>
  <r>
    <s v="E00507"/>
    <s v="FN508"/>
    <s v="LN508"/>
    <x v="0"/>
    <n v="29"/>
    <x v="5"/>
    <x v="2"/>
    <x v="2"/>
    <x v="1"/>
    <x v="1"/>
    <x v="464"/>
    <m/>
    <x v="0"/>
    <x v="61"/>
    <s v="MBA"/>
    <n v="1"/>
    <n v="42144"/>
    <x v="11"/>
    <x v="20"/>
    <x v="48"/>
    <n v="10"/>
    <n v="30"/>
    <n v="20"/>
    <x v="1"/>
    <x v="0"/>
    <n v="7.3"/>
  </r>
  <r>
    <s v="E00508"/>
    <s v="FN509"/>
    <s v="LN509"/>
    <x v="0"/>
    <n v="46"/>
    <x v="2"/>
    <x v="3"/>
    <x v="0"/>
    <x v="2"/>
    <x v="1"/>
    <x v="465"/>
    <m/>
    <x v="0"/>
    <x v="40"/>
    <s v="MBA"/>
    <n v="21"/>
    <n v="135948"/>
    <x v="8"/>
    <x v="25"/>
    <x v="5"/>
    <n v="12"/>
    <n v="47"/>
    <n v="8"/>
    <x v="1"/>
    <x v="0"/>
    <n v="4.9000000000000004"/>
  </r>
  <r>
    <s v="E00509"/>
    <s v="FN510"/>
    <s v="LN510"/>
    <x v="0"/>
    <n v="43"/>
    <x v="1"/>
    <x v="4"/>
    <x v="4"/>
    <x v="0"/>
    <x v="0"/>
    <x v="466"/>
    <m/>
    <x v="0"/>
    <x v="16"/>
    <s v="Master"/>
    <n v="29"/>
    <n v="162855"/>
    <x v="15"/>
    <x v="9"/>
    <x v="47"/>
    <n v="0"/>
    <n v="55"/>
    <n v="72"/>
    <x v="1"/>
    <x v="2"/>
    <n v="2"/>
  </r>
  <r>
    <s v="E00510"/>
    <s v="FN511"/>
    <s v="LN511"/>
    <x v="0"/>
    <n v="41"/>
    <x v="3"/>
    <x v="10"/>
    <x v="1"/>
    <x v="0"/>
    <x v="0"/>
    <x v="467"/>
    <m/>
    <x v="0"/>
    <x v="43"/>
    <s v="Master"/>
    <n v="9"/>
    <n v="60727"/>
    <x v="13"/>
    <x v="22"/>
    <x v="13"/>
    <n v="16"/>
    <n v="42"/>
    <n v="49"/>
    <x v="0"/>
    <x v="0"/>
    <n v="8.1999999999999993"/>
  </r>
  <r>
    <s v="E00511"/>
    <s v="FN512"/>
    <s v="LN512"/>
    <x v="0"/>
    <n v="35"/>
    <x v="3"/>
    <x v="2"/>
    <x v="1"/>
    <x v="0"/>
    <x v="0"/>
    <x v="468"/>
    <m/>
    <x v="0"/>
    <x v="5"/>
    <s v="Master"/>
    <n v="24"/>
    <n v="135955"/>
    <x v="18"/>
    <x v="17"/>
    <x v="35"/>
    <n v="3"/>
    <n v="40"/>
    <n v="52"/>
    <x v="1"/>
    <x v="0"/>
    <n v="0.3"/>
  </r>
  <r>
    <s v="E00512"/>
    <s v="FN513"/>
    <s v="LN513"/>
    <x v="1"/>
    <n v="54"/>
    <x v="3"/>
    <x v="2"/>
    <x v="1"/>
    <x v="2"/>
    <x v="1"/>
    <x v="469"/>
    <m/>
    <x v="0"/>
    <x v="39"/>
    <s v="Bachelor"/>
    <n v="6"/>
    <n v="92277"/>
    <x v="7"/>
    <x v="25"/>
    <x v="41"/>
    <n v="12"/>
    <n v="34"/>
    <n v="72"/>
    <x v="0"/>
    <x v="1"/>
    <n v="3.1"/>
  </r>
  <r>
    <s v="E00513"/>
    <s v="FN514"/>
    <s v="LN514"/>
    <x v="1"/>
    <n v="53"/>
    <x v="3"/>
    <x v="2"/>
    <x v="0"/>
    <x v="2"/>
    <x v="1"/>
    <x v="470"/>
    <s v="2027-08-05"/>
    <x v="1"/>
    <x v="31"/>
    <s v="Bachelor"/>
    <n v="35"/>
    <n v="178151"/>
    <x v="4"/>
    <x v="6"/>
    <x v="42"/>
    <n v="13"/>
    <n v="16"/>
    <n v="62"/>
    <x v="0"/>
    <x v="1"/>
    <n v="6"/>
  </r>
  <r>
    <s v="E00514"/>
    <s v="FN515"/>
    <s v="LN515"/>
    <x v="1"/>
    <n v="25"/>
    <x v="1"/>
    <x v="1"/>
    <x v="2"/>
    <x v="1"/>
    <x v="1"/>
    <x v="471"/>
    <m/>
    <x v="0"/>
    <x v="40"/>
    <s v="Bachelor"/>
    <n v="32"/>
    <n v="40383"/>
    <x v="12"/>
    <x v="0"/>
    <x v="5"/>
    <n v="9"/>
    <n v="10"/>
    <n v="28"/>
    <x v="1"/>
    <x v="0"/>
    <n v="9.1999999999999993"/>
  </r>
  <r>
    <s v="E00515"/>
    <s v="FN516"/>
    <s v="LN516"/>
    <x v="0"/>
    <n v="50"/>
    <x v="4"/>
    <x v="2"/>
    <x v="2"/>
    <x v="0"/>
    <x v="1"/>
    <x v="472"/>
    <m/>
    <x v="0"/>
    <x v="36"/>
    <s v="Master"/>
    <n v="23"/>
    <n v="92561"/>
    <x v="3"/>
    <x v="20"/>
    <x v="11"/>
    <n v="15"/>
    <n v="47"/>
    <n v="69"/>
    <x v="1"/>
    <x v="1"/>
    <n v="10.4"/>
  </r>
  <r>
    <s v="E00516"/>
    <s v="FN517"/>
    <s v="LN517"/>
    <x v="0"/>
    <n v="33"/>
    <x v="4"/>
    <x v="2"/>
    <x v="2"/>
    <x v="1"/>
    <x v="0"/>
    <x v="473"/>
    <m/>
    <x v="0"/>
    <x v="70"/>
    <s v="Bachelor"/>
    <n v="2"/>
    <n v="53980"/>
    <x v="12"/>
    <x v="12"/>
    <x v="38"/>
    <n v="20"/>
    <n v="24"/>
    <n v="53"/>
    <x v="1"/>
    <x v="0"/>
    <n v="5"/>
  </r>
  <r>
    <s v="E00517"/>
    <s v="FN518"/>
    <s v="LN518"/>
    <x v="1"/>
    <n v="60"/>
    <x v="3"/>
    <x v="2"/>
    <x v="2"/>
    <x v="2"/>
    <x v="0"/>
    <x v="474"/>
    <m/>
    <x v="0"/>
    <x v="38"/>
    <s v="Master"/>
    <n v="0"/>
    <n v="106621"/>
    <x v="1"/>
    <x v="22"/>
    <x v="48"/>
    <n v="5"/>
    <n v="14"/>
    <n v="31"/>
    <x v="0"/>
    <x v="1"/>
    <n v="1.8"/>
  </r>
  <r>
    <s v="E00518"/>
    <s v="FN519"/>
    <s v="LN519"/>
    <x v="0"/>
    <n v="40"/>
    <x v="2"/>
    <x v="3"/>
    <x v="1"/>
    <x v="2"/>
    <x v="1"/>
    <x v="475"/>
    <m/>
    <x v="0"/>
    <x v="0"/>
    <s v="Bachelor"/>
    <n v="9"/>
    <n v="55456"/>
    <x v="8"/>
    <x v="5"/>
    <x v="40"/>
    <n v="10"/>
    <n v="57"/>
    <n v="11"/>
    <x v="1"/>
    <x v="0"/>
    <n v="2.1"/>
  </r>
  <r>
    <s v="E00519"/>
    <s v="FN520"/>
    <s v="LN520"/>
    <x v="0"/>
    <n v="41"/>
    <x v="2"/>
    <x v="3"/>
    <x v="3"/>
    <x v="1"/>
    <x v="0"/>
    <x v="164"/>
    <m/>
    <x v="0"/>
    <x v="45"/>
    <s v="Master"/>
    <n v="33"/>
    <n v="119319"/>
    <x v="4"/>
    <x v="25"/>
    <x v="21"/>
    <n v="20"/>
    <n v="0"/>
    <n v="18"/>
    <x v="0"/>
    <x v="1"/>
    <n v="10"/>
  </r>
  <r>
    <s v="E00520"/>
    <s v="FN521"/>
    <s v="LN521"/>
    <x v="0"/>
    <n v="32"/>
    <x v="2"/>
    <x v="5"/>
    <x v="2"/>
    <x v="1"/>
    <x v="1"/>
    <x v="476"/>
    <m/>
    <x v="0"/>
    <x v="60"/>
    <s v="MBA"/>
    <n v="29"/>
    <n v="166016"/>
    <x v="20"/>
    <x v="9"/>
    <x v="45"/>
    <n v="14"/>
    <n v="33"/>
    <n v="55"/>
    <x v="1"/>
    <x v="0"/>
    <n v="5.3"/>
  </r>
  <r>
    <s v="E00521"/>
    <s v="FN522"/>
    <s v="LN522"/>
    <x v="1"/>
    <n v="30"/>
    <x v="1"/>
    <x v="4"/>
    <x v="2"/>
    <x v="2"/>
    <x v="0"/>
    <x v="36"/>
    <m/>
    <x v="0"/>
    <x v="43"/>
    <s v="MBA"/>
    <n v="6"/>
    <n v="91821"/>
    <x v="8"/>
    <x v="15"/>
    <x v="28"/>
    <n v="13"/>
    <n v="27"/>
    <n v="27"/>
    <x v="0"/>
    <x v="0"/>
    <n v="9.4"/>
  </r>
  <r>
    <s v="E00522"/>
    <s v="FN523"/>
    <s v="LN523"/>
    <x v="1"/>
    <n v="33"/>
    <x v="2"/>
    <x v="3"/>
    <x v="2"/>
    <x v="2"/>
    <x v="0"/>
    <x v="477"/>
    <m/>
    <x v="0"/>
    <x v="47"/>
    <s v="MBA"/>
    <n v="1"/>
    <n v="103196"/>
    <x v="1"/>
    <x v="5"/>
    <x v="25"/>
    <n v="18"/>
    <n v="25"/>
    <n v="52"/>
    <x v="0"/>
    <x v="1"/>
    <n v="7.1"/>
  </r>
  <r>
    <s v="E00523"/>
    <s v="FN524"/>
    <s v="LN524"/>
    <x v="1"/>
    <n v="37"/>
    <x v="4"/>
    <x v="9"/>
    <x v="0"/>
    <x v="0"/>
    <x v="1"/>
    <x v="478"/>
    <m/>
    <x v="0"/>
    <x v="27"/>
    <s v="Bachelor"/>
    <n v="26"/>
    <n v="69068"/>
    <x v="8"/>
    <x v="22"/>
    <x v="22"/>
    <n v="9"/>
    <n v="50"/>
    <n v="54"/>
    <x v="0"/>
    <x v="1"/>
    <n v="6.9"/>
  </r>
  <r>
    <s v="E00524"/>
    <s v="FN525"/>
    <s v="LN525"/>
    <x v="1"/>
    <n v="37"/>
    <x v="0"/>
    <x v="0"/>
    <x v="2"/>
    <x v="2"/>
    <x v="1"/>
    <x v="479"/>
    <m/>
    <x v="0"/>
    <x v="30"/>
    <s v="Master"/>
    <n v="31"/>
    <n v="158218"/>
    <x v="19"/>
    <x v="5"/>
    <x v="48"/>
    <n v="8"/>
    <n v="19"/>
    <n v="30"/>
    <x v="0"/>
    <x v="0"/>
    <n v="3.7"/>
  </r>
  <r>
    <s v="E00525"/>
    <s v="FN526"/>
    <s v="LN526"/>
    <x v="0"/>
    <n v="33"/>
    <x v="4"/>
    <x v="2"/>
    <x v="0"/>
    <x v="0"/>
    <x v="1"/>
    <x v="480"/>
    <m/>
    <x v="0"/>
    <x v="35"/>
    <s v="Bachelor"/>
    <n v="21"/>
    <n v="171219"/>
    <x v="20"/>
    <x v="18"/>
    <x v="44"/>
    <n v="15"/>
    <n v="50"/>
    <n v="77"/>
    <x v="1"/>
    <x v="2"/>
    <n v="2.7"/>
  </r>
  <r>
    <s v="E00526"/>
    <s v="FN527"/>
    <s v="LN527"/>
    <x v="0"/>
    <n v="21"/>
    <x v="2"/>
    <x v="5"/>
    <x v="1"/>
    <x v="2"/>
    <x v="0"/>
    <x v="481"/>
    <m/>
    <x v="0"/>
    <x v="31"/>
    <s v="Master"/>
    <n v="3"/>
    <n v="66660"/>
    <x v="5"/>
    <x v="7"/>
    <x v="8"/>
    <n v="14"/>
    <n v="60"/>
    <n v="9"/>
    <x v="0"/>
    <x v="0"/>
    <n v="5.0999999999999996"/>
  </r>
  <r>
    <s v="E00527"/>
    <s v="FN528"/>
    <s v="LN528"/>
    <x v="0"/>
    <n v="32"/>
    <x v="2"/>
    <x v="7"/>
    <x v="4"/>
    <x v="2"/>
    <x v="0"/>
    <x v="482"/>
    <m/>
    <x v="0"/>
    <x v="58"/>
    <s v="Master"/>
    <n v="29"/>
    <n v="91062"/>
    <x v="0"/>
    <x v="19"/>
    <x v="19"/>
    <n v="13"/>
    <n v="12"/>
    <n v="26"/>
    <x v="1"/>
    <x v="0"/>
    <n v="0.5"/>
  </r>
  <r>
    <s v="E00528"/>
    <s v="FN529"/>
    <s v="LN529"/>
    <x v="1"/>
    <n v="33"/>
    <x v="0"/>
    <x v="2"/>
    <x v="0"/>
    <x v="2"/>
    <x v="0"/>
    <x v="483"/>
    <m/>
    <x v="0"/>
    <x v="61"/>
    <s v="Bachelor"/>
    <n v="15"/>
    <n v="127428"/>
    <x v="9"/>
    <x v="1"/>
    <x v="20"/>
    <n v="11"/>
    <n v="36"/>
    <n v="70"/>
    <x v="0"/>
    <x v="2"/>
    <n v="3"/>
  </r>
  <r>
    <s v="E00529"/>
    <s v="FN530"/>
    <s v="LN530"/>
    <x v="1"/>
    <n v="55"/>
    <x v="0"/>
    <x v="2"/>
    <x v="0"/>
    <x v="0"/>
    <x v="0"/>
    <x v="484"/>
    <m/>
    <x v="0"/>
    <x v="1"/>
    <s v="Bachelor"/>
    <n v="12"/>
    <n v="40241"/>
    <x v="3"/>
    <x v="0"/>
    <x v="24"/>
    <n v="19"/>
    <n v="24"/>
    <n v="55"/>
    <x v="1"/>
    <x v="2"/>
    <n v="0.4"/>
  </r>
  <r>
    <s v="E00530"/>
    <s v="FN531"/>
    <s v="LN531"/>
    <x v="1"/>
    <n v="40"/>
    <x v="3"/>
    <x v="2"/>
    <x v="4"/>
    <x v="1"/>
    <x v="1"/>
    <x v="485"/>
    <m/>
    <x v="0"/>
    <x v="53"/>
    <s v="Master"/>
    <n v="29"/>
    <n v="56755"/>
    <x v="0"/>
    <x v="16"/>
    <x v="33"/>
    <n v="19"/>
    <n v="19"/>
    <n v="59"/>
    <x v="1"/>
    <x v="1"/>
    <n v="1.3"/>
  </r>
  <r>
    <s v="E00531"/>
    <s v="FN532"/>
    <s v="LN532"/>
    <x v="1"/>
    <n v="53"/>
    <x v="1"/>
    <x v="4"/>
    <x v="3"/>
    <x v="1"/>
    <x v="0"/>
    <x v="486"/>
    <m/>
    <x v="0"/>
    <x v="68"/>
    <s v="Master"/>
    <n v="6"/>
    <n v="54833"/>
    <x v="20"/>
    <x v="17"/>
    <x v="4"/>
    <n v="14"/>
    <n v="35"/>
    <n v="68"/>
    <x v="1"/>
    <x v="0"/>
    <n v="3.6"/>
  </r>
  <r>
    <s v="E00532"/>
    <s v="FN533"/>
    <s v="LN533"/>
    <x v="1"/>
    <n v="44"/>
    <x v="1"/>
    <x v="1"/>
    <x v="2"/>
    <x v="0"/>
    <x v="0"/>
    <x v="487"/>
    <s v="2025-05-07"/>
    <x v="1"/>
    <x v="49"/>
    <s v="Bachelor"/>
    <n v="14"/>
    <n v="84296"/>
    <x v="1"/>
    <x v="6"/>
    <x v="42"/>
    <n v="6"/>
    <n v="37"/>
    <n v="27"/>
    <x v="1"/>
    <x v="0"/>
    <n v="4.5"/>
  </r>
  <r>
    <s v="E00533"/>
    <s v="FN534"/>
    <s v="LN534"/>
    <x v="0"/>
    <n v="51"/>
    <x v="0"/>
    <x v="2"/>
    <x v="2"/>
    <x v="2"/>
    <x v="1"/>
    <x v="369"/>
    <m/>
    <x v="0"/>
    <x v="79"/>
    <s v="Bachelor"/>
    <n v="34"/>
    <n v="179799"/>
    <x v="7"/>
    <x v="12"/>
    <x v="44"/>
    <n v="8"/>
    <n v="56"/>
    <n v="52"/>
    <x v="0"/>
    <x v="2"/>
    <n v="0.6"/>
  </r>
  <r>
    <s v="E00534"/>
    <s v="FN535"/>
    <s v="LN535"/>
    <x v="1"/>
    <n v="57"/>
    <x v="3"/>
    <x v="10"/>
    <x v="2"/>
    <x v="1"/>
    <x v="0"/>
    <x v="488"/>
    <m/>
    <x v="0"/>
    <x v="22"/>
    <s v="Bachelor"/>
    <n v="5"/>
    <n v="96464"/>
    <x v="3"/>
    <x v="8"/>
    <x v="36"/>
    <n v="18"/>
    <n v="17"/>
    <n v="35"/>
    <x v="0"/>
    <x v="1"/>
    <n v="7.4"/>
  </r>
  <r>
    <s v="E00535"/>
    <s v="FN536"/>
    <s v="LN536"/>
    <x v="1"/>
    <n v="25"/>
    <x v="0"/>
    <x v="0"/>
    <x v="4"/>
    <x v="0"/>
    <x v="1"/>
    <x v="489"/>
    <m/>
    <x v="0"/>
    <x v="56"/>
    <s v="MBA"/>
    <n v="1"/>
    <n v="59543"/>
    <x v="11"/>
    <x v="4"/>
    <x v="40"/>
    <n v="12"/>
    <n v="9"/>
    <n v="27"/>
    <x v="0"/>
    <x v="1"/>
    <n v="1.7"/>
  </r>
  <r>
    <s v="E00536"/>
    <s v="FN537"/>
    <s v="LN537"/>
    <x v="0"/>
    <n v="59"/>
    <x v="1"/>
    <x v="1"/>
    <x v="1"/>
    <x v="0"/>
    <x v="0"/>
    <x v="490"/>
    <s v="2017-03-28"/>
    <x v="1"/>
    <x v="77"/>
    <s v="Bachelor"/>
    <n v="16"/>
    <n v="56598"/>
    <x v="13"/>
    <x v="0"/>
    <x v="39"/>
    <n v="0"/>
    <n v="35"/>
    <n v="62"/>
    <x v="1"/>
    <x v="1"/>
    <n v="10.5"/>
  </r>
  <r>
    <s v="E00537"/>
    <s v="FN538"/>
    <s v="LN538"/>
    <x v="1"/>
    <n v="29"/>
    <x v="0"/>
    <x v="0"/>
    <x v="2"/>
    <x v="1"/>
    <x v="1"/>
    <x v="124"/>
    <m/>
    <x v="0"/>
    <x v="11"/>
    <s v="Bachelor"/>
    <n v="15"/>
    <n v="71710"/>
    <x v="20"/>
    <x v="22"/>
    <x v="50"/>
    <n v="16"/>
    <n v="27"/>
    <n v="9"/>
    <x v="1"/>
    <x v="0"/>
    <n v="7.4"/>
  </r>
  <r>
    <s v="E00538"/>
    <s v="FN539"/>
    <s v="LN539"/>
    <x v="0"/>
    <n v="28"/>
    <x v="5"/>
    <x v="6"/>
    <x v="1"/>
    <x v="1"/>
    <x v="1"/>
    <x v="491"/>
    <m/>
    <x v="0"/>
    <x v="8"/>
    <s v="Bachelor"/>
    <n v="11"/>
    <n v="93103"/>
    <x v="9"/>
    <x v="18"/>
    <x v="29"/>
    <n v="13"/>
    <n v="50"/>
    <n v="5"/>
    <x v="1"/>
    <x v="2"/>
    <n v="2.5"/>
  </r>
  <r>
    <s v="E00539"/>
    <s v="FN540"/>
    <s v="LN540"/>
    <x v="1"/>
    <n v="53"/>
    <x v="3"/>
    <x v="2"/>
    <x v="1"/>
    <x v="2"/>
    <x v="0"/>
    <x v="492"/>
    <m/>
    <x v="0"/>
    <x v="23"/>
    <s v="Master"/>
    <n v="2"/>
    <n v="158036"/>
    <x v="6"/>
    <x v="8"/>
    <x v="14"/>
    <n v="3"/>
    <n v="26"/>
    <n v="71"/>
    <x v="1"/>
    <x v="0"/>
    <n v="3.1"/>
  </r>
  <r>
    <s v="E00540"/>
    <s v="FN541"/>
    <s v="LN541"/>
    <x v="1"/>
    <n v="59"/>
    <x v="1"/>
    <x v="1"/>
    <x v="1"/>
    <x v="2"/>
    <x v="1"/>
    <x v="493"/>
    <m/>
    <x v="0"/>
    <x v="33"/>
    <s v="MBA"/>
    <n v="33"/>
    <n v="69166"/>
    <x v="18"/>
    <x v="19"/>
    <x v="23"/>
    <n v="2"/>
    <n v="59"/>
    <n v="56"/>
    <x v="0"/>
    <x v="0"/>
    <n v="9.4"/>
  </r>
  <r>
    <s v="E00541"/>
    <s v="FN542"/>
    <s v="LN542"/>
    <x v="1"/>
    <n v="36"/>
    <x v="4"/>
    <x v="9"/>
    <x v="3"/>
    <x v="2"/>
    <x v="1"/>
    <x v="314"/>
    <m/>
    <x v="0"/>
    <x v="42"/>
    <s v="Bachelor"/>
    <n v="11"/>
    <n v="79443"/>
    <x v="2"/>
    <x v="10"/>
    <x v="20"/>
    <n v="9"/>
    <n v="45"/>
    <n v="26"/>
    <x v="1"/>
    <x v="2"/>
    <n v="6.3"/>
  </r>
  <r>
    <s v="E00542"/>
    <s v="FN543"/>
    <s v="LN543"/>
    <x v="0"/>
    <n v="57"/>
    <x v="0"/>
    <x v="0"/>
    <x v="0"/>
    <x v="2"/>
    <x v="0"/>
    <x v="494"/>
    <m/>
    <x v="0"/>
    <x v="9"/>
    <s v="Bachelor"/>
    <n v="32"/>
    <n v="107300"/>
    <x v="18"/>
    <x v="14"/>
    <x v="41"/>
    <n v="5"/>
    <n v="34"/>
    <n v="54"/>
    <x v="0"/>
    <x v="2"/>
    <n v="3"/>
  </r>
  <r>
    <s v="E00543"/>
    <s v="FN544"/>
    <s v="LN544"/>
    <x v="0"/>
    <n v="48"/>
    <x v="2"/>
    <x v="3"/>
    <x v="1"/>
    <x v="1"/>
    <x v="0"/>
    <x v="495"/>
    <m/>
    <x v="0"/>
    <x v="0"/>
    <s v="MBA"/>
    <n v="8"/>
    <n v="126095"/>
    <x v="17"/>
    <x v="17"/>
    <x v="9"/>
    <n v="1"/>
    <n v="17"/>
    <n v="62"/>
    <x v="0"/>
    <x v="1"/>
    <n v="8.5"/>
  </r>
  <r>
    <s v="E00544"/>
    <s v="FN545"/>
    <s v="LN545"/>
    <x v="0"/>
    <n v="34"/>
    <x v="3"/>
    <x v="2"/>
    <x v="1"/>
    <x v="0"/>
    <x v="1"/>
    <x v="496"/>
    <m/>
    <x v="0"/>
    <x v="6"/>
    <s v="MBA"/>
    <n v="8"/>
    <n v="78801"/>
    <x v="10"/>
    <x v="1"/>
    <x v="1"/>
    <n v="6"/>
    <n v="2"/>
    <n v="25"/>
    <x v="0"/>
    <x v="0"/>
    <n v="10.5"/>
  </r>
  <r>
    <s v="E00545"/>
    <s v="FN546"/>
    <s v="LN546"/>
    <x v="1"/>
    <n v="45"/>
    <x v="4"/>
    <x v="9"/>
    <x v="0"/>
    <x v="1"/>
    <x v="0"/>
    <x v="497"/>
    <m/>
    <x v="0"/>
    <x v="52"/>
    <s v="Master"/>
    <n v="0"/>
    <n v="68014"/>
    <x v="17"/>
    <x v="16"/>
    <x v="13"/>
    <n v="10"/>
    <n v="26"/>
    <n v="54"/>
    <x v="1"/>
    <x v="1"/>
    <n v="5.4"/>
  </r>
  <r>
    <s v="E00546"/>
    <s v="FN547"/>
    <s v="LN547"/>
    <x v="1"/>
    <n v="46"/>
    <x v="0"/>
    <x v="2"/>
    <x v="1"/>
    <x v="1"/>
    <x v="0"/>
    <x v="498"/>
    <m/>
    <x v="0"/>
    <x v="42"/>
    <s v="Master"/>
    <n v="19"/>
    <n v="171021"/>
    <x v="9"/>
    <x v="13"/>
    <x v="15"/>
    <n v="1"/>
    <n v="38"/>
    <n v="15"/>
    <x v="0"/>
    <x v="1"/>
    <n v="4"/>
  </r>
  <r>
    <s v="E00547"/>
    <s v="FN548"/>
    <s v="LN548"/>
    <x v="0"/>
    <n v="28"/>
    <x v="1"/>
    <x v="1"/>
    <x v="2"/>
    <x v="1"/>
    <x v="0"/>
    <x v="499"/>
    <m/>
    <x v="0"/>
    <x v="55"/>
    <s v="Bachelor"/>
    <n v="21"/>
    <n v="123187"/>
    <x v="11"/>
    <x v="13"/>
    <x v="4"/>
    <n v="10"/>
    <n v="16"/>
    <n v="43"/>
    <x v="0"/>
    <x v="2"/>
    <n v="4.5999999999999996"/>
  </r>
  <r>
    <s v="E00548"/>
    <s v="FN549"/>
    <s v="LN549"/>
    <x v="1"/>
    <n v="53"/>
    <x v="3"/>
    <x v="2"/>
    <x v="2"/>
    <x v="2"/>
    <x v="1"/>
    <x v="132"/>
    <m/>
    <x v="0"/>
    <x v="67"/>
    <s v="MBA"/>
    <n v="17"/>
    <n v="117075"/>
    <x v="6"/>
    <x v="12"/>
    <x v="30"/>
    <n v="3"/>
    <n v="27"/>
    <n v="37"/>
    <x v="0"/>
    <x v="0"/>
    <n v="3.3"/>
  </r>
  <r>
    <s v="E00549"/>
    <s v="FN550"/>
    <s v="LN550"/>
    <x v="1"/>
    <n v="43"/>
    <x v="2"/>
    <x v="5"/>
    <x v="3"/>
    <x v="1"/>
    <x v="0"/>
    <x v="500"/>
    <m/>
    <x v="0"/>
    <x v="48"/>
    <s v="Bachelor"/>
    <n v="12"/>
    <n v="137909"/>
    <x v="1"/>
    <x v="12"/>
    <x v="35"/>
    <n v="12"/>
    <n v="41"/>
    <n v="9"/>
    <x v="1"/>
    <x v="2"/>
    <n v="4.4000000000000004"/>
  </r>
  <r>
    <s v="E00550"/>
    <s v="FN551"/>
    <s v="LN551"/>
    <x v="0"/>
    <n v="52"/>
    <x v="1"/>
    <x v="4"/>
    <x v="0"/>
    <x v="2"/>
    <x v="1"/>
    <x v="380"/>
    <m/>
    <x v="0"/>
    <x v="53"/>
    <s v="Bachelor"/>
    <n v="18"/>
    <n v="166051"/>
    <x v="20"/>
    <x v="1"/>
    <x v="8"/>
    <n v="17"/>
    <n v="22"/>
    <n v="57"/>
    <x v="1"/>
    <x v="2"/>
    <n v="2.4"/>
  </r>
  <r>
    <s v="E00551"/>
    <s v="FN552"/>
    <s v="LN552"/>
    <x v="0"/>
    <n v="52"/>
    <x v="0"/>
    <x v="2"/>
    <x v="4"/>
    <x v="1"/>
    <x v="1"/>
    <x v="501"/>
    <m/>
    <x v="0"/>
    <x v="21"/>
    <s v="MBA"/>
    <n v="34"/>
    <n v="171124"/>
    <x v="12"/>
    <x v="23"/>
    <x v="18"/>
    <n v="11"/>
    <n v="50"/>
    <n v="19"/>
    <x v="1"/>
    <x v="0"/>
    <n v="2.2000000000000002"/>
  </r>
  <r>
    <s v="E00552"/>
    <s v="FN553"/>
    <s v="LN553"/>
    <x v="1"/>
    <n v="57"/>
    <x v="5"/>
    <x v="8"/>
    <x v="0"/>
    <x v="0"/>
    <x v="0"/>
    <x v="502"/>
    <m/>
    <x v="0"/>
    <x v="15"/>
    <s v="MBA"/>
    <n v="7"/>
    <n v="83935"/>
    <x v="6"/>
    <x v="21"/>
    <x v="16"/>
    <n v="17"/>
    <n v="59"/>
    <n v="48"/>
    <x v="1"/>
    <x v="1"/>
    <n v="10.5"/>
  </r>
  <r>
    <s v="E00553"/>
    <s v="FN554"/>
    <s v="LN554"/>
    <x v="1"/>
    <n v="38"/>
    <x v="5"/>
    <x v="2"/>
    <x v="3"/>
    <x v="0"/>
    <x v="0"/>
    <x v="503"/>
    <m/>
    <x v="0"/>
    <x v="64"/>
    <s v="MBA"/>
    <n v="22"/>
    <n v="163701"/>
    <x v="16"/>
    <x v="10"/>
    <x v="26"/>
    <n v="0"/>
    <n v="0"/>
    <n v="2"/>
    <x v="0"/>
    <x v="0"/>
    <n v="7.7"/>
  </r>
  <r>
    <s v="E00554"/>
    <s v="FN555"/>
    <s v="LN555"/>
    <x v="0"/>
    <n v="26"/>
    <x v="3"/>
    <x v="2"/>
    <x v="2"/>
    <x v="0"/>
    <x v="1"/>
    <x v="504"/>
    <m/>
    <x v="0"/>
    <x v="34"/>
    <s v="Bachelor"/>
    <n v="34"/>
    <n v="40915"/>
    <x v="9"/>
    <x v="25"/>
    <x v="11"/>
    <n v="14"/>
    <n v="36"/>
    <n v="3"/>
    <x v="1"/>
    <x v="0"/>
    <n v="1.7"/>
  </r>
  <r>
    <s v="E00555"/>
    <s v="FN556"/>
    <s v="LN556"/>
    <x v="1"/>
    <n v="43"/>
    <x v="5"/>
    <x v="8"/>
    <x v="3"/>
    <x v="2"/>
    <x v="0"/>
    <x v="505"/>
    <m/>
    <x v="0"/>
    <x v="76"/>
    <s v="Bachelor"/>
    <n v="26"/>
    <n v="57770"/>
    <x v="20"/>
    <x v="22"/>
    <x v="47"/>
    <n v="9"/>
    <n v="57"/>
    <n v="21"/>
    <x v="0"/>
    <x v="2"/>
    <n v="4.8"/>
  </r>
  <r>
    <s v="E00556"/>
    <s v="FN557"/>
    <s v="LN557"/>
    <x v="1"/>
    <n v="33"/>
    <x v="0"/>
    <x v="2"/>
    <x v="2"/>
    <x v="2"/>
    <x v="0"/>
    <x v="506"/>
    <m/>
    <x v="0"/>
    <x v="2"/>
    <s v="Bachelor"/>
    <n v="15"/>
    <n v="158249"/>
    <x v="17"/>
    <x v="1"/>
    <x v="5"/>
    <n v="16"/>
    <n v="16"/>
    <n v="31"/>
    <x v="0"/>
    <x v="1"/>
    <n v="2.7"/>
  </r>
  <r>
    <s v="E00557"/>
    <s v="FN558"/>
    <s v="LN558"/>
    <x v="0"/>
    <n v="53"/>
    <x v="5"/>
    <x v="8"/>
    <x v="4"/>
    <x v="2"/>
    <x v="0"/>
    <x v="507"/>
    <m/>
    <x v="0"/>
    <x v="38"/>
    <s v="MBA"/>
    <n v="15"/>
    <n v="139057"/>
    <x v="11"/>
    <x v="7"/>
    <x v="40"/>
    <n v="1"/>
    <n v="0"/>
    <n v="34"/>
    <x v="1"/>
    <x v="2"/>
    <n v="3"/>
  </r>
  <r>
    <s v="E00558"/>
    <s v="FN559"/>
    <s v="LN559"/>
    <x v="1"/>
    <n v="23"/>
    <x v="5"/>
    <x v="8"/>
    <x v="3"/>
    <x v="1"/>
    <x v="0"/>
    <x v="508"/>
    <m/>
    <x v="0"/>
    <x v="75"/>
    <s v="Bachelor"/>
    <n v="10"/>
    <n v="65334"/>
    <x v="17"/>
    <x v="21"/>
    <x v="4"/>
    <n v="19"/>
    <n v="32"/>
    <n v="68"/>
    <x v="0"/>
    <x v="0"/>
    <n v="8.1999999999999993"/>
  </r>
  <r>
    <s v="E00559"/>
    <s v="FN560"/>
    <s v="LN560"/>
    <x v="1"/>
    <n v="35"/>
    <x v="5"/>
    <x v="6"/>
    <x v="4"/>
    <x v="0"/>
    <x v="1"/>
    <x v="509"/>
    <m/>
    <x v="0"/>
    <x v="23"/>
    <s v="Bachelor"/>
    <n v="11"/>
    <n v="155966"/>
    <x v="20"/>
    <x v="23"/>
    <x v="0"/>
    <n v="19"/>
    <n v="0"/>
    <n v="7"/>
    <x v="1"/>
    <x v="1"/>
    <n v="1.1000000000000001"/>
  </r>
  <r>
    <s v="E00560"/>
    <s v="FN561"/>
    <s v="LN561"/>
    <x v="1"/>
    <n v="57"/>
    <x v="5"/>
    <x v="8"/>
    <x v="2"/>
    <x v="0"/>
    <x v="0"/>
    <x v="510"/>
    <m/>
    <x v="0"/>
    <x v="34"/>
    <s v="MBA"/>
    <n v="12"/>
    <n v="166166"/>
    <x v="17"/>
    <x v="17"/>
    <x v="14"/>
    <n v="2"/>
    <n v="39"/>
    <n v="70"/>
    <x v="0"/>
    <x v="1"/>
    <n v="0.8"/>
  </r>
  <r>
    <s v="E00561"/>
    <s v="FN562"/>
    <s v="LN562"/>
    <x v="1"/>
    <n v="22"/>
    <x v="2"/>
    <x v="7"/>
    <x v="2"/>
    <x v="0"/>
    <x v="0"/>
    <x v="511"/>
    <m/>
    <x v="0"/>
    <x v="75"/>
    <s v="Master"/>
    <n v="7"/>
    <n v="125364"/>
    <x v="2"/>
    <x v="10"/>
    <x v="29"/>
    <n v="9"/>
    <n v="26"/>
    <n v="58"/>
    <x v="1"/>
    <x v="1"/>
    <n v="6.3"/>
  </r>
  <r>
    <s v="E00562"/>
    <s v="FN563"/>
    <s v="LN563"/>
    <x v="1"/>
    <n v="56"/>
    <x v="0"/>
    <x v="0"/>
    <x v="2"/>
    <x v="2"/>
    <x v="1"/>
    <x v="512"/>
    <m/>
    <x v="0"/>
    <x v="68"/>
    <s v="Master"/>
    <n v="25"/>
    <n v="126812"/>
    <x v="19"/>
    <x v="2"/>
    <x v="42"/>
    <n v="18"/>
    <n v="33"/>
    <n v="58"/>
    <x v="1"/>
    <x v="1"/>
    <n v="4.9000000000000004"/>
  </r>
  <r>
    <s v="E00563"/>
    <s v="FN564"/>
    <s v="LN564"/>
    <x v="0"/>
    <n v="30"/>
    <x v="2"/>
    <x v="7"/>
    <x v="1"/>
    <x v="0"/>
    <x v="1"/>
    <x v="513"/>
    <m/>
    <x v="0"/>
    <x v="51"/>
    <s v="MBA"/>
    <n v="14"/>
    <n v="116774"/>
    <x v="17"/>
    <x v="2"/>
    <x v="48"/>
    <n v="14"/>
    <n v="29"/>
    <n v="19"/>
    <x v="1"/>
    <x v="0"/>
    <n v="6.7"/>
  </r>
  <r>
    <s v="E00564"/>
    <s v="FN565"/>
    <s v="LN565"/>
    <x v="0"/>
    <n v="36"/>
    <x v="1"/>
    <x v="4"/>
    <x v="4"/>
    <x v="2"/>
    <x v="0"/>
    <x v="151"/>
    <m/>
    <x v="0"/>
    <x v="50"/>
    <s v="MBA"/>
    <n v="1"/>
    <n v="158087"/>
    <x v="17"/>
    <x v="0"/>
    <x v="3"/>
    <n v="12"/>
    <n v="48"/>
    <n v="9"/>
    <x v="1"/>
    <x v="0"/>
    <n v="4.4000000000000004"/>
  </r>
  <r>
    <s v="E00565"/>
    <s v="FN566"/>
    <s v="LN566"/>
    <x v="0"/>
    <n v="43"/>
    <x v="1"/>
    <x v="4"/>
    <x v="0"/>
    <x v="1"/>
    <x v="1"/>
    <x v="514"/>
    <s v="2020-08-04"/>
    <x v="1"/>
    <x v="66"/>
    <s v="MBA"/>
    <n v="5"/>
    <n v="103999"/>
    <x v="8"/>
    <x v="4"/>
    <x v="30"/>
    <n v="7"/>
    <n v="42"/>
    <n v="66"/>
    <x v="1"/>
    <x v="2"/>
    <n v="8.6"/>
  </r>
  <r>
    <s v="E00566"/>
    <s v="FN567"/>
    <s v="LN567"/>
    <x v="0"/>
    <n v="28"/>
    <x v="1"/>
    <x v="4"/>
    <x v="1"/>
    <x v="0"/>
    <x v="0"/>
    <x v="515"/>
    <m/>
    <x v="0"/>
    <x v="49"/>
    <s v="Bachelor"/>
    <n v="29"/>
    <n v="159040"/>
    <x v="2"/>
    <x v="17"/>
    <x v="0"/>
    <n v="19"/>
    <n v="56"/>
    <n v="19"/>
    <x v="0"/>
    <x v="1"/>
    <n v="7.6"/>
  </r>
  <r>
    <s v="E00567"/>
    <s v="FN568"/>
    <s v="LN568"/>
    <x v="0"/>
    <n v="43"/>
    <x v="1"/>
    <x v="4"/>
    <x v="4"/>
    <x v="0"/>
    <x v="1"/>
    <x v="516"/>
    <m/>
    <x v="0"/>
    <x v="35"/>
    <s v="Master"/>
    <n v="30"/>
    <n v="82276"/>
    <x v="4"/>
    <x v="13"/>
    <x v="13"/>
    <n v="14"/>
    <n v="53"/>
    <n v="17"/>
    <x v="1"/>
    <x v="1"/>
    <n v="3.7"/>
  </r>
  <r>
    <s v="E00568"/>
    <s v="FN569"/>
    <s v="LN569"/>
    <x v="1"/>
    <n v="54"/>
    <x v="0"/>
    <x v="2"/>
    <x v="2"/>
    <x v="2"/>
    <x v="1"/>
    <x v="517"/>
    <m/>
    <x v="0"/>
    <x v="39"/>
    <s v="Bachelor"/>
    <n v="7"/>
    <n v="59831"/>
    <x v="19"/>
    <x v="4"/>
    <x v="3"/>
    <n v="9"/>
    <n v="38"/>
    <n v="20"/>
    <x v="1"/>
    <x v="0"/>
    <n v="1.5"/>
  </r>
  <r>
    <s v="E00569"/>
    <s v="FN570"/>
    <s v="LN570"/>
    <x v="1"/>
    <n v="26"/>
    <x v="3"/>
    <x v="2"/>
    <x v="1"/>
    <x v="1"/>
    <x v="0"/>
    <x v="518"/>
    <m/>
    <x v="0"/>
    <x v="32"/>
    <s v="MBA"/>
    <n v="24"/>
    <n v="149294"/>
    <x v="16"/>
    <x v="3"/>
    <x v="11"/>
    <n v="2"/>
    <n v="0"/>
    <n v="71"/>
    <x v="1"/>
    <x v="0"/>
    <n v="8.4"/>
  </r>
  <r>
    <s v="E00570"/>
    <s v="FN571"/>
    <s v="LN571"/>
    <x v="0"/>
    <n v="23"/>
    <x v="5"/>
    <x v="2"/>
    <x v="1"/>
    <x v="2"/>
    <x v="0"/>
    <x v="519"/>
    <m/>
    <x v="0"/>
    <x v="15"/>
    <s v="Master"/>
    <n v="32"/>
    <n v="61671"/>
    <x v="7"/>
    <x v="3"/>
    <x v="36"/>
    <n v="5"/>
    <n v="0"/>
    <n v="76"/>
    <x v="1"/>
    <x v="0"/>
    <n v="6.9"/>
  </r>
  <r>
    <s v="E00571"/>
    <s v="FN572"/>
    <s v="LN572"/>
    <x v="1"/>
    <n v="26"/>
    <x v="1"/>
    <x v="4"/>
    <x v="4"/>
    <x v="2"/>
    <x v="1"/>
    <x v="520"/>
    <m/>
    <x v="0"/>
    <x v="28"/>
    <s v="Master"/>
    <n v="21"/>
    <n v="93893"/>
    <x v="7"/>
    <x v="3"/>
    <x v="36"/>
    <n v="5"/>
    <n v="35"/>
    <n v="14"/>
    <x v="0"/>
    <x v="1"/>
    <n v="8.1999999999999993"/>
  </r>
  <r>
    <s v="E00572"/>
    <s v="FN573"/>
    <s v="LN573"/>
    <x v="1"/>
    <n v="24"/>
    <x v="2"/>
    <x v="3"/>
    <x v="0"/>
    <x v="0"/>
    <x v="1"/>
    <x v="521"/>
    <m/>
    <x v="0"/>
    <x v="57"/>
    <s v="MBA"/>
    <n v="18"/>
    <n v="165543"/>
    <x v="20"/>
    <x v="8"/>
    <x v="48"/>
    <n v="18"/>
    <n v="19"/>
    <n v="39"/>
    <x v="0"/>
    <x v="0"/>
    <n v="1.4"/>
  </r>
  <r>
    <s v="E00573"/>
    <s v="FN574"/>
    <s v="LN574"/>
    <x v="1"/>
    <n v="58"/>
    <x v="4"/>
    <x v="9"/>
    <x v="1"/>
    <x v="0"/>
    <x v="0"/>
    <x v="147"/>
    <m/>
    <x v="0"/>
    <x v="26"/>
    <s v="Master"/>
    <n v="35"/>
    <n v="135286"/>
    <x v="16"/>
    <x v="21"/>
    <x v="21"/>
    <n v="16"/>
    <n v="12"/>
    <n v="12"/>
    <x v="1"/>
    <x v="0"/>
    <n v="4.0999999999999996"/>
  </r>
  <r>
    <s v="E00574"/>
    <s v="FN575"/>
    <s v="LN575"/>
    <x v="1"/>
    <n v="46"/>
    <x v="3"/>
    <x v="2"/>
    <x v="0"/>
    <x v="0"/>
    <x v="0"/>
    <x v="77"/>
    <m/>
    <x v="0"/>
    <x v="32"/>
    <s v="Master"/>
    <n v="26"/>
    <n v="80183"/>
    <x v="13"/>
    <x v="10"/>
    <x v="10"/>
    <n v="3"/>
    <n v="6"/>
    <n v="37"/>
    <x v="1"/>
    <x v="1"/>
    <n v="5.0999999999999996"/>
  </r>
  <r>
    <s v="E00575"/>
    <s v="FN576"/>
    <s v="LN576"/>
    <x v="0"/>
    <n v="41"/>
    <x v="5"/>
    <x v="2"/>
    <x v="1"/>
    <x v="0"/>
    <x v="0"/>
    <x v="522"/>
    <m/>
    <x v="0"/>
    <x v="18"/>
    <s v="Master"/>
    <n v="21"/>
    <n v="71934"/>
    <x v="6"/>
    <x v="4"/>
    <x v="37"/>
    <n v="8"/>
    <n v="48"/>
    <n v="8"/>
    <x v="1"/>
    <x v="0"/>
    <n v="7.3"/>
  </r>
  <r>
    <s v="E00576"/>
    <s v="FN577"/>
    <s v="LN577"/>
    <x v="0"/>
    <n v="40"/>
    <x v="0"/>
    <x v="0"/>
    <x v="4"/>
    <x v="1"/>
    <x v="1"/>
    <x v="523"/>
    <m/>
    <x v="0"/>
    <x v="61"/>
    <s v="MBA"/>
    <n v="1"/>
    <n v="107779"/>
    <x v="15"/>
    <x v="11"/>
    <x v="47"/>
    <n v="12"/>
    <n v="60"/>
    <n v="65"/>
    <x v="1"/>
    <x v="2"/>
    <n v="0.6"/>
  </r>
  <r>
    <s v="E00577"/>
    <s v="FN578"/>
    <s v="LN578"/>
    <x v="1"/>
    <n v="31"/>
    <x v="4"/>
    <x v="6"/>
    <x v="1"/>
    <x v="2"/>
    <x v="0"/>
    <x v="524"/>
    <m/>
    <x v="0"/>
    <x v="77"/>
    <s v="Master"/>
    <n v="31"/>
    <n v="104964"/>
    <x v="13"/>
    <x v="0"/>
    <x v="10"/>
    <n v="12"/>
    <n v="9"/>
    <n v="53"/>
    <x v="1"/>
    <x v="2"/>
    <n v="7.3"/>
  </r>
  <r>
    <s v="E00578"/>
    <s v="FN579"/>
    <s v="LN579"/>
    <x v="0"/>
    <n v="25"/>
    <x v="1"/>
    <x v="4"/>
    <x v="1"/>
    <x v="0"/>
    <x v="0"/>
    <x v="525"/>
    <m/>
    <x v="0"/>
    <x v="14"/>
    <s v="MBA"/>
    <n v="21"/>
    <n v="108235"/>
    <x v="18"/>
    <x v="18"/>
    <x v="13"/>
    <n v="6"/>
    <n v="39"/>
    <n v="9"/>
    <x v="1"/>
    <x v="2"/>
    <n v="2.5"/>
  </r>
  <r>
    <s v="E00579"/>
    <s v="FN580"/>
    <s v="LN580"/>
    <x v="1"/>
    <n v="57"/>
    <x v="0"/>
    <x v="2"/>
    <x v="2"/>
    <x v="2"/>
    <x v="1"/>
    <x v="526"/>
    <m/>
    <x v="0"/>
    <x v="19"/>
    <s v="Master"/>
    <n v="13"/>
    <n v="157988"/>
    <x v="19"/>
    <x v="16"/>
    <x v="32"/>
    <n v="15"/>
    <n v="37"/>
    <n v="6"/>
    <x v="0"/>
    <x v="0"/>
    <n v="9.1"/>
  </r>
  <r>
    <s v="E00580"/>
    <s v="FN581"/>
    <s v="LN581"/>
    <x v="1"/>
    <n v="56"/>
    <x v="2"/>
    <x v="7"/>
    <x v="3"/>
    <x v="0"/>
    <x v="1"/>
    <x v="527"/>
    <s v="2019-10-10"/>
    <x v="1"/>
    <x v="54"/>
    <s v="Master"/>
    <n v="15"/>
    <n v="111044"/>
    <x v="10"/>
    <x v="8"/>
    <x v="49"/>
    <n v="20"/>
    <n v="45"/>
    <n v="19"/>
    <x v="0"/>
    <x v="2"/>
    <n v="8.4"/>
  </r>
  <r>
    <s v="E00581"/>
    <s v="FN582"/>
    <s v="LN582"/>
    <x v="1"/>
    <n v="52"/>
    <x v="5"/>
    <x v="6"/>
    <x v="3"/>
    <x v="2"/>
    <x v="1"/>
    <x v="180"/>
    <m/>
    <x v="0"/>
    <x v="74"/>
    <s v="MBA"/>
    <n v="29"/>
    <n v="157903"/>
    <x v="16"/>
    <x v="5"/>
    <x v="10"/>
    <n v="13"/>
    <n v="25"/>
    <n v="62"/>
    <x v="1"/>
    <x v="1"/>
    <n v="8.4"/>
  </r>
  <r>
    <s v="E00582"/>
    <s v="FN583"/>
    <s v="LN583"/>
    <x v="1"/>
    <n v="33"/>
    <x v="5"/>
    <x v="6"/>
    <x v="2"/>
    <x v="2"/>
    <x v="0"/>
    <x v="528"/>
    <m/>
    <x v="0"/>
    <x v="29"/>
    <s v="MBA"/>
    <n v="4"/>
    <n v="87203"/>
    <x v="8"/>
    <x v="22"/>
    <x v="15"/>
    <n v="9"/>
    <n v="40"/>
    <n v="33"/>
    <x v="0"/>
    <x v="0"/>
    <n v="5.3"/>
  </r>
  <r>
    <s v="E00583"/>
    <s v="FN584"/>
    <s v="LN584"/>
    <x v="1"/>
    <n v="51"/>
    <x v="3"/>
    <x v="2"/>
    <x v="2"/>
    <x v="0"/>
    <x v="1"/>
    <x v="529"/>
    <m/>
    <x v="0"/>
    <x v="1"/>
    <s v="MBA"/>
    <n v="35"/>
    <n v="144097"/>
    <x v="16"/>
    <x v="9"/>
    <x v="14"/>
    <n v="11"/>
    <n v="18"/>
    <n v="59"/>
    <x v="0"/>
    <x v="2"/>
    <n v="1.1000000000000001"/>
  </r>
  <r>
    <s v="E00584"/>
    <s v="FN585"/>
    <s v="LN585"/>
    <x v="0"/>
    <n v="45"/>
    <x v="2"/>
    <x v="3"/>
    <x v="1"/>
    <x v="0"/>
    <x v="0"/>
    <x v="530"/>
    <s v="2023-05-12"/>
    <x v="1"/>
    <x v="33"/>
    <s v="Bachelor"/>
    <n v="34"/>
    <n v="145389"/>
    <x v="1"/>
    <x v="3"/>
    <x v="4"/>
    <n v="14"/>
    <n v="28"/>
    <n v="13"/>
    <x v="1"/>
    <x v="0"/>
    <n v="7.8"/>
  </r>
  <r>
    <s v="E00585"/>
    <s v="FN586"/>
    <s v="LN586"/>
    <x v="1"/>
    <n v="26"/>
    <x v="1"/>
    <x v="1"/>
    <x v="4"/>
    <x v="2"/>
    <x v="0"/>
    <x v="531"/>
    <m/>
    <x v="0"/>
    <x v="48"/>
    <s v="Bachelor"/>
    <n v="6"/>
    <n v="96582"/>
    <x v="1"/>
    <x v="12"/>
    <x v="17"/>
    <n v="4"/>
    <n v="5"/>
    <n v="2"/>
    <x v="0"/>
    <x v="2"/>
    <n v="4.7"/>
  </r>
  <r>
    <s v="E00586"/>
    <s v="FN587"/>
    <s v="LN587"/>
    <x v="1"/>
    <n v="54"/>
    <x v="2"/>
    <x v="7"/>
    <x v="0"/>
    <x v="2"/>
    <x v="1"/>
    <x v="67"/>
    <m/>
    <x v="0"/>
    <x v="58"/>
    <s v="Bachelor"/>
    <n v="5"/>
    <n v="137935"/>
    <x v="9"/>
    <x v="20"/>
    <x v="35"/>
    <n v="0"/>
    <n v="29"/>
    <n v="56"/>
    <x v="0"/>
    <x v="2"/>
    <n v="6.9"/>
  </r>
  <r>
    <s v="E00587"/>
    <s v="FN588"/>
    <s v="LN588"/>
    <x v="0"/>
    <n v="36"/>
    <x v="4"/>
    <x v="2"/>
    <x v="2"/>
    <x v="1"/>
    <x v="1"/>
    <x v="532"/>
    <s v="2028-04-20"/>
    <x v="1"/>
    <x v="23"/>
    <s v="Bachelor"/>
    <n v="22"/>
    <n v="150684"/>
    <x v="3"/>
    <x v="10"/>
    <x v="47"/>
    <n v="14"/>
    <n v="18"/>
    <n v="30"/>
    <x v="1"/>
    <x v="1"/>
    <n v="3.3"/>
  </r>
  <r>
    <s v="E00588"/>
    <s v="FN589"/>
    <s v="LN589"/>
    <x v="1"/>
    <n v="45"/>
    <x v="5"/>
    <x v="2"/>
    <x v="0"/>
    <x v="1"/>
    <x v="1"/>
    <x v="533"/>
    <m/>
    <x v="0"/>
    <x v="5"/>
    <s v="Master"/>
    <n v="11"/>
    <n v="50401"/>
    <x v="14"/>
    <x v="14"/>
    <x v="22"/>
    <n v="13"/>
    <n v="27"/>
    <n v="10"/>
    <x v="1"/>
    <x v="0"/>
    <n v="8.3000000000000007"/>
  </r>
  <r>
    <s v="E00589"/>
    <s v="FN590"/>
    <s v="LN590"/>
    <x v="1"/>
    <n v="47"/>
    <x v="1"/>
    <x v="4"/>
    <x v="1"/>
    <x v="0"/>
    <x v="1"/>
    <x v="534"/>
    <m/>
    <x v="0"/>
    <x v="23"/>
    <s v="MBA"/>
    <n v="19"/>
    <n v="71629"/>
    <x v="15"/>
    <x v="4"/>
    <x v="3"/>
    <n v="10"/>
    <n v="49"/>
    <n v="27"/>
    <x v="0"/>
    <x v="1"/>
    <n v="4.5999999999999996"/>
  </r>
  <r>
    <s v="E00590"/>
    <s v="FN591"/>
    <s v="LN591"/>
    <x v="0"/>
    <n v="41"/>
    <x v="1"/>
    <x v="4"/>
    <x v="4"/>
    <x v="2"/>
    <x v="0"/>
    <x v="535"/>
    <s v="2024-05-10"/>
    <x v="1"/>
    <x v="12"/>
    <s v="Bachelor"/>
    <n v="35"/>
    <n v="89282"/>
    <x v="13"/>
    <x v="18"/>
    <x v="50"/>
    <n v="4"/>
    <n v="45"/>
    <n v="42"/>
    <x v="1"/>
    <x v="2"/>
    <n v="7.6"/>
  </r>
  <r>
    <s v="E00591"/>
    <s v="FN592"/>
    <s v="LN592"/>
    <x v="1"/>
    <n v="44"/>
    <x v="5"/>
    <x v="8"/>
    <x v="0"/>
    <x v="1"/>
    <x v="0"/>
    <x v="536"/>
    <m/>
    <x v="0"/>
    <x v="39"/>
    <s v="Master"/>
    <n v="25"/>
    <n v="164220"/>
    <x v="1"/>
    <x v="20"/>
    <x v="2"/>
    <n v="16"/>
    <n v="1"/>
    <n v="30"/>
    <x v="1"/>
    <x v="0"/>
    <n v="1.8"/>
  </r>
  <r>
    <s v="E00592"/>
    <s v="FN593"/>
    <s v="LN593"/>
    <x v="1"/>
    <n v="32"/>
    <x v="2"/>
    <x v="3"/>
    <x v="0"/>
    <x v="0"/>
    <x v="1"/>
    <x v="63"/>
    <s v="2028-03-06"/>
    <x v="1"/>
    <x v="57"/>
    <s v="Bachelor"/>
    <n v="31"/>
    <n v="51503"/>
    <x v="11"/>
    <x v="10"/>
    <x v="42"/>
    <n v="1"/>
    <n v="4"/>
    <n v="4"/>
    <x v="1"/>
    <x v="1"/>
    <n v="6"/>
  </r>
  <r>
    <s v="E00593"/>
    <s v="FN594"/>
    <s v="LN594"/>
    <x v="0"/>
    <n v="39"/>
    <x v="1"/>
    <x v="1"/>
    <x v="3"/>
    <x v="2"/>
    <x v="0"/>
    <x v="476"/>
    <m/>
    <x v="0"/>
    <x v="8"/>
    <s v="Master"/>
    <n v="11"/>
    <n v="123117"/>
    <x v="13"/>
    <x v="16"/>
    <x v="17"/>
    <n v="2"/>
    <n v="27"/>
    <n v="26"/>
    <x v="1"/>
    <x v="0"/>
    <n v="5.3"/>
  </r>
  <r>
    <s v="E00594"/>
    <s v="FN595"/>
    <s v="LN595"/>
    <x v="1"/>
    <n v="28"/>
    <x v="2"/>
    <x v="5"/>
    <x v="4"/>
    <x v="0"/>
    <x v="0"/>
    <x v="537"/>
    <m/>
    <x v="0"/>
    <x v="62"/>
    <s v="MBA"/>
    <n v="22"/>
    <n v="116857"/>
    <x v="10"/>
    <x v="10"/>
    <x v="12"/>
    <n v="1"/>
    <n v="50"/>
    <n v="38"/>
    <x v="0"/>
    <x v="1"/>
    <n v="1.4"/>
  </r>
  <r>
    <s v="E00595"/>
    <s v="FN596"/>
    <s v="LN596"/>
    <x v="1"/>
    <n v="60"/>
    <x v="0"/>
    <x v="0"/>
    <x v="0"/>
    <x v="1"/>
    <x v="1"/>
    <x v="538"/>
    <m/>
    <x v="0"/>
    <x v="52"/>
    <s v="Bachelor"/>
    <n v="25"/>
    <n v="110330"/>
    <x v="0"/>
    <x v="23"/>
    <x v="31"/>
    <n v="10"/>
    <n v="18"/>
    <n v="60"/>
    <x v="1"/>
    <x v="1"/>
    <n v="0.2"/>
  </r>
  <r>
    <s v="E00596"/>
    <s v="FN597"/>
    <s v="LN597"/>
    <x v="1"/>
    <n v="30"/>
    <x v="4"/>
    <x v="6"/>
    <x v="3"/>
    <x v="2"/>
    <x v="0"/>
    <x v="539"/>
    <m/>
    <x v="0"/>
    <x v="11"/>
    <s v="Bachelor"/>
    <n v="20"/>
    <n v="126191"/>
    <x v="18"/>
    <x v="8"/>
    <x v="21"/>
    <n v="6"/>
    <n v="58"/>
    <n v="42"/>
    <x v="0"/>
    <x v="0"/>
    <n v="6.8"/>
  </r>
  <r>
    <s v="E00597"/>
    <s v="FN598"/>
    <s v="LN598"/>
    <x v="1"/>
    <n v="38"/>
    <x v="0"/>
    <x v="0"/>
    <x v="0"/>
    <x v="2"/>
    <x v="1"/>
    <x v="540"/>
    <s v="2025-11-08"/>
    <x v="1"/>
    <x v="51"/>
    <s v="Master"/>
    <n v="28"/>
    <n v="156141"/>
    <x v="3"/>
    <x v="2"/>
    <x v="16"/>
    <n v="8"/>
    <n v="20"/>
    <n v="80"/>
    <x v="0"/>
    <x v="1"/>
    <n v="8.8000000000000007"/>
  </r>
  <r>
    <s v="E00598"/>
    <s v="FN599"/>
    <s v="LN599"/>
    <x v="1"/>
    <n v="51"/>
    <x v="5"/>
    <x v="2"/>
    <x v="2"/>
    <x v="2"/>
    <x v="1"/>
    <x v="285"/>
    <m/>
    <x v="0"/>
    <x v="67"/>
    <s v="Bachelor"/>
    <n v="0"/>
    <n v="141762"/>
    <x v="3"/>
    <x v="23"/>
    <x v="28"/>
    <n v="3"/>
    <n v="27"/>
    <n v="73"/>
    <x v="0"/>
    <x v="1"/>
    <n v="7.1"/>
  </r>
  <r>
    <s v="E00599"/>
    <s v="FN600"/>
    <s v="LN600"/>
    <x v="0"/>
    <n v="48"/>
    <x v="1"/>
    <x v="1"/>
    <x v="3"/>
    <x v="1"/>
    <x v="0"/>
    <x v="541"/>
    <s v="2026-04-19"/>
    <x v="1"/>
    <x v="64"/>
    <s v="Bachelor"/>
    <n v="25"/>
    <n v="161040"/>
    <x v="2"/>
    <x v="9"/>
    <x v="15"/>
    <n v="7"/>
    <n v="6"/>
    <n v="34"/>
    <x v="0"/>
    <x v="0"/>
    <n v="6.6"/>
  </r>
  <r>
    <s v="E00600"/>
    <s v="FN601"/>
    <s v="LN601"/>
    <x v="0"/>
    <n v="54"/>
    <x v="4"/>
    <x v="9"/>
    <x v="3"/>
    <x v="0"/>
    <x v="0"/>
    <x v="542"/>
    <m/>
    <x v="0"/>
    <x v="64"/>
    <s v="MBA"/>
    <n v="8"/>
    <n v="173748"/>
    <x v="15"/>
    <x v="22"/>
    <x v="28"/>
    <n v="15"/>
    <n v="54"/>
    <n v="71"/>
    <x v="0"/>
    <x v="2"/>
    <n v="8.3000000000000007"/>
  </r>
  <r>
    <s v="E00601"/>
    <s v="FN602"/>
    <s v="LN602"/>
    <x v="0"/>
    <n v="31"/>
    <x v="5"/>
    <x v="6"/>
    <x v="1"/>
    <x v="1"/>
    <x v="0"/>
    <x v="504"/>
    <m/>
    <x v="0"/>
    <x v="3"/>
    <s v="MBA"/>
    <n v="12"/>
    <n v="52143"/>
    <x v="10"/>
    <x v="2"/>
    <x v="32"/>
    <n v="1"/>
    <n v="1"/>
    <n v="13"/>
    <x v="1"/>
    <x v="1"/>
    <n v="1.7"/>
  </r>
  <r>
    <s v="E00602"/>
    <s v="FN603"/>
    <s v="LN603"/>
    <x v="0"/>
    <n v="39"/>
    <x v="4"/>
    <x v="2"/>
    <x v="4"/>
    <x v="0"/>
    <x v="1"/>
    <x v="463"/>
    <m/>
    <x v="0"/>
    <x v="32"/>
    <s v="Master"/>
    <n v="18"/>
    <n v="77045"/>
    <x v="12"/>
    <x v="10"/>
    <x v="4"/>
    <n v="19"/>
    <n v="34"/>
    <n v="67"/>
    <x v="1"/>
    <x v="1"/>
    <n v="3"/>
  </r>
  <r>
    <s v="E00603"/>
    <s v="FN604"/>
    <s v="LN604"/>
    <x v="0"/>
    <n v="23"/>
    <x v="3"/>
    <x v="10"/>
    <x v="1"/>
    <x v="2"/>
    <x v="1"/>
    <x v="543"/>
    <m/>
    <x v="0"/>
    <x v="46"/>
    <s v="Bachelor"/>
    <n v="23"/>
    <n v="120696"/>
    <x v="9"/>
    <x v="2"/>
    <x v="27"/>
    <n v="19"/>
    <n v="43"/>
    <n v="6"/>
    <x v="0"/>
    <x v="1"/>
    <n v="9.8000000000000007"/>
  </r>
  <r>
    <s v="E00604"/>
    <s v="FN605"/>
    <s v="LN605"/>
    <x v="1"/>
    <n v="26"/>
    <x v="4"/>
    <x v="6"/>
    <x v="0"/>
    <x v="0"/>
    <x v="1"/>
    <x v="544"/>
    <m/>
    <x v="0"/>
    <x v="58"/>
    <s v="Bachelor"/>
    <n v="20"/>
    <n v="174923"/>
    <x v="14"/>
    <x v="0"/>
    <x v="23"/>
    <n v="4"/>
    <n v="48"/>
    <n v="29"/>
    <x v="1"/>
    <x v="2"/>
    <n v="10.3"/>
  </r>
  <r>
    <s v="E00605"/>
    <s v="FN606"/>
    <s v="LN606"/>
    <x v="1"/>
    <n v="36"/>
    <x v="5"/>
    <x v="8"/>
    <x v="0"/>
    <x v="1"/>
    <x v="1"/>
    <x v="545"/>
    <s v="2019-07-11"/>
    <x v="1"/>
    <x v="18"/>
    <s v="MBA"/>
    <n v="26"/>
    <n v="56185"/>
    <x v="9"/>
    <x v="12"/>
    <x v="5"/>
    <n v="12"/>
    <n v="6"/>
    <n v="79"/>
    <x v="0"/>
    <x v="0"/>
    <n v="8.9"/>
  </r>
  <r>
    <s v="E00606"/>
    <s v="FN607"/>
    <s v="LN607"/>
    <x v="0"/>
    <n v="58"/>
    <x v="5"/>
    <x v="6"/>
    <x v="0"/>
    <x v="2"/>
    <x v="1"/>
    <x v="546"/>
    <s v="2030-06-02"/>
    <x v="1"/>
    <x v="18"/>
    <s v="Master"/>
    <n v="32"/>
    <n v="131102"/>
    <x v="1"/>
    <x v="2"/>
    <x v="19"/>
    <n v="6"/>
    <n v="12"/>
    <n v="46"/>
    <x v="1"/>
    <x v="0"/>
    <n v="2.4"/>
  </r>
  <r>
    <s v="E00607"/>
    <s v="FN608"/>
    <s v="LN608"/>
    <x v="1"/>
    <n v="34"/>
    <x v="4"/>
    <x v="9"/>
    <x v="4"/>
    <x v="1"/>
    <x v="1"/>
    <x v="47"/>
    <m/>
    <x v="0"/>
    <x v="21"/>
    <s v="Bachelor"/>
    <n v="29"/>
    <n v="143649"/>
    <x v="4"/>
    <x v="4"/>
    <x v="15"/>
    <n v="6"/>
    <n v="17"/>
    <n v="2"/>
    <x v="1"/>
    <x v="2"/>
    <n v="6.9"/>
  </r>
  <r>
    <s v="E00608"/>
    <s v="FN609"/>
    <s v="LN609"/>
    <x v="0"/>
    <n v="25"/>
    <x v="3"/>
    <x v="10"/>
    <x v="2"/>
    <x v="0"/>
    <x v="0"/>
    <x v="547"/>
    <m/>
    <x v="0"/>
    <x v="62"/>
    <s v="Bachelor"/>
    <n v="19"/>
    <n v="102252"/>
    <x v="1"/>
    <x v="19"/>
    <x v="25"/>
    <n v="14"/>
    <n v="28"/>
    <n v="31"/>
    <x v="1"/>
    <x v="2"/>
    <n v="1.9"/>
  </r>
  <r>
    <s v="E00609"/>
    <s v="FN610"/>
    <s v="LN610"/>
    <x v="1"/>
    <n v="39"/>
    <x v="0"/>
    <x v="2"/>
    <x v="4"/>
    <x v="1"/>
    <x v="1"/>
    <x v="548"/>
    <m/>
    <x v="0"/>
    <x v="72"/>
    <s v="MBA"/>
    <n v="7"/>
    <n v="86473"/>
    <x v="14"/>
    <x v="9"/>
    <x v="15"/>
    <n v="14"/>
    <n v="36"/>
    <n v="40"/>
    <x v="1"/>
    <x v="2"/>
    <n v="9.3000000000000007"/>
  </r>
  <r>
    <s v="E00610"/>
    <s v="FN611"/>
    <s v="LN611"/>
    <x v="1"/>
    <n v="39"/>
    <x v="1"/>
    <x v="1"/>
    <x v="3"/>
    <x v="2"/>
    <x v="1"/>
    <x v="549"/>
    <m/>
    <x v="0"/>
    <x v="35"/>
    <s v="MBA"/>
    <n v="24"/>
    <n v="93477"/>
    <x v="4"/>
    <x v="18"/>
    <x v="23"/>
    <n v="19"/>
    <n v="38"/>
    <n v="25"/>
    <x v="0"/>
    <x v="0"/>
    <n v="5.3"/>
  </r>
  <r>
    <s v="E00611"/>
    <s v="FN612"/>
    <s v="LN612"/>
    <x v="1"/>
    <n v="51"/>
    <x v="3"/>
    <x v="2"/>
    <x v="0"/>
    <x v="0"/>
    <x v="0"/>
    <x v="550"/>
    <m/>
    <x v="0"/>
    <x v="46"/>
    <s v="Master"/>
    <n v="16"/>
    <n v="123184"/>
    <x v="13"/>
    <x v="18"/>
    <x v="42"/>
    <n v="0"/>
    <n v="36"/>
    <n v="41"/>
    <x v="1"/>
    <x v="2"/>
    <n v="6.6"/>
  </r>
  <r>
    <s v="E00612"/>
    <s v="FN613"/>
    <s v="LN613"/>
    <x v="0"/>
    <n v="35"/>
    <x v="1"/>
    <x v="4"/>
    <x v="3"/>
    <x v="2"/>
    <x v="1"/>
    <x v="551"/>
    <m/>
    <x v="0"/>
    <x v="55"/>
    <s v="Bachelor"/>
    <n v="21"/>
    <n v="153360"/>
    <x v="12"/>
    <x v="7"/>
    <x v="45"/>
    <n v="16"/>
    <n v="11"/>
    <n v="48"/>
    <x v="0"/>
    <x v="0"/>
    <n v="9.6"/>
  </r>
  <r>
    <s v="E00613"/>
    <s v="FN614"/>
    <s v="LN614"/>
    <x v="0"/>
    <n v="46"/>
    <x v="5"/>
    <x v="2"/>
    <x v="2"/>
    <x v="1"/>
    <x v="0"/>
    <x v="552"/>
    <m/>
    <x v="0"/>
    <x v="72"/>
    <s v="MBA"/>
    <n v="2"/>
    <n v="49644"/>
    <x v="12"/>
    <x v="16"/>
    <x v="49"/>
    <n v="7"/>
    <n v="56"/>
    <n v="7"/>
    <x v="0"/>
    <x v="1"/>
    <n v="8.1"/>
  </r>
  <r>
    <s v="E00614"/>
    <s v="FN615"/>
    <s v="LN615"/>
    <x v="1"/>
    <n v="40"/>
    <x v="2"/>
    <x v="7"/>
    <x v="3"/>
    <x v="0"/>
    <x v="0"/>
    <x v="553"/>
    <m/>
    <x v="0"/>
    <x v="62"/>
    <s v="MBA"/>
    <n v="4"/>
    <n v="71514"/>
    <x v="18"/>
    <x v="8"/>
    <x v="33"/>
    <n v="14"/>
    <n v="33"/>
    <n v="78"/>
    <x v="1"/>
    <x v="1"/>
    <n v="8.6"/>
  </r>
  <r>
    <s v="E00615"/>
    <s v="FN616"/>
    <s v="LN616"/>
    <x v="0"/>
    <n v="26"/>
    <x v="2"/>
    <x v="3"/>
    <x v="4"/>
    <x v="0"/>
    <x v="1"/>
    <x v="554"/>
    <s v="2025-09-26"/>
    <x v="1"/>
    <x v="46"/>
    <s v="Bachelor"/>
    <n v="33"/>
    <n v="171586"/>
    <x v="18"/>
    <x v="3"/>
    <x v="24"/>
    <n v="10"/>
    <n v="39"/>
    <n v="75"/>
    <x v="1"/>
    <x v="0"/>
    <n v="2.2999999999999998"/>
  </r>
  <r>
    <s v="E00616"/>
    <s v="FN617"/>
    <s v="LN617"/>
    <x v="0"/>
    <n v="45"/>
    <x v="3"/>
    <x v="2"/>
    <x v="2"/>
    <x v="1"/>
    <x v="1"/>
    <x v="555"/>
    <s v="2027-07-21"/>
    <x v="1"/>
    <x v="26"/>
    <s v="MBA"/>
    <n v="34"/>
    <n v="87489"/>
    <x v="19"/>
    <x v="2"/>
    <x v="42"/>
    <n v="11"/>
    <n v="8"/>
    <n v="68"/>
    <x v="1"/>
    <x v="0"/>
    <n v="2.2999999999999998"/>
  </r>
  <r>
    <s v="E00617"/>
    <s v="FN618"/>
    <s v="LN618"/>
    <x v="1"/>
    <n v="32"/>
    <x v="2"/>
    <x v="3"/>
    <x v="1"/>
    <x v="2"/>
    <x v="0"/>
    <x v="556"/>
    <m/>
    <x v="0"/>
    <x v="9"/>
    <s v="Bachelor"/>
    <n v="22"/>
    <n v="70853"/>
    <x v="7"/>
    <x v="20"/>
    <x v="30"/>
    <n v="15"/>
    <n v="24"/>
    <n v="3"/>
    <x v="1"/>
    <x v="0"/>
    <n v="2.2999999999999998"/>
  </r>
  <r>
    <s v="E00618"/>
    <s v="FN619"/>
    <s v="LN619"/>
    <x v="0"/>
    <n v="47"/>
    <x v="1"/>
    <x v="4"/>
    <x v="3"/>
    <x v="2"/>
    <x v="0"/>
    <x v="557"/>
    <s v="2023-05-17"/>
    <x v="1"/>
    <x v="75"/>
    <s v="Master"/>
    <n v="26"/>
    <n v="98521"/>
    <x v="18"/>
    <x v="0"/>
    <x v="4"/>
    <n v="11"/>
    <n v="4"/>
    <n v="78"/>
    <x v="0"/>
    <x v="0"/>
    <n v="9.6999999999999993"/>
  </r>
  <r>
    <s v="E00619"/>
    <s v="FN620"/>
    <s v="LN620"/>
    <x v="0"/>
    <n v="26"/>
    <x v="3"/>
    <x v="2"/>
    <x v="4"/>
    <x v="2"/>
    <x v="0"/>
    <x v="558"/>
    <m/>
    <x v="0"/>
    <x v="62"/>
    <s v="MBA"/>
    <n v="2"/>
    <n v="114961"/>
    <x v="8"/>
    <x v="22"/>
    <x v="48"/>
    <n v="14"/>
    <n v="37"/>
    <n v="36"/>
    <x v="1"/>
    <x v="0"/>
    <n v="4.5999999999999996"/>
  </r>
  <r>
    <s v="E00620"/>
    <s v="FN621"/>
    <s v="LN621"/>
    <x v="0"/>
    <n v="35"/>
    <x v="0"/>
    <x v="0"/>
    <x v="0"/>
    <x v="2"/>
    <x v="0"/>
    <x v="559"/>
    <m/>
    <x v="0"/>
    <x v="15"/>
    <s v="MBA"/>
    <n v="34"/>
    <n v="118096"/>
    <x v="7"/>
    <x v="25"/>
    <x v="21"/>
    <n v="6"/>
    <n v="46"/>
    <n v="57"/>
    <x v="1"/>
    <x v="2"/>
    <n v="7"/>
  </r>
  <r>
    <s v="E00621"/>
    <s v="FN622"/>
    <s v="LN622"/>
    <x v="1"/>
    <n v="28"/>
    <x v="2"/>
    <x v="5"/>
    <x v="2"/>
    <x v="0"/>
    <x v="0"/>
    <x v="560"/>
    <m/>
    <x v="0"/>
    <x v="35"/>
    <s v="MBA"/>
    <n v="28"/>
    <n v="71752"/>
    <x v="15"/>
    <x v="19"/>
    <x v="11"/>
    <n v="12"/>
    <n v="1"/>
    <n v="37"/>
    <x v="1"/>
    <x v="0"/>
    <n v="5.3"/>
  </r>
  <r>
    <s v="E00622"/>
    <s v="FN623"/>
    <s v="LN623"/>
    <x v="1"/>
    <n v="24"/>
    <x v="4"/>
    <x v="9"/>
    <x v="0"/>
    <x v="1"/>
    <x v="0"/>
    <x v="561"/>
    <m/>
    <x v="0"/>
    <x v="14"/>
    <s v="MBA"/>
    <n v="30"/>
    <n v="151773"/>
    <x v="15"/>
    <x v="22"/>
    <x v="41"/>
    <n v="7"/>
    <n v="6"/>
    <n v="37"/>
    <x v="1"/>
    <x v="0"/>
    <n v="3.7"/>
  </r>
  <r>
    <s v="E00623"/>
    <s v="FN624"/>
    <s v="LN624"/>
    <x v="0"/>
    <n v="32"/>
    <x v="4"/>
    <x v="6"/>
    <x v="1"/>
    <x v="0"/>
    <x v="0"/>
    <x v="562"/>
    <m/>
    <x v="0"/>
    <x v="28"/>
    <s v="MBA"/>
    <n v="21"/>
    <n v="129504"/>
    <x v="5"/>
    <x v="9"/>
    <x v="1"/>
    <n v="7"/>
    <n v="14"/>
    <n v="36"/>
    <x v="1"/>
    <x v="2"/>
    <n v="6.3"/>
  </r>
  <r>
    <s v="E00624"/>
    <s v="FN625"/>
    <s v="LN625"/>
    <x v="0"/>
    <n v="36"/>
    <x v="0"/>
    <x v="0"/>
    <x v="3"/>
    <x v="2"/>
    <x v="0"/>
    <x v="563"/>
    <s v="2028-07-01"/>
    <x v="1"/>
    <x v="27"/>
    <s v="MBA"/>
    <n v="9"/>
    <n v="161227"/>
    <x v="5"/>
    <x v="3"/>
    <x v="11"/>
    <n v="11"/>
    <n v="27"/>
    <n v="62"/>
    <x v="0"/>
    <x v="1"/>
    <n v="3.4"/>
  </r>
  <r>
    <s v="E00625"/>
    <s v="FN626"/>
    <s v="LN626"/>
    <x v="0"/>
    <n v="59"/>
    <x v="2"/>
    <x v="7"/>
    <x v="1"/>
    <x v="1"/>
    <x v="0"/>
    <x v="564"/>
    <m/>
    <x v="0"/>
    <x v="42"/>
    <s v="Master"/>
    <n v="3"/>
    <n v="86630"/>
    <x v="2"/>
    <x v="17"/>
    <x v="12"/>
    <n v="0"/>
    <n v="56"/>
    <n v="53"/>
    <x v="0"/>
    <x v="2"/>
    <n v="10.4"/>
  </r>
  <r>
    <s v="E00626"/>
    <s v="FN627"/>
    <s v="LN627"/>
    <x v="1"/>
    <n v="23"/>
    <x v="3"/>
    <x v="10"/>
    <x v="0"/>
    <x v="1"/>
    <x v="0"/>
    <x v="565"/>
    <m/>
    <x v="0"/>
    <x v="78"/>
    <s v="Master"/>
    <n v="10"/>
    <n v="169870"/>
    <x v="1"/>
    <x v="25"/>
    <x v="42"/>
    <n v="9"/>
    <n v="56"/>
    <n v="15"/>
    <x v="1"/>
    <x v="2"/>
    <n v="7.7"/>
  </r>
  <r>
    <s v="E00627"/>
    <s v="FN628"/>
    <s v="LN628"/>
    <x v="1"/>
    <n v="57"/>
    <x v="0"/>
    <x v="2"/>
    <x v="3"/>
    <x v="1"/>
    <x v="1"/>
    <x v="566"/>
    <m/>
    <x v="0"/>
    <x v="75"/>
    <s v="Master"/>
    <n v="5"/>
    <n v="135745"/>
    <x v="6"/>
    <x v="5"/>
    <x v="0"/>
    <n v="0"/>
    <n v="7"/>
    <n v="53"/>
    <x v="1"/>
    <x v="2"/>
    <n v="1.8"/>
  </r>
  <r>
    <s v="E00628"/>
    <s v="FN629"/>
    <s v="LN629"/>
    <x v="1"/>
    <n v="51"/>
    <x v="2"/>
    <x v="7"/>
    <x v="3"/>
    <x v="0"/>
    <x v="1"/>
    <x v="146"/>
    <m/>
    <x v="0"/>
    <x v="68"/>
    <s v="Master"/>
    <n v="30"/>
    <n v="141332"/>
    <x v="0"/>
    <x v="22"/>
    <x v="33"/>
    <n v="3"/>
    <n v="10"/>
    <n v="4"/>
    <x v="1"/>
    <x v="2"/>
    <n v="2.4"/>
  </r>
  <r>
    <s v="E00629"/>
    <s v="FN630"/>
    <s v="LN630"/>
    <x v="0"/>
    <n v="56"/>
    <x v="4"/>
    <x v="9"/>
    <x v="2"/>
    <x v="0"/>
    <x v="1"/>
    <x v="567"/>
    <m/>
    <x v="0"/>
    <x v="38"/>
    <s v="Master"/>
    <n v="32"/>
    <n v="167229"/>
    <x v="20"/>
    <x v="7"/>
    <x v="31"/>
    <n v="18"/>
    <n v="10"/>
    <n v="31"/>
    <x v="0"/>
    <x v="1"/>
    <n v="3.7"/>
  </r>
  <r>
    <s v="E00630"/>
    <s v="FN631"/>
    <s v="LN631"/>
    <x v="1"/>
    <n v="51"/>
    <x v="2"/>
    <x v="5"/>
    <x v="1"/>
    <x v="1"/>
    <x v="1"/>
    <x v="568"/>
    <m/>
    <x v="0"/>
    <x v="43"/>
    <s v="Bachelor"/>
    <n v="11"/>
    <n v="132182"/>
    <x v="3"/>
    <x v="21"/>
    <x v="25"/>
    <n v="20"/>
    <n v="51"/>
    <n v="21"/>
    <x v="0"/>
    <x v="1"/>
    <n v="9.1"/>
  </r>
  <r>
    <s v="E00631"/>
    <s v="FN632"/>
    <s v="LN632"/>
    <x v="1"/>
    <n v="39"/>
    <x v="3"/>
    <x v="10"/>
    <x v="1"/>
    <x v="0"/>
    <x v="1"/>
    <x v="363"/>
    <m/>
    <x v="0"/>
    <x v="44"/>
    <s v="Master"/>
    <n v="20"/>
    <n v="140179"/>
    <x v="15"/>
    <x v="19"/>
    <x v="45"/>
    <n v="6"/>
    <n v="4"/>
    <n v="72"/>
    <x v="0"/>
    <x v="1"/>
    <n v="5.7"/>
  </r>
  <r>
    <s v="E00632"/>
    <s v="FN633"/>
    <s v="LN633"/>
    <x v="0"/>
    <n v="49"/>
    <x v="3"/>
    <x v="10"/>
    <x v="4"/>
    <x v="1"/>
    <x v="1"/>
    <x v="76"/>
    <m/>
    <x v="0"/>
    <x v="7"/>
    <s v="MBA"/>
    <n v="19"/>
    <n v="140843"/>
    <x v="5"/>
    <x v="19"/>
    <x v="50"/>
    <n v="2"/>
    <n v="56"/>
    <n v="80"/>
    <x v="1"/>
    <x v="0"/>
    <n v="1.4"/>
  </r>
  <r>
    <s v="E00633"/>
    <s v="FN634"/>
    <s v="LN634"/>
    <x v="1"/>
    <n v="51"/>
    <x v="2"/>
    <x v="3"/>
    <x v="1"/>
    <x v="2"/>
    <x v="1"/>
    <x v="569"/>
    <m/>
    <x v="0"/>
    <x v="58"/>
    <s v="MBA"/>
    <n v="11"/>
    <n v="107651"/>
    <x v="13"/>
    <x v="9"/>
    <x v="46"/>
    <n v="6"/>
    <n v="30"/>
    <n v="5"/>
    <x v="1"/>
    <x v="0"/>
    <n v="9.5"/>
  </r>
  <r>
    <s v="E00634"/>
    <s v="FN635"/>
    <s v="LN635"/>
    <x v="0"/>
    <n v="31"/>
    <x v="2"/>
    <x v="7"/>
    <x v="0"/>
    <x v="1"/>
    <x v="0"/>
    <x v="570"/>
    <m/>
    <x v="0"/>
    <x v="36"/>
    <s v="Bachelor"/>
    <n v="17"/>
    <n v="166982"/>
    <x v="5"/>
    <x v="7"/>
    <x v="30"/>
    <n v="11"/>
    <n v="11"/>
    <n v="54"/>
    <x v="0"/>
    <x v="1"/>
    <n v="0.3"/>
  </r>
  <r>
    <s v="E00635"/>
    <s v="FN636"/>
    <s v="LN636"/>
    <x v="0"/>
    <n v="31"/>
    <x v="4"/>
    <x v="6"/>
    <x v="4"/>
    <x v="0"/>
    <x v="0"/>
    <x v="571"/>
    <m/>
    <x v="0"/>
    <x v="34"/>
    <s v="Bachelor"/>
    <n v="27"/>
    <n v="61490"/>
    <x v="5"/>
    <x v="18"/>
    <x v="22"/>
    <n v="6"/>
    <n v="43"/>
    <n v="61"/>
    <x v="1"/>
    <x v="2"/>
    <n v="7.5"/>
  </r>
  <r>
    <s v="E00636"/>
    <s v="FN637"/>
    <s v="LN637"/>
    <x v="1"/>
    <n v="56"/>
    <x v="0"/>
    <x v="0"/>
    <x v="4"/>
    <x v="2"/>
    <x v="1"/>
    <x v="572"/>
    <m/>
    <x v="0"/>
    <x v="73"/>
    <s v="Bachelor"/>
    <n v="16"/>
    <n v="94643"/>
    <x v="5"/>
    <x v="6"/>
    <x v="46"/>
    <n v="20"/>
    <n v="32"/>
    <n v="38"/>
    <x v="1"/>
    <x v="0"/>
    <n v="6.1"/>
  </r>
  <r>
    <s v="E00637"/>
    <s v="FN638"/>
    <s v="LN638"/>
    <x v="0"/>
    <n v="32"/>
    <x v="5"/>
    <x v="8"/>
    <x v="3"/>
    <x v="0"/>
    <x v="0"/>
    <x v="573"/>
    <s v="2024-06-12"/>
    <x v="1"/>
    <x v="56"/>
    <s v="Bachelor"/>
    <n v="1"/>
    <n v="156396"/>
    <x v="15"/>
    <x v="2"/>
    <x v="27"/>
    <n v="14"/>
    <n v="34"/>
    <n v="69"/>
    <x v="1"/>
    <x v="0"/>
    <n v="3.6"/>
  </r>
  <r>
    <s v="E00638"/>
    <s v="FN639"/>
    <s v="LN639"/>
    <x v="1"/>
    <n v="29"/>
    <x v="3"/>
    <x v="2"/>
    <x v="3"/>
    <x v="0"/>
    <x v="1"/>
    <x v="574"/>
    <m/>
    <x v="0"/>
    <x v="13"/>
    <s v="MBA"/>
    <n v="28"/>
    <n v="56738"/>
    <x v="6"/>
    <x v="6"/>
    <x v="19"/>
    <n v="15"/>
    <n v="39"/>
    <n v="48"/>
    <x v="0"/>
    <x v="0"/>
    <n v="3.3"/>
  </r>
  <r>
    <s v="E00639"/>
    <s v="FN640"/>
    <s v="LN640"/>
    <x v="0"/>
    <n v="60"/>
    <x v="3"/>
    <x v="2"/>
    <x v="1"/>
    <x v="2"/>
    <x v="1"/>
    <x v="575"/>
    <m/>
    <x v="0"/>
    <x v="70"/>
    <s v="Bachelor"/>
    <n v="23"/>
    <n v="144767"/>
    <x v="10"/>
    <x v="15"/>
    <x v="44"/>
    <n v="10"/>
    <n v="43"/>
    <n v="69"/>
    <x v="0"/>
    <x v="0"/>
    <n v="9.6999999999999993"/>
  </r>
  <r>
    <s v="E00640"/>
    <s v="FN641"/>
    <s v="LN641"/>
    <x v="0"/>
    <n v="44"/>
    <x v="3"/>
    <x v="10"/>
    <x v="2"/>
    <x v="0"/>
    <x v="0"/>
    <x v="576"/>
    <m/>
    <x v="0"/>
    <x v="28"/>
    <s v="Bachelor"/>
    <n v="2"/>
    <n v="139570"/>
    <x v="13"/>
    <x v="16"/>
    <x v="40"/>
    <n v="0"/>
    <n v="24"/>
    <n v="33"/>
    <x v="0"/>
    <x v="0"/>
    <n v="10.3"/>
  </r>
  <r>
    <s v="E00641"/>
    <s v="FN642"/>
    <s v="LN642"/>
    <x v="1"/>
    <n v="40"/>
    <x v="5"/>
    <x v="2"/>
    <x v="3"/>
    <x v="2"/>
    <x v="1"/>
    <x v="577"/>
    <s v="2019-04-14"/>
    <x v="1"/>
    <x v="8"/>
    <s v="MBA"/>
    <n v="21"/>
    <n v="68742"/>
    <x v="7"/>
    <x v="6"/>
    <x v="39"/>
    <n v="14"/>
    <n v="4"/>
    <n v="74"/>
    <x v="1"/>
    <x v="2"/>
    <n v="8.3000000000000007"/>
  </r>
  <r>
    <s v="E00642"/>
    <s v="FN643"/>
    <s v="LN643"/>
    <x v="1"/>
    <n v="46"/>
    <x v="2"/>
    <x v="7"/>
    <x v="2"/>
    <x v="0"/>
    <x v="1"/>
    <x v="578"/>
    <m/>
    <x v="0"/>
    <x v="45"/>
    <s v="Master"/>
    <n v="8"/>
    <n v="142859"/>
    <x v="18"/>
    <x v="20"/>
    <x v="16"/>
    <n v="15"/>
    <n v="17"/>
    <n v="14"/>
    <x v="1"/>
    <x v="0"/>
    <n v="3.2"/>
  </r>
  <r>
    <s v="E00643"/>
    <s v="FN644"/>
    <s v="LN644"/>
    <x v="0"/>
    <n v="58"/>
    <x v="3"/>
    <x v="10"/>
    <x v="1"/>
    <x v="0"/>
    <x v="0"/>
    <x v="579"/>
    <m/>
    <x v="0"/>
    <x v="41"/>
    <s v="Bachelor"/>
    <n v="11"/>
    <n v="49408"/>
    <x v="12"/>
    <x v="7"/>
    <x v="17"/>
    <n v="0"/>
    <n v="50"/>
    <n v="4"/>
    <x v="0"/>
    <x v="0"/>
    <n v="0.2"/>
  </r>
  <r>
    <s v="E00644"/>
    <s v="FN645"/>
    <s v="LN645"/>
    <x v="0"/>
    <n v="44"/>
    <x v="2"/>
    <x v="3"/>
    <x v="2"/>
    <x v="0"/>
    <x v="0"/>
    <x v="20"/>
    <s v="2030-08-18"/>
    <x v="1"/>
    <x v="63"/>
    <s v="MBA"/>
    <n v="7"/>
    <n v="151555"/>
    <x v="19"/>
    <x v="22"/>
    <x v="41"/>
    <n v="18"/>
    <n v="14"/>
    <n v="45"/>
    <x v="0"/>
    <x v="0"/>
    <n v="1.8"/>
  </r>
  <r>
    <s v="E00645"/>
    <s v="FN646"/>
    <s v="LN646"/>
    <x v="0"/>
    <n v="42"/>
    <x v="2"/>
    <x v="3"/>
    <x v="0"/>
    <x v="2"/>
    <x v="1"/>
    <x v="580"/>
    <m/>
    <x v="0"/>
    <x v="39"/>
    <s v="Bachelor"/>
    <n v="4"/>
    <n v="146136"/>
    <x v="6"/>
    <x v="19"/>
    <x v="0"/>
    <n v="0"/>
    <n v="30"/>
    <n v="64"/>
    <x v="1"/>
    <x v="2"/>
    <n v="7.7"/>
  </r>
  <r>
    <s v="E00646"/>
    <s v="FN647"/>
    <s v="LN647"/>
    <x v="1"/>
    <n v="60"/>
    <x v="1"/>
    <x v="4"/>
    <x v="2"/>
    <x v="0"/>
    <x v="1"/>
    <x v="581"/>
    <m/>
    <x v="0"/>
    <x v="60"/>
    <s v="Bachelor"/>
    <n v="34"/>
    <n v="126831"/>
    <x v="4"/>
    <x v="0"/>
    <x v="42"/>
    <n v="8"/>
    <n v="8"/>
    <n v="24"/>
    <x v="0"/>
    <x v="1"/>
    <n v="6.4"/>
  </r>
  <r>
    <s v="E00647"/>
    <s v="FN648"/>
    <s v="LN648"/>
    <x v="0"/>
    <n v="21"/>
    <x v="2"/>
    <x v="3"/>
    <x v="3"/>
    <x v="1"/>
    <x v="0"/>
    <x v="582"/>
    <m/>
    <x v="0"/>
    <x v="9"/>
    <s v="Master"/>
    <n v="21"/>
    <n v="175468"/>
    <x v="2"/>
    <x v="12"/>
    <x v="11"/>
    <n v="11"/>
    <n v="2"/>
    <n v="75"/>
    <x v="1"/>
    <x v="0"/>
    <n v="0.2"/>
  </r>
  <r>
    <s v="E00648"/>
    <s v="FN649"/>
    <s v="LN649"/>
    <x v="1"/>
    <n v="38"/>
    <x v="1"/>
    <x v="4"/>
    <x v="4"/>
    <x v="0"/>
    <x v="1"/>
    <x v="583"/>
    <m/>
    <x v="0"/>
    <x v="26"/>
    <s v="Master"/>
    <n v="26"/>
    <n v="112889"/>
    <x v="12"/>
    <x v="25"/>
    <x v="8"/>
    <n v="14"/>
    <n v="43"/>
    <n v="0"/>
    <x v="0"/>
    <x v="1"/>
    <n v="10.3"/>
  </r>
  <r>
    <s v="E00649"/>
    <s v="FN650"/>
    <s v="LN650"/>
    <x v="1"/>
    <n v="34"/>
    <x v="0"/>
    <x v="0"/>
    <x v="3"/>
    <x v="2"/>
    <x v="0"/>
    <x v="347"/>
    <m/>
    <x v="0"/>
    <x v="2"/>
    <s v="Master"/>
    <n v="33"/>
    <n v="45602"/>
    <x v="20"/>
    <x v="10"/>
    <x v="22"/>
    <n v="3"/>
    <n v="23"/>
    <n v="78"/>
    <x v="0"/>
    <x v="1"/>
    <n v="2.9"/>
  </r>
  <r>
    <s v="E00650"/>
    <s v="FN651"/>
    <s v="LN651"/>
    <x v="1"/>
    <n v="45"/>
    <x v="1"/>
    <x v="1"/>
    <x v="1"/>
    <x v="0"/>
    <x v="0"/>
    <x v="447"/>
    <m/>
    <x v="0"/>
    <x v="9"/>
    <s v="Master"/>
    <n v="10"/>
    <n v="64165"/>
    <x v="8"/>
    <x v="3"/>
    <x v="38"/>
    <n v="4"/>
    <n v="24"/>
    <n v="36"/>
    <x v="0"/>
    <x v="2"/>
    <n v="6.5"/>
  </r>
  <r>
    <s v="E00651"/>
    <s v="FN652"/>
    <s v="LN652"/>
    <x v="1"/>
    <n v="52"/>
    <x v="1"/>
    <x v="4"/>
    <x v="2"/>
    <x v="2"/>
    <x v="1"/>
    <x v="584"/>
    <m/>
    <x v="0"/>
    <x v="16"/>
    <s v="Bachelor"/>
    <n v="33"/>
    <n v="90681"/>
    <x v="3"/>
    <x v="0"/>
    <x v="37"/>
    <n v="1"/>
    <n v="2"/>
    <n v="68"/>
    <x v="0"/>
    <x v="0"/>
    <n v="8.5"/>
  </r>
  <r>
    <s v="E00652"/>
    <s v="FN653"/>
    <s v="LN653"/>
    <x v="1"/>
    <n v="22"/>
    <x v="0"/>
    <x v="0"/>
    <x v="2"/>
    <x v="0"/>
    <x v="0"/>
    <x v="585"/>
    <m/>
    <x v="0"/>
    <x v="34"/>
    <s v="Master"/>
    <n v="29"/>
    <n v="129943"/>
    <x v="1"/>
    <x v="7"/>
    <x v="0"/>
    <n v="2"/>
    <n v="39"/>
    <n v="45"/>
    <x v="1"/>
    <x v="2"/>
    <n v="5.7"/>
  </r>
  <r>
    <s v="E00653"/>
    <s v="FN654"/>
    <s v="LN654"/>
    <x v="1"/>
    <n v="33"/>
    <x v="3"/>
    <x v="10"/>
    <x v="4"/>
    <x v="2"/>
    <x v="0"/>
    <x v="586"/>
    <m/>
    <x v="0"/>
    <x v="68"/>
    <s v="Bachelor"/>
    <n v="25"/>
    <n v="141304"/>
    <x v="10"/>
    <x v="7"/>
    <x v="7"/>
    <n v="18"/>
    <n v="45"/>
    <n v="32"/>
    <x v="0"/>
    <x v="1"/>
    <n v="10"/>
  </r>
  <r>
    <s v="E00654"/>
    <s v="FN655"/>
    <s v="LN655"/>
    <x v="0"/>
    <n v="27"/>
    <x v="4"/>
    <x v="2"/>
    <x v="4"/>
    <x v="0"/>
    <x v="0"/>
    <x v="576"/>
    <m/>
    <x v="0"/>
    <x v="15"/>
    <s v="Master"/>
    <n v="17"/>
    <n v="178671"/>
    <x v="19"/>
    <x v="4"/>
    <x v="8"/>
    <n v="6"/>
    <n v="35"/>
    <n v="66"/>
    <x v="1"/>
    <x v="2"/>
    <n v="10.3"/>
  </r>
  <r>
    <s v="E00655"/>
    <s v="FN656"/>
    <s v="LN656"/>
    <x v="0"/>
    <n v="38"/>
    <x v="1"/>
    <x v="1"/>
    <x v="1"/>
    <x v="0"/>
    <x v="1"/>
    <x v="587"/>
    <m/>
    <x v="0"/>
    <x v="2"/>
    <s v="Master"/>
    <n v="10"/>
    <n v="148055"/>
    <x v="15"/>
    <x v="8"/>
    <x v="41"/>
    <n v="6"/>
    <n v="4"/>
    <n v="68"/>
    <x v="0"/>
    <x v="2"/>
    <n v="8.1999999999999993"/>
  </r>
  <r>
    <s v="E00656"/>
    <s v="FN657"/>
    <s v="LN657"/>
    <x v="1"/>
    <n v="58"/>
    <x v="2"/>
    <x v="5"/>
    <x v="4"/>
    <x v="1"/>
    <x v="0"/>
    <x v="588"/>
    <m/>
    <x v="0"/>
    <x v="9"/>
    <s v="MBA"/>
    <n v="18"/>
    <n v="125265"/>
    <x v="6"/>
    <x v="11"/>
    <x v="32"/>
    <n v="9"/>
    <n v="13"/>
    <n v="16"/>
    <x v="1"/>
    <x v="2"/>
    <n v="10.6"/>
  </r>
  <r>
    <s v="E00657"/>
    <s v="FN658"/>
    <s v="LN658"/>
    <x v="0"/>
    <n v="41"/>
    <x v="1"/>
    <x v="1"/>
    <x v="3"/>
    <x v="0"/>
    <x v="1"/>
    <x v="589"/>
    <m/>
    <x v="0"/>
    <x v="24"/>
    <s v="MBA"/>
    <n v="6"/>
    <n v="55747"/>
    <x v="1"/>
    <x v="3"/>
    <x v="32"/>
    <n v="15"/>
    <n v="37"/>
    <n v="22"/>
    <x v="0"/>
    <x v="1"/>
    <n v="4.3"/>
  </r>
  <r>
    <s v="E00658"/>
    <s v="FN659"/>
    <s v="LN659"/>
    <x v="0"/>
    <n v="39"/>
    <x v="4"/>
    <x v="6"/>
    <x v="2"/>
    <x v="0"/>
    <x v="1"/>
    <x v="590"/>
    <m/>
    <x v="0"/>
    <x v="66"/>
    <s v="Master"/>
    <n v="35"/>
    <n v="79695"/>
    <x v="9"/>
    <x v="1"/>
    <x v="7"/>
    <n v="20"/>
    <n v="7"/>
    <n v="60"/>
    <x v="1"/>
    <x v="0"/>
    <n v="2.9"/>
  </r>
  <r>
    <s v="E00659"/>
    <s v="FN660"/>
    <s v="LN660"/>
    <x v="0"/>
    <n v="45"/>
    <x v="3"/>
    <x v="2"/>
    <x v="4"/>
    <x v="1"/>
    <x v="0"/>
    <x v="591"/>
    <m/>
    <x v="0"/>
    <x v="76"/>
    <s v="Bachelor"/>
    <n v="27"/>
    <n v="118280"/>
    <x v="7"/>
    <x v="1"/>
    <x v="12"/>
    <n v="4"/>
    <n v="25"/>
    <n v="62"/>
    <x v="0"/>
    <x v="0"/>
    <n v="1.6"/>
  </r>
  <r>
    <s v="E00660"/>
    <s v="FN661"/>
    <s v="LN661"/>
    <x v="1"/>
    <n v="44"/>
    <x v="0"/>
    <x v="2"/>
    <x v="4"/>
    <x v="2"/>
    <x v="0"/>
    <x v="592"/>
    <m/>
    <x v="0"/>
    <x v="27"/>
    <s v="Master"/>
    <n v="8"/>
    <n v="178047"/>
    <x v="1"/>
    <x v="24"/>
    <x v="33"/>
    <n v="5"/>
    <n v="28"/>
    <n v="68"/>
    <x v="1"/>
    <x v="2"/>
    <n v="4.5999999999999996"/>
  </r>
  <r>
    <s v="E00661"/>
    <s v="FN662"/>
    <s v="LN662"/>
    <x v="0"/>
    <n v="58"/>
    <x v="3"/>
    <x v="2"/>
    <x v="3"/>
    <x v="0"/>
    <x v="0"/>
    <x v="333"/>
    <s v="2026-09-09"/>
    <x v="1"/>
    <x v="14"/>
    <s v="MBA"/>
    <n v="35"/>
    <n v="160739"/>
    <x v="20"/>
    <x v="10"/>
    <x v="13"/>
    <n v="20"/>
    <n v="30"/>
    <n v="61"/>
    <x v="0"/>
    <x v="0"/>
    <n v="4.4000000000000004"/>
  </r>
  <r>
    <s v="E00662"/>
    <s v="FN663"/>
    <s v="LN663"/>
    <x v="0"/>
    <n v="32"/>
    <x v="0"/>
    <x v="2"/>
    <x v="2"/>
    <x v="0"/>
    <x v="1"/>
    <x v="593"/>
    <m/>
    <x v="0"/>
    <x v="43"/>
    <s v="Master"/>
    <n v="4"/>
    <n v="132615"/>
    <x v="17"/>
    <x v="16"/>
    <x v="45"/>
    <n v="1"/>
    <n v="9"/>
    <n v="40"/>
    <x v="0"/>
    <x v="2"/>
    <n v="9"/>
  </r>
  <r>
    <s v="E00663"/>
    <s v="FN664"/>
    <s v="LN664"/>
    <x v="0"/>
    <n v="34"/>
    <x v="4"/>
    <x v="9"/>
    <x v="3"/>
    <x v="0"/>
    <x v="0"/>
    <x v="594"/>
    <m/>
    <x v="0"/>
    <x v="33"/>
    <s v="MBA"/>
    <n v="19"/>
    <n v="100429"/>
    <x v="11"/>
    <x v="20"/>
    <x v="9"/>
    <n v="14"/>
    <n v="42"/>
    <n v="39"/>
    <x v="0"/>
    <x v="2"/>
    <n v="5.2"/>
  </r>
  <r>
    <s v="E00664"/>
    <s v="FN665"/>
    <s v="LN665"/>
    <x v="1"/>
    <n v="21"/>
    <x v="5"/>
    <x v="8"/>
    <x v="3"/>
    <x v="2"/>
    <x v="1"/>
    <x v="595"/>
    <m/>
    <x v="0"/>
    <x v="55"/>
    <s v="Bachelor"/>
    <n v="15"/>
    <n v="169320"/>
    <x v="10"/>
    <x v="5"/>
    <x v="4"/>
    <n v="8"/>
    <n v="21"/>
    <n v="61"/>
    <x v="1"/>
    <x v="1"/>
    <n v="9.6999999999999993"/>
  </r>
  <r>
    <s v="E00665"/>
    <s v="FN666"/>
    <s v="LN666"/>
    <x v="1"/>
    <n v="26"/>
    <x v="4"/>
    <x v="9"/>
    <x v="4"/>
    <x v="2"/>
    <x v="0"/>
    <x v="596"/>
    <m/>
    <x v="0"/>
    <x v="2"/>
    <s v="MBA"/>
    <n v="23"/>
    <n v="148866"/>
    <x v="13"/>
    <x v="10"/>
    <x v="47"/>
    <n v="10"/>
    <n v="47"/>
    <n v="73"/>
    <x v="0"/>
    <x v="1"/>
    <n v="3.4"/>
  </r>
  <r>
    <s v="E00666"/>
    <s v="FN667"/>
    <s v="LN667"/>
    <x v="1"/>
    <n v="23"/>
    <x v="1"/>
    <x v="4"/>
    <x v="2"/>
    <x v="2"/>
    <x v="1"/>
    <x v="597"/>
    <m/>
    <x v="0"/>
    <x v="55"/>
    <s v="MBA"/>
    <n v="17"/>
    <n v="106180"/>
    <x v="13"/>
    <x v="17"/>
    <x v="3"/>
    <n v="8"/>
    <n v="42"/>
    <n v="61"/>
    <x v="1"/>
    <x v="0"/>
    <n v="1.4"/>
  </r>
  <r>
    <s v="E00667"/>
    <s v="FN668"/>
    <s v="LN668"/>
    <x v="1"/>
    <n v="26"/>
    <x v="5"/>
    <x v="6"/>
    <x v="3"/>
    <x v="2"/>
    <x v="1"/>
    <x v="598"/>
    <m/>
    <x v="0"/>
    <x v="65"/>
    <s v="MBA"/>
    <n v="30"/>
    <n v="103387"/>
    <x v="17"/>
    <x v="22"/>
    <x v="10"/>
    <n v="10"/>
    <n v="19"/>
    <n v="14"/>
    <x v="0"/>
    <x v="0"/>
    <n v="1.1000000000000001"/>
  </r>
  <r>
    <s v="E00668"/>
    <s v="FN669"/>
    <s v="LN669"/>
    <x v="1"/>
    <n v="34"/>
    <x v="3"/>
    <x v="2"/>
    <x v="4"/>
    <x v="0"/>
    <x v="0"/>
    <x v="599"/>
    <m/>
    <x v="0"/>
    <x v="35"/>
    <s v="MBA"/>
    <n v="14"/>
    <n v="70062"/>
    <x v="10"/>
    <x v="3"/>
    <x v="14"/>
    <n v="11"/>
    <n v="13"/>
    <n v="10"/>
    <x v="0"/>
    <x v="1"/>
    <n v="9.5"/>
  </r>
  <r>
    <s v="E00669"/>
    <s v="FN670"/>
    <s v="LN670"/>
    <x v="0"/>
    <n v="23"/>
    <x v="3"/>
    <x v="2"/>
    <x v="2"/>
    <x v="2"/>
    <x v="1"/>
    <x v="600"/>
    <m/>
    <x v="0"/>
    <x v="62"/>
    <s v="MBA"/>
    <n v="22"/>
    <n v="61332"/>
    <x v="3"/>
    <x v="2"/>
    <x v="13"/>
    <n v="0"/>
    <n v="34"/>
    <n v="63"/>
    <x v="1"/>
    <x v="1"/>
    <n v="10.3"/>
  </r>
  <r>
    <s v="E00670"/>
    <s v="FN671"/>
    <s v="LN671"/>
    <x v="0"/>
    <n v="30"/>
    <x v="4"/>
    <x v="6"/>
    <x v="2"/>
    <x v="1"/>
    <x v="1"/>
    <x v="25"/>
    <m/>
    <x v="0"/>
    <x v="9"/>
    <s v="Master"/>
    <n v="14"/>
    <n v="62233"/>
    <x v="18"/>
    <x v="12"/>
    <x v="44"/>
    <n v="20"/>
    <n v="44"/>
    <n v="23"/>
    <x v="0"/>
    <x v="0"/>
    <n v="8.9"/>
  </r>
  <r>
    <s v="E00671"/>
    <s v="FN672"/>
    <s v="LN672"/>
    <x v="1"/>
    <n v="55"/>
    <x v="4"/>
    <x v="2"/>
    <x v="3"/>
    <x v="2"/>
    <x v="1"/>
    <x v="601"/>
    <m/>
    <x v="0"/>
    <x v="25"/>
    <s v="Master"/>
    <n v="27"/>
    <n v="136930"/>
    <x v="11"/>
    <x v="8"/>
    <x v="21"/>
    <n v="7"/>
    <n v="30"/>
    <n v="43"/>
    <x v="0"/>
    <x v="1"/>
    <n v="3.9"/>
  </r>
  <r>
    <s v="E00672"/>
    <s v="FN673"/>
    <s v="LN673"/>
    <x v="1"/>
    <n v="29"/>
    <x v="1"/>
    <x v="4"/>
    <x v="3"/>
    <x v="2"/>
    <x v="0"/>
    <x v="602"/>
    <m/>
    <x v="0"/>
    <x v="67"/>
    <s v="Master"/>
    <n v="18"/>
    <n v="122986"/>
    <x v="18"/>
    <x v="15"/>
    <x v="23"/>
    <n v="18"/>
    <n v="5"/>
    <n v="44"/>
    <x v="0"/>
    <x v="1"/>
    <n v="6.6"/>
  </r>
  <r>
    <s v="E00673"/>
    <s v="FN674"/>
    <s v="LN674"/>
    <x v="1"/>
    <n v="23"/>
    <x v="1"/>
    <x v="4"/>
    <x v="1"/>
    <x v="1"/>
    <x v="0"/>
    <x v="603"/>
    <m/>
    <x v="0"/>
    <x v="22"/>
    <s v="MBA"/>
    <n v="7"/>
    <n v="77495"/>
    <x v="3"/>
    <x v="9"/>
    <x v="47"/>
    <n v="13"/>
    <n v="60"/>
    <n v="26"/>
    <x v="1"/>
    <x v="1"/>
    <n v="3.4"/>
  </r>
  <r>
    <s v="E00674"/>
    <s v="FN675"/>
    <s v="LN675"/>
    <x v="1"/>
    <n v="23"/>
    <x v="3"/>
    <x v="10"/>
    <x v="4"/>
    <x v="1"/>
    <x v="1"/>
    <x v="169"/>
    <m/>
    <x v="0"/>
    <x v="63"/>
    <s v="MBA"/>
    <n v="11"/>
    <n v="47150"/>
    <x v="18"/>
    <x v="24"/>
    <x v="7"/>
    <n v="6"/>
    <n v="40"/>
    <n v="15"/>
    <x v="1"/>
    <x v="2"/>
    <n v="0.9"/>
  </r>
  <r>
    <s v="E00675"/>
    <s v="FN676"/>
    <s v="LN676"/>
    <x v="0"/>
    <n v="28"/>
    <x v="2"/>
    <x v="3"/>
    <x v="0"/>
    <x v="2"/>
    <x v="1"/>
    <x v="604"/>
    <m/>
    <x v="0"/>
    <x v="60"/>
    <s v="Master"/>
    <n v="32"/>
    <n v="44819"/>
    <x v="15"/>
    <x v="14"/>
    <x v="44"/>
    <n v="1"/>
    <n v="41"/>
    <n v="28"/>
    <x v="0"/>
    <x v="1"/>
    <n v="3.5"/>
  </r>
  <r>
    <s v="E00676"/>
    <s v="FN677"/>
    <s v="LN677"/>
    <x v="1"/>
    <n v="48"/>
    <x v="4"/>
    <x v="2"/>
    <x v="4"/>
    <x v="2"/>
    <x v="0"/>
    <x v="605"/>
    <m/>
    <x v="0"/>
    <x v="16"/>
    <s v="Master"/>
    <n v="28"/>
    <n v="123668"/>
    <x v="17"/>
    <x v="18"/>
    <x v="10"/>
    <n v="12"/>
    <n v="53"/>
    <n v="36"/>
    <x v="0"/>
    <x v="1"/>
    <n v="6.1"/>
  </r>
  <r>
    <s v="E00677"/>
    <s v="FN678"/>
    <s v="LN678"/>
    <x v="0"/>
    <n v="35"/>
    <x v="1"/>
    <x v="1"/>
    <x v="3"/>
    <x v="1"/>
    <x v="1"/>
    <x v="606"/>
    <m/>
    <x v="0"/>
    <x v="71"/>
    <s v="Master"/>
    <n v="21"/>
    <n v="44496"/>
    <x v="10"/>
    <x v="22"/>
    <x v="15"/>
    <n v="15"/>
    <n v="49"/>
    <n v="44"/>
    <x v="0"/>
    <x v="2"/>
    <n v="7.8"/>
  </r>
  <r>
    <s v="E00678"/>
    <s v="FN679"/>
    <s v="LN679"/>
    <x v="1"/>
    <n v="57"/>
    <x v="5"/>
    <x v="2"/>
    <x v="4"/>
    <x v="1"/>
    <x v="0"/>
    <x v="607"/>
    <m/>
    <x v="0"/>
    <x v="56"/>
    <s v="Master"/>
    <n v="11"/>
    <n v="179353"/>
    <x v="6"/>
    <x v="14"/>
    <x v="42"/>
    <n v="0"/>
    <n v="30"/>
    <n v="18"/>
    <x v="1"/>
    <x v="2"/>
    <n v="2.4"/>
  </r>
  <r>
    <s v="E00679"/>
    <s v="FN680"/>
    <s v="LN680"/>
    <x v="1"/>
    <n v="24"/>
    <x v="5"/>
    <x v="2"/>
    <x v="2"/>
    <x v="0"/>
    <x v="1"/>
    <x v="608"/>
    <m/>
    <x v="0"/>
    <x v="18"/>
    <s v="MBA"/>
    <n v="35"/>
    <n v="116216"/>
    <x v="7"/>
    <x v="15"/>
    <x v="9"/>
    <n v="6"/>
    <n v="46"/>
    <n v="12"/>
    <x v="1"/>
    <x v="0"/>
    <n v="8.1"/>
  </r>
  <r>
    <s v="E00680"/>
    <s v="FN681"/>
    <s v="LN681"/>
    <x v="0"/>
    <n v="41"/>
    <x v="5"/>
    <x v="2"/>
    <x v="3"/>
    <x v="0"/>
    <x v="1"/>
    <x v="609"/>
    <m/>
    <x v="0"/>
    <x v="12"/>
    <s v="MBA"/>
    <n v="30"/>
    <n v="69001"/>
    <x v="19"/>
    <x v="19"/>
    <x v="19"/>
    <n v="3"/>
    <n v="33"/>
    <n v="53"/>
    <x v="0"/>
    <x v="2"/>
    <n v="2"/>
  </r>
  <r>
    <s v="E00681"/>
    <s v="FN682"/>
    <s v="LN682"/>
    <x v="1"/>
    <n v="42"/>
    <x v="1"/>
    <x v="1"/>
    <x v="3"/>
    <x v="0"/>
    <x v="1"/>
    <x v="610"/>
    <m/>
    <x v="0"/>
    <x v="21"/>
    <s v="Master"/>
    <n v="24"/>
    <n v="58058"/>
    <x v="19"/>
    <x v="2"/>
    <x v="39"/>
    <n v="11"/>
    <n v="7"/>
    <n v="25"/>
    <x v="0"/>
    <x v="2"/>
    <n v="1.1000000000000001"/>
  </r>
  <r>
    <s v="E00682"/>
    <s v="FN683"/>
    <s v="LN683"/>
    <x v="1"/>
    <n v="26"/>
    <x v="5"/>
    <x v="6"/>
    <x v="4"/>
    <x v="2"/>
    <x v="0"/>
    <x v="611"/>
    <m/>
    <x v="0"/>
    <x v="47"/>
    <s v="Master"/>
    <n v="22"/>
    <n v="52739"/>
    <x v="1"/>
    <x v="12"/>
    <x v="5"/>
    <n v="15"/>
    <n v="48"/>
    <n v="34"/>
    <x v="1"/>
    <x v="1"/>
    <n v="1.3"/>
  </r>
  <r>
    <s v="E00683"/>
    <s v="FN684"/>
    <s v="LN684"/>
    <x v="1"/>
    <n v="29"/>
    <x v="2"/>
    <x v="3"/>
    <x v="2"/>
    <x v="2"/>
    <x v="0"/>
    <x v="612"/>
    <m/>
    <x v="0"/>
    <x v="34"/>
    <s v="Master"/>
    <n v="28"/>
    <n v="89929"/>
    <x v="14"/>
    <x v="5"/>
    <x v="2"/>
    <n v="15"/>
    <n v="51"/>
    <n v="37"/>
    <x v="0"/>
    <x v="0"/>
    <n v="8"/>
  </r>
  <r>
    <s v="E00684"/>
    <s v="FN685"/>
    <s v="LN685"/>
    <x v="1"/>
    <n v="48"/>
    <x v="0"/>
    <x v="2"/>
    <x v="1"/>
    <x v="2"/>
    <x v="0"/>
    <x v="613"/>
    <m/>
    <x v="0"/>
    <x v="12"/>
    <s v="Bachelor"/>
    <n v="6"/>
    <n v="40601"/>
    <x v="17"/>
    <x v="21"/>
    <x v="21"/>
    <n v="14"/>
    <n v="26"/>
    <n v="16"/>
    <x v="1"/>
    <x v="1"/>
    <n v="2.8"/>
  </r>
  <r>
    <s v="E00685"/>
    <s v="FN686"/>
    <s v="LN686"/>
    <x v="1"/>
    <n v="32"/>
    <x v="0"/>
    <x v="2"/>
    <x v="2"/>
    <x v="2"/>
    <x v="1"/>
    <x v="614"/>
    <m/>
    <x v="0"/>
    <x v="12"/>
    <s v="MBA"/>
    <n v="34"/>
    <n v="162884"/>
    <x v="8"/>
    <x v="11"/>
    <x v="37"/>
    <n v="12"/>
    <n v="42"/>
    <n v="12"/>
    <x v="1"/>
    <x v="1"/>
    <n v="7.4"/>
  </r>
  <r>
    <s v="E00686"/>
    <s v="FN687"/>
    <s v="LN687"/>
    <x v="0"/>
    <n v="28"/>
    <x v="5"/>
    <x v="6"/>
    <x v="3"/>
    <x v="1"/>
    <x v="0"/>
    <x v="615"/>
    <m/>
    <x v="0"/>
    <x v="29"/>
    <s v="Master"/>
    <n v="7"/>
    <n v="157504"/>
    <x v="13"/>
    <x v="7"/>
    <x v="0"/>
    <n v="7"/>
    <n v="52"/>
    <n v="31"/>
    <x v="1"/>
    <x v="0"/>
    <n v="1.1000000000000001"/>
  </r>
  <r>
    <s v="E00687"/>
    <s v="FN688"/>
    <s v="LN688"/>
    <x v="1"/>
    <n v="29"/>
    <x v="0"/>
    <x v="0"/>
    <x v="3"/>
    <x v="2"/>
    <x v="0"/>
    <x v="616"/>
    <m/>
    <x v="0"/>
    <x v="43"/>
    <s v="MBA"/>
    <n v="24"/>
    <n v="51515"/>
    <x v="5"/>
    <x v="12"/>
    <x v="39"/>
    <n v="2"/>
    <n v="4"/>
    <n v="10"/>
    <x v="1"/>
    <x v="1"/>
    <n v="8.6"/>
  </r>
  <r>
    <s v="E00688"/>
    <s v="FN689"/>
    <s v="LN689"/>
    <x v="0"/>
    <n v="29"/>
    <x v="3"/>
    <x v="2"/>
    <x v="4"/>
    <x v="1"/>
    <x v="1"/>
    <x v="617"/>
    <m/>
    <x v="0"/>
    <x v="17"/>
    <s v="MBA"/>
    <n v="5"/>
    <n v="83238"/>
    <x v="12"/>
    <x v="21"/>
    <x v="38"/>
    <n v="7"/>
    <n v="20"/>
    <n v="8"/>
    <x v="0"/>
    <x v="2"/>
    <n v="6.7"/>
  </r>
  <r>
    <s v="E00689"/>
    <s v="FN690"/>
    <s v="LN690"/>
    <x v="1"/>
    <n v="45"/>
    <x v="3"/>
    <x v="2"/>
    <x v="2"/>
    <x v="1"/>
    <x v="0"/>
    <x v="618"/>
    <m/>
    <x v="0"/>
    <x v="37"/>
    <s v="Master"/>
    <n v="30"/>
    <n v="156657"/>
    <x v="3"/>
    <x v="0"/>
    <x v="24"/>
    <n v="15"/>
    <n v="3"/>
    <n v="60"/>
    <x v="0"/>
    <x v="0"/>
    <n v="1.7"/>
  </r>
  <r>
    <s v="E00690"/>
    <s v="FN691"/>
    <s v="LN691"/>
    <x v="0"/>
    <n v="48"/>
    <x v="2"/>
    <x v="3"/>
    <x v="1"/>
    <x v="0"/>
    <x v="0"/>
    <x v="619"/>
    <s v="2029-10-22"/>
    <x v="1"/>
    <x v="18"/>
    <s v="MBA"/>
    <n v="30"/>
    <n v="176269"/>
    <x v="2"/>
    <x v="4"/>
    <x v="48"/>
    <n v="13"/>
    <n v="53"/>
    <n v="8"/>
    <x v="1"/>
    <x v="1"/>
    <n v="1.8"/>
  </r>
  <r>
    <s v="E00691"/>
    <s v="FN692"/>
    <s v="LN692"/>
    <x v="0"/>
    <n v="26"/>
    <x v="2"/>
    <x v="3"/>
    <x v="0"/>
    <x v="0"/>
    <x v="0"/>
    <x v="620"/>
    <m/>
    <x v="0"/>
    <x v="53"/>
    <s v="Bachelor"/>
    <n v="8"/>
    <n v="177346"/>
    <x v="15"/>
    <x v="6"/>
    <x v="45"/>
    <n v="7"/>
    <n v="27"/>
    <n v="77"/>
    <x v="1"/>
    <x v="2"/>
    <n v="6.4"/>
  </r>
  <r>
    <s v="E00692"/>
    <s v="FN693"/>
    <s v="LN693"/>
    <x v="1"/>
    <n v="59"/>
    <x v="1"/>
    <x v="1"/>
    <x v="2"/>
    <x v="1"/>
    <x v="0"/>
    <x v="621"/>
    <m/>
    <x v="0"/>
    <x v="26"/>
    <s v="Master"/>
    <n v="27"/>
    <n v="100769"/>
    <x v="4"/>
    <x v="1"/>
    <x v="50"/>
    <n v="13"/>
    <n v="55"/>
    <n v="59"/>
    <x v="1"/>
    <x v="1"/>
    <n v="9.6999999999999993"/>
  </r>
  <r>
    <s v="E00693"/>
    <s v="FN694"/>
    <s v="LN694"/>
    <x v="1"/>
    <n v="51"/>
    <x v="4"/>
    <x v="2"/>
    <x v="0"/>
    <x v="2"/>
    <x v="1"/>
    <x v="622"/>
    <m/>
    <x v="0"/>
    <x v="19"/>
    <s v="Bachelor"/>
    <n v="0"/>
    <n v="161745"/>
    <x v="4"/>
    <x v="19"/>
    <x v="46"/>
    <n v="18"/>
    <n v="19"/>
    <n v="1"/>
    <x v="0"/>
    <x v="0"/>
    <n v="9.5"/>
  </r>
  <r>
    <s v="E00694"/>
    <s v="FN695"/>
    <s v="LN695"/>
    <x v="0"/>
    <n v="50"/>
    <x v="3"/>
    <x v="10"/>
    <x v="3"/>
    <x v="1"/>
    <x v="0"/>
    <x v="623"/>
    <m/>
    <x v="0"/>
    <x v="34"/>
    <s v="MBA"/>
    <n v="11"/>
    <n v="135846"/>
    <x v="6"/>
    <x v="6"/>
    <x v="31"/>
    <n v="14"/>
    <n v="59"/>
    <n v="0"/>
    <x v="0"/>
    <x v="1"/>
    <n v="7.1"/>
  </r>
  <r>
    <s v="E00695"/>
    <s v="FN696"/>
    <s v="LN696"/>
    <x v="0"/>
    <n v="32"/>
    <x v="5"/>
    <x v="2"/>
    <x v="2"/>
    <x v="0"/>
    <x v="0"/>
    <x v="624"/>
    <m/>
    <x v="0"/>
    <x v="15"/>
    <s v="Bachelor"/>
    <n v="35"/>
    <n v="108680"/>
    <x v="7"/>
    <x v="15"/>
    <x v="7"/>
    <n v="11"/>
    <n v="4"/>
    <n v="34"/>
    <x v="0"/>
    <x v="0"/>
    <n v="8.6"/>
  </r>
  <r>
    <s v="E00696"/>
    <s v="FN697"/>
    <s v="LN697"/>
    <x v="1"/>
    <n v="51"/>
    <x v="3"/>
    <x v="2"/>
    <x v="0"/>
    <x v="0"/>
    <x v="0"/>
    <x v="625"/>
    <m/>
    <x v="0"/>
    <x v="13"/>
    <s v="MBA"/>
    <n v="12"/>
    <n v="88116"/>
    <x v="6"/>
    <x v="6"/>
    <x v="16"/>
    <n v="8"/>
    <n v="30"/>
    <n v="19"/>
    <x v="1"/>
    <x v="1"/>
    <n v="4"/>
  </r>
  <r>
    <s v="E00697"/>
    <s v="FN698"/>
    <s v="LN698"/>
    <x v="1"/>
    <n v="33"/>
    <x v="1"/>
    <x v="1"/>
    <x v="2"/>
    <x v="0"/>
    <x v="0"/>
    <x v="525"/>
    <m/>
    <x v="0"/>
    <x v="33"/>
    <s v="Master"/>
    <n v="30"/>
    <n v="144770"/>
    <x v="12"/>
    <x v="0"/>
    <x v="14"/>
    <n v="8"/>
    <n v="13"/>
    <n v="42"/>
    <x v="1"/>
    <x v="1"/>
    <n v="2.5"/>
  </r>
  <r>
    <s v="E00698"/>
    <s v="FN699"/>
    <s v="LN699"/>
    <x v="1"/>
    <n v="42"/>
    <x v="5"/>
    <x v="8"/>
    <x v="4"/>
    <x v="1"/>
    <x v="0"/>
    <x v="626"/>
    <m/>
    <x v="0"/>
    <x v="59"/>
    <s v="MBA"/>
    <n v="34"/>
    <n v="150960"/>
    <x v="7"/>
    <x v="9"/>
    <x v="30"/>
    <n v="7"/>
    <n v="58"/>
    <n v="60"/>
    <x v="0"/>
    <x v="0"/>
    <n v="5.0999999999999996"/>
  </r>
  <r>
    <s v="E00699"/>
    <s v="FN700"/>
    <s v="LN700"/>
    <x v="1"/>
    <n v="58"/>
    <x v="0"/>
    <x v="2"/>
    <x v="4"/>
    <x v="1"/>
    <x v="1"/>
    <x v="449"/>
    <m/>
    <x v="0"/>
    <x v="54"/>
    <s v="MBA"/>
    <n v="29"/>
    <n v="161729"/>
    <x v="0"/>
    <x v="10"/>
    <x v="22"/>
    <n v="19"/>
    <n v="3"/>
    <n v="11"/>
    <x v="0"/>
    <x v="1"/>
    <n v="4.5999999999999996"/>
  </r>
  <r>
    <s v="E00700"/>
    <s v="FN701"/>
    <s v="LN701"/>
    <x v="0"/>
    <n v="45"/>
    <x v="0"/>
    <x v="2"/>
    <x v="1"/>
    <x v="2"/>
    <x v="1"/>
    <x v="627"/>
    <m/>
    <x v="0"/>
    <x v="36"/>
    <s v="Bachelor"/>
    <n v="35"/>
    <n v="78833"/>
    <x v="15"/>
    <x v="8"/>
    <x v="15"/>
    <n v="15"/>
    <n v="21"/>
    <n v="75"/>
    <x v="1"/>
    <x v="1"/>
    <n v="1.2"/>
  </r>
  <r>
    <s v="E00701"/>
    <s v="FN702"/>
    <s v="LN702"/>
    <x v="1"/>
    <n v="38"/>
    <x v="2"/>
    <x v="7"/>
    <x v="0"/>
    <x v="1"/>
    <x v="0"/>
    <x v="628"/>
    <m/>
    <x v="0"/>
    <x v="50"/>
    <s v="Master"/>
    <n v="16"/>
    <n v="50053"/>
    <x v="16"/>
    <x v="19"/>
    <x v="42"/>
    <n v="8"/>
    <n v="1"/>
    <n v="1"/>
    <x v="1"/>
    <x v="2"/>
    <n v="4.8"/>
  </r>
  <r>
    <s v="E00702"/>
    <s v="FN703"/>
    <s v="LN703"/>
    <x v="1"/>
    <n v="46"/>
    <x v="2"/>
    <x v="5"/>
    <x v="0"/>
    <x v="1"/>
    <x v="0"/>
    <x v="628"/>
    <m/>
    <x v="0"/>
    <x v="74"/>
    <s v="Bachelor"/>
    <n v="32"/>
    <n v="148825"/>
    <x v="4"/>
    <x v="3"/>
    <x v="36"/>
    <n v="17"/>
    <n v="45"/>
    <n v="78"/>
    <x v="1"/>
    <x v="2"/>
    <n v="4.8"/>
  </r>
  <r>
    <s v="E00703"/>
    <s v="FN704"/>
    <s v="LN704"/>
    <x v="1"/>
    <n v="52"/>
    <x v="0"/>
    <x v="0"/>
    <x v="2"/>
    <x v="0"/>
    <x v="1"/>
    <x v="629"/>
    <m/>
    <x v="0"/>
    <x v="26"/>
    <s v="MBA"/>
    <n v="15"/>
    <n v="149614"/>
    <x v="0"/>
    <x v="10"/>
    <x v="7"/>
    <n v="13"/>
    <n v="29"/>
    <n v="11"/>
    <x v="0"/>
    <x v="1"/>
    <n v="10"/>
  </r>
  <r>
    <s v="E00704"/>
    <s v="FN705"/>
    <s v="LN705"/>
    <x v="0"/>
    <n v="46"/>
    <x v="3"/>
    <x v="2"/>
    <x v="4"/>
    <x v="2"/>
    <x v="1"/>
    <x v="630"/>
    <m/>
    <x v="0"/>
    <x v="71"/>
    <s v="Master"/>
    <n v="14"/>
    <n v="159952"/>
    <x v="1"/>
    <x v="2"/>
    <x v="49"/>
    <n v="0"/>
    <n v="18"/>
    <n v="52"/>
    <x v="0"/>
    <x v="1"/>
    <n v="6.7"/>
  </r>
  <r>
    <s v="E00705"/>
    <s v="FN706"/>
    <s v="LN706"/>
    <x v="1"/>
    <n v="41"/>
    <x v="3"/>
    <x v="10"/>
    <x v="3"/>
    <x v="1"/>
    <x v="0"/>
    <x v="214"/>
    <m/>
    <x v="0"/>
    <x v="11"/>
    <s v="Bachelor"/>
    <n v="21"/>
    <n v="142779"/>
    <x v="2"/>
    <x v="20"/>
    <x v="49"/>
    <n v="16"/>
    <n v="35"/>
    <n v="63"/>
    <x v="1"/>
    <x v="2"/>
    <n v="9.6999999999999993"/>
  </r>
  <r>
    <s v="E00706"/>
    <s v="FN707"/>
    <s v="LN707"/>
    <x v="0"/>
    <n v="58"/>
    <x v="1"/>
    <x v="1"/>
    <x v="4"/>
    <x v="2"/>
    <x v="1"/>
    <x v="631"/>
    <m/>
    <x v="0"/>
    <x v="20"/>
    <s v="Bachelor"/>
    <n v="18"/>
    <n v="98284"/>
    <x v="14"/>
    <x v="23"/>
    <x v="37"/>
    <n v="16"/>
    <n v="11"/>
    <n v="35"/>
    <x v="0"/>
    <x v="2"/>
    <n v="3.8"/>
  </r>
  <r>
    <s v="E00707"/>
    <s v="FN708"/>
    <s v="LN708"/>
    <x v="1"/>
    <n v="33"/>
    <x v="0"/>
    <x v="2"/>
    <x v="3"/>
    <x v="2"/>
    <x v="0"/>
    <x v="632"/>
    <m/>
    <x v="0"/>
    <x v="52"/>
    <s v="Bachelor"/>
    <n v="30"/>
    <n v="90335"/>
    <x v="20"/>
    <x v="12"/>
    <x v="13"/>
    <n v="18"/>
    <n v="48"/>
    <n v="53"/>
    <x v="1"/>
    <x v="0"/>
    <n v="3.5"/>
  </r>
  <r>
    <s v="E00708"/>
    <s v="FN709"/>
    <s v="LN709"/>
    <x v="0"/>
    <n v="23"/>
    <x v="5"/>
    <x v="2"/>
    <x v="1"/>
    <x v="0"/>
    <x v="1"/>
    <x v="633"/>
    <m/>
    <x v="0"/>
    <x v="69"/>
    <s v="Master"/>
    <n v="17"/>
    <n v="149761"/>
    <x v="0"/>
    <x v="2"/>
    <x v="48"/>
    <n v="12"/>
    <n v="5"/>
    <n v="15"/>
    <x v="0"/>
    <x v="2"/>
    <n v="1.6"/>
  </r>
  <r>
    <s v="E00709"/>
    <s v="FN710"/>
    <s v="LN710"/>
    <x v="1"/>
    <n v="31"/>
    <x v="2"/>
    <x v="3"/>
    <x v="1"/>
    <x v="1"/>
    <x v="0"/>
    <x v="78"/>
    <m/>
    <x v="0"/>
    <x v="50"/>
    <s v="Bachelor"/>
    <n v="32"/>
    <n v="142447"/>
    <x v="6"/>
    <x v="25"/>
    <x v="31"/>
    <n v="13"/>
    <n v="33"/>
    <n v="68"/>
    <x v="1"/>
    <x v="1"/>
    <n v="5.4"/>
  </r>
  <r>
    <s v="E00710"/>
    <s v="FN711"/>
    <s v="LN711"/>
    <x v="1"/>
    <n v="45"/>
    <x v="1"/>
    <x v="4"/>
    <x v="3"/>
    <x v="2"/>
    <x v="1"/>
    <x v="634"/>
    <m/>
    <x v="0"/>
    <x v="50"/>
    <s v="Master"/>
    <n v="11"/>
    <n v="45684"/>
    <x v="16"/>
    <x v="24"/>
    <x v="16"/>
    <n v="18"/>
    <n v="7"/>
    <n v="32"/>
    <x v="1"/>
    <x v="2"/>
    <n v="1.4"/>
  </r>
  <r>
    <s v="E00711"/>
    <s v="FN712"/>
    <s v="LN712"/>
    <x v="0"/>
    <n v="26"/>
    <x v="3"/>
    <x v="10"/>
    <x v="1"/>
    <x v="1"/>
    <x v="1"/>
    <x v="635"/>
    <m/>
    <x v="0"/>
    <x v="22"/>
    <s v="MBA"/>
    <n v="3"/>
    <n v="88691"/>
    <x v="9"/>
    <x v="19"/>
    <x v="26"/>
    <n v="2"/>
    <n v="16"/>
    <n v="77"/>
    <x v="1"/>
    <x v="1"/>
    <n v="2.9"/>
  </r>
  <r>
    <s v="E00712"/>
    <s v="FN713"/>
    <s v="LN713"/>
    <x v="0"/>
    <n v="33"/>
    <x v="4"/>
    <x v="2"/>
    <x v="1"/>
    <x v="2"/>
    <x v="0"/>
    <x v="636"/>
    <m/>
    <x v="0"/>
    <x v="14"/>
    <s v="Bachelor"/>
    <n v="3"/>
    <n v="77521"/>
    <x v="1"/>
    <x v="25"/>
    <x v="33"/>
    <n v="16"/>
    <n v="4"/>
    <n v="7"/>
    <x v="0"/>
    <x v="0"/>
    <n v="4"/>
  </r>
  <r>
    <s v="E00713"/>
    <s v="FN714"/>
    <s v="LN714"/>
    <x v="0"/>
    <n v="49"/>
    <x v="5"/>
    <x v="6"/>
    <x v="1"/>
    <x v="2"/>
    <x v="1"/>
    <x v="481"/>
    <m/>
    <x v="0"/>
    <x v="47"/>
    <s v="MBA"/>
    <n v="0"/>
    <n v="75321"/>
    <x v="2"/>
    <x v="6"/>
    <x v="23"/>
    <n v="1"/>
    <n v="60"/>
    <n v="20"/>
    <x v="1"/>
    <x v="0"/>
    <n v="5.0999999999999996"/>
  </r>
  <r>
    <s v="E00714"/>
    <s v="FN715"/>
    <s v="LN715"/>
    <x v="1"/>
    <n v="21"/>
    <x v="4"/>
    <x v="6"/>
    <x v="4"/>
    <x v="0"/>
    <x v="0"/>
    <x v="637"/>
    <m/>
    <x v="0"/>
    <x v="18"/>
    <s v="MBA"/>
    <n v="0"/>
    <n v="120749"/>
    <x v="1"/>
    <x v="20"/>
    <x v="49"/>
    <n v="17"/>
    <n v="35"/>
    <n v="69"/>
    <x v="0"/>
    <x v="0"/>
    <n v="6.6"/>
  </r>
  <r>
    <s v="E00715"/>
    <s v="FN716"/>
    <s v="LN716"/>
    <x v="1"/>
    <n v="40"/>
    <x v="0"/>
    <x v="2"/>
    <x v="1"/>
    <x v="1"/>
    <x v="1"/>
    <x v="638"/>
    <m/>
    <x v="0"/>
    <x v="7"/>
    <s v="MBA"/>
    <n v="35"/>
    <n v="155273"/>
    <x v="18"/>
    <x v="20"/>
    <x v="3"/>
    <n v="19"/>
    <n v="50"/>
    <n v="40"/>
    <x v="0"/>
    <x v="0"/>
    <n v="4.2"/>
  </r>
  <r>
    <s v="E00716"/>
    <s v="FN717"/>
    <s v="LN717"/>
    <x v="0"/>
    <n v="31"/>
    <x v="1"/>
    <x v="1"/>
    <x v="3"/>
    <x v="2"/>
    <x v="0"/>
    <x v="537"/>
    <m/>
    <x v="0"/>
    <x v="65"/>
    <s v="Bachelor"/>
    <n v="19"/>
    <n v="77623"/>
    <x v="0"/>
    <x v="20"/>
    <x v="45"/>
    <n v="12"/>
    <n v="31"/>
    <n v="79"/>
    <x v="0"/>
    <x v="1"/>
    <n v="1.4"/>
  </r>
  <r>
    <s v="E00717"/>
    <s v="FN718"/>
    <s v="LN718"/>
    <x v="0"/>
    <n v="55"/>
    <x v="4"/>
    <x v="9"/>
    <x v="4"/>
    <x v="1"/>
    <x v="0"/>
    <x v="639"/>
    <m/>
    <x v="0"/>
    <x v="56"/>
    <s v="MBA"/>
    <n v="15"/>
    <n v="100046"/>
    <x v="9"/>
    <x v="23"/>
    <x v="6"/>
    <n v="11"/>
    <n v="5"/>
    <n v="59"/>
    <x v="1"/>
    <x v="0"/>
    <n v="1.7"/>
  </r>
  <r>
    <s v="E00718"/>
    <s v="FN719"/>
    <s v="LN719"/>
    <x v="1"/>
    <n v="46"/>
    <x v="2"/>
    <x v="7"/>
    <x v="2"/>
    <x v="0"/>
    <x v="0"/>
    <x v="640"/>
    <m/>
    <x v="0"/>
    <x v="3"/>
    <s v="Master"/>
    <n v="32"/>
    <n v="140740"/>
    <x v="19"/>
    <x v="3"/>
    <x v="36"/>
    <n v="20"/>
    <n v="17"/>
    <n v="25"/>
    <x v="1"/>
    <x v="0"/>
    <n v="7.9"/>
  </r>
  <r>
    <s v="E00719"/>
    <s v="FN720"/>
    <s v="LN720"/>
    <x v="0"/>
    <n v="33"/>
    <x v="1"/>
    <x v="1"/>
    <x v="2"/>
    <x v="0"/>
    <x v="0"/>
    <x v="641"/>
    <m/>
    <x v="0"/>
    <x v="78"/>
    <s v="MBA"/>
    <n v="0"/>
    <n v="173174"/>
    <x v="16"/>
    <x v="14"/>
    <x v="39"/>
    <n v="10"/>
    <n v="2"/>
    <n v="80"/>
    <x v="0"/>
    <x v="1"/>
    <n v="4.5999999999999996"/>
  </r>
  <r>
    <s v="E00720"/>
    <s v="FN721"/>
    <s v="LN721"/>
    <x v="1"/>
    <n v="39"/>
    <x v="3"/>
    <x v="10"/>
    <x v="1"/>
    <x v="1"/>
    <x v="1"/>
    <x v="642"/>
    <m/>
    <x v="0"/>
    <x v="11"/>
    <s v="MBA"/>
    <n v="15"/>
    <n v="151903"/>
    <x v="4"/>
    <x v="14"/>
    <x v="6"/>
    <n v="12"/>
    <n v="49"/>
    <n v="10"/>
    <x v="1"/>
    <x v="0"/>
    <n v="7.4"/>
  </r>
  <r>
    <s v="E00721"/>
    <s v="FN722"/>
    <s v="LN722"/>
    <x v="1"/>
    <n v="45"/>
    <x v="4"/>
    <x v="6"/>
    <x v="2"/>
    <x v="2"/>
    <x v="0"/>
    <x v="643"/>
    <m/>
    <x v="0"/>
    <x v="29"/>
    <s v="MBA"/>
    <n v="5"/>
    <n v="61348"/>
    <x v="7"/>
    <x v="3"/>
    <x v="43"/>
    <n v="10"/>
    <n v="4"/>
    <n v="24"/>
    <x v="1"/>
    <x v="1"/>
    <n v="8.1"/>
  </r>
  <r>
    <s v="E00722"/>
    <s v="FN723"/>
    <s v="LN723"/>
    <x v="0"/>
    <n v="48"/>
    <x v="1"/>
    <x v="4"/>
    <x v="3"/>
    <x v="2"/>
    <x v="0"/>
    <x v="644"/>
    <s v="2024-10-30"/>
    <x v="1"/>
    <x v="53"/>
    <s v="MBA"/>
    <n v="24"/>
    <n v="136711"/>
    <x v="0"/>
    <x v="14"/>
    <x v="4"/>
    <n v="2"/>
    <n v="34"/>
    <n v="37"/>
    <x v="1"/>
    <x v="1"/>
    <n v="6.8"/>
  </r>
  <r>
    <s v="E00723"/>
    <s v="FN724"/>
    <s v="LN724"/>
    <x v="1"/>
    <n v="28"/>
    <x v="2"/>
    <x v="7"/>
    <x v="1"/>
    <x v="1"/>
    <x v="1"/>
    <x v="645"/>
    <m/>
    <x v="0"/>
    <x v="74"/>
    <s v="Master"/>
    <n v="23"/>
    <n v="161237"/>
    <x v="19"/>
    <x v="7"/>
    <x v="18"/>
    <n v="20"/>
    <n v="43"/>
    <n v="70"/>
    <x v="0"/>
    <x v="2"/>
    <n v="4.5"/>
  </r>
  <r>
    <s v="E00724"/>
    <s v="FN725"/>
    <s v="LN725"/>
    <x v="0"/>
    <n v="42"/>
    <x v="4"/>
    <x v="9"/>
    <x v="2"/>
    <x v="0"/>
    <x v="0"/>
    <x v="253"/>
    <m/>
    <x v="0"/>
    <x v="75"/>
    <s v="Bachelor"/>
    <n v="19"/>
    <n v="52107"/>
    <x v="13"/>
    <x v="5"/>
    <x v="6"/>
    <n v="12"/>
    <n v="19"/>
    <n v="12"/>
    <x v="1"/>
    <x v="1"/>
    <n v="6.2"/>
  </r>
  <r>
    <s v="E00725"/>
    <s v="FN726"/>
    <s v="LN726"/>
    <x v="1"/>
    <n v="44"/>
    <x v="2"/>
    <x v="5"/>
    <x v="3"/>
    <x v="0"/>
    <x v="1"/>
    <x v="646"/>
    <m/>
    <x v="0"/>
    <x v="76"/>
    <s v="Master"/>
    <n v="21"/>
    <n v="60145"/>
    <x v="11"/>
    <x v="12"/>
    <x v="29"/>
    <n v="7"/>
    <n v="60"/>
    <n v="27"/>
    <x v="0"/>
    <x v="0"/>
    <n v="4"/>
  </r>
  <r>
    <s v="E00726"/>
    <s v="FN727"/>
    <s v="LN727"/>
    <x v="1"/>
    <n v="21"/>
    <x v="1"/>
    <x v="1"/>
    <x v="4"/>
    <x v="1"/>
    <x v="1"/>
    <x v="647"/>
    <m/>
    <x v="0"/>
    <x v="29"/>
    <s v="Master"/>
    <n v="35"/>
    <n v="166616"/>
    <x v="0"/>
    <x v="16"/>
    <x v="49"/>
    <n v="9"/>
    <n v="36"/>
    <n v="58"/>
    <x v="1"/>
    <x v="1"/>
    <n v="2.9"/>
  </r>
  <r>
    <s v="E00727"/>
    <s v="FN728"/>
    <s v="LN728"/>
    <x v="1"/>
    <n v="29"/>
    <x v="0"/>
    <x v="0"/>
    <x v="1"/>
    <x v="0"/>
    <x v="0"/>
    <x v="103"/>
    <m/>
    <x v="0"/>
    <x v="12"/>
    <s v="Bachelor"/>
    <n v="14"/>
    <n v="67028"/>
    <x v="17"/>
    <x v="5"/>
    <x v="32"/>
    <n v="13"/>
    <n v="39"/>
    <n v="20"/>
    <x v="0"/>
    <x v="1"/>
    <n v="1.8"/>
  </r>
  <r>
    <s v="E00728"/>
    <s v="FN729"/>
    <s v="LN729"/>
    <x v="1"/>
    <n v="27"/>
    <x v="3"/>
    <x v="10"/>
    <x v="4"/>
    <x v="0"/>
    <x v="0"/>
    <x v="648"/>
    <m/>
    <x v="0"/>
    <x v="44"/>
    <s v="Master"/>
    <n v="13"/>
    <n v="67909"/>
    <x v="0"/>
    <x v="6"/>
    <x v="17"/>
    <n v="0"/>
    <n v="51"/>
    <n v="69"/>
    <x v="1"/>
    <x v="2"/>
    <n v="1.7"/>
  </r>
  <r>
    <s v="E00729"/>
    <s v="FN730"/>
    <s v="LN730"/>
    <x v="0"/>
    <n v="56"/>
    <x v="5"/>
    <x v="8"/>
    <x v="0"/>
    <x v="2"/>
    <x v="1"/>
    <x v="649"/>
    <m/>
    <x v="0"/>
    <x v="79"/>
    <s v="MBA"/>
    <n v="16"/>
    <n v="142877"/>
    <x v="7"/>
    <x v="16"/>
    <x v="18"/>
    <n v="10"/>
    <n v="26"/>
    <n v="15"/>
    <x v="1"/>
    <x v="0"/>
    <n v="9.3000000000000007"/>
  </r>
  <r>
    <s v="E00730"/>
    <s v="FN731"/>
    <s v="LN731"/>
    <x v="1"/>
    <n v="34"/>
    <x v="1"/>
    <x v="4"/>
    <x v="3"/>
    <x v="1"/>
    <x v="1"/>
    <x v="650"/>
    <m/>
    <x v="0"/>
    <x v="60"/>
    <s v="Master"/>
    <n v="35"/>
    <n v="41708"/>
    <x v="16"/>
    <x v="22"/>
    <x v="44"/>
    <n v="2"/>
    <n v="10"/>
    <n v="28"/>
    <x v="0"/>
    <x v="0"/>
    <n v="3.5"/>
  </r>
  <r>
    <s v="E00731"/>
    <s v="FN732"/>
    <s v="LN732"/>
    <x v="0"/>
    <n v="34"/>
    <x v="2"/>
    <x v="3"/>
    <x v="0"/>
    <x v="2"/>
    <x v="1"/>
    <x v="651"/>
    <m/>
    <x v="0"/>
    <x v="27"/>
    <s v="Master"/>
    <n v="5"/>
    <n v="108792"/>
    <x v="17"/>
    <x v="17"/>
    <x v="11"/>
    <n v="8"/>
    <n v="48"/>
    <n v="24"/>
    <x v="1"/>
    <x v="2"/>
    <n v="6.6"/>
  </r>
  <r>
    <s v="E00732"/>
    <s v="FN733"/>
    <s v="LN733"/>
    <x v="1"/>
    <n v="45"/>
    <x v="2"/>
    <x v="7"/>
    <x v="0"/>
    <x v="2"/>
    <x v="1"/>
    <x v="652"/>
    <m/>
    <x v="0"/>
    <x v="20"/>
    <s v="Master"/>
    <n v="3"/>
    <n v="71122"/>
    <x v="18"/>
    <x v="4"/>
    <x v="5"/>
    <n v="15"/>
    <n v="0"/>
    <n v="68"/>
    <x v="1"/>
    <x v="1"/>
    <n v="3.2"/>
  </r>
  <r>
    <s v="E00733"/>
    <s v="FN734"/>
    <s v="LN734"/>
    <x v="0"/>
    <n v="53"/>
    <x v="3"/>
    <x v="10"/>
    <x v="3"/>
    <x v="2"/>
    <x v="0"/>
    <x v="653"/>
    <m/>
    <x v="0"/>
    <x v="59"/>
    <s v="MBA"/>
    <n v="0"/>
    <n v="170513"/>
    <x v="1"/>
    <x v="16"/>
    <x v="22"/>
    <n v="19"/>
    <n v="45"/>
    <n v="41"/>
    <x v="1"/>
    <x v="0"/>
    <n v="3.6"/>
  </r>
  <r>
    <s v="E00734"/>
    <s v="FN735"/>
    <s v="LN735"/>
    <x v="1"/>
    <n v="57"/>
    <x v="0"/>
    <x v="2"/>
    <x v="0"/>
    <x v="0"/>
    <x v="0"/>
    <x v="654"/>
    <m/>
    <x v="0"/>
    <x v="14"/>
    <s v="Bachelor"/>
    <n v="1"/>
    <n v="175093"/>
    <x v="11"/>
    <x v="0"/>
    <x v="45"/>
    <n v="5"/>
    <n v="43"/>
    <n v="65"/>
    <x v="1"/>
    <x v="2"/>
    <n v="10.4"/>
  </r>
  <r>
    <s v="E00735"/>
    <s v="FN736"/>
    <s v="LN736"/>
    <x v="1"/>
    <n v="25"/>
    <x v="3"/>
    <x v="2"/>
    <x v="3"/>
    <x v="1"/>
    <x v="1"/>
    <x v="655"/>
    <m/>
    <x v="0"/>
    <x v="11"/>
    <s v="Master"/>
    <n v="21"/>
    <n v="164938"/>
    <x v="20"/>
    <x v="24"/>
    <x v="38"/>
    <n v="10"/>
    <n v="32"/>
    <n v="74"/>
    <x v="1"/>
    <x v="0"/>
    <n v="5.7"/>
  </r>
  <r>
    <s v="E00736"/>
    <s v="FN737"/>
    <s v="LN737"/>
    <x v="0"/>
    <n v="21"/>
    <x v="5"/>
    <x v="2"/>
    <x v="4"/>
    <x v="2"/>
    <x v="1"/>
    <x v="656"/>
    <m/>
    <x v="0"/>
    <x v="64"/>
    <s v="Bachelor"/>
    <n v="24"/>
    <n v="73021"/>
    <x v="7"/>
    <x v="7"/>
    <x v="48"/>
    <n v="8"/>
    <n v="59"/>
    <n v="47"/>
    <x v="0"/>
    <x v="1"/>
    <n v="6.9"/>
  </r>
  <r>
    <s v="E00737"/>
    <s v="FN738"/>
    <s v="LN738"/>
    <x v="1"/>
    <n v="26"/>
    <x v="0"/>
    <x v="2"/>
    <x v="3"/>
    <x v="2"/>
    <x v="0"/>
    <x v="114"/>
    <m/>
    <x v="0"/>
    <x v="56"/>
    <s v="MBA"/>
    <n v="11"/>
    <n v="65566"/>
    <x v="20"/>
    <x v="10"/>
    <x v="45"/>
    <n v="6"/>
    <n v="12"/>
    <n v="57"/>
    <x v="1"/>
    <x v="2"/>
    <n v="1.5"/>
  </r>
  <r>
    <s v="E00738"/>
    <s v="FN739"/>
    <s v="LN739"/>
    <x v="1"/>
    <n v="57"/>
    <x v="4"/>
    <x v="9"/>
    <x v="1"/>
    <x v="2"/>
    <x v="0"/>
    <x v="657"/>
    <m/>
    <x v="0"/>
    <x v="51"/>
    <s v="Master"/>
    <n v="35"/>
    <n v="154951"/>
    <x v="18"/>
    <x v="16"/>
    <x v="25"/>
    <n v="15"/>
    <n v="35"/>
    <n v="42"/>
    <x v="1"/>
    <x v="0"/>
    <n v="1.8"/>
  </r>
  <r>
    <s v="E00739"/>
    <s v="FN740"/>
    <s v="LN740"/>
    <x v="0"/>
    <n v="47"/>
    <x v="0"/>
    <x v="0"/>
    <x v="3"/>
    <x v="1"/>
    <x v="0"/>
    <x v="658"/>
    <m/>
    <x v="0"/>
    <x v="63"/>
    <s v="Master"/>
    <n v="21"/>
    <n v="135380"/>
    <x v="0"/>
    <x v="16"/>
    <x v="13"/>
    <n v="14"/>
    <n v="26"/>
    <n v="31"/>
    <x v="1"/>
    <x v="1"/>
    <n v="4"/>
  </r>
  <r>
    <s v="E00740"/>
    <s v="FN741"/>
    <s v="LN741"/>
    <x v="1"/>
    <n v="38"/>
    <x v="2"/>
    <x v="5"/>
    <x v="4"/>
    <x v="1"/>
    <x v="0"/>
    <x v="659"/>
    <m/>
    <x v="0"/>
    <x v="33"/>
    <s v="Master"/>
    <n v="25"/>
    <n v="150661"/>
    <x v="1"/>
    <x v="21"/>
    <x v="34"/>
    <n v="18"/>
    <n v="38"/>
    <n v="36"/>
    <x v="0"/>
    <x v="0"/>
    <n v="2.9"/>
  </r>
  <r>
    <s v="E00741"/>
    <s v="FN742"/>
    <s v="LN742"/>
    <x v="0"/>
    <n v="27"/>
    <x v="1"/>
    <x v="1"/>
    <x v="1"/>
    <x v="2"/>
    <x v="0"/>
    <x v="51"/>
    <m/>
    <x v="0"/>
    <x v="4"/>
    <s v="MBA"/>
    <n v="3"/>
    <n v="103355"/>
    <x v="17"/>
    <x v="1"/>
    <x v="42"/>
    <n v="8"/>
    <n v="43"/>
    <n v="47"/>
    <x v="0"/>
    <x v="1"/>
    <n v="7.5"/>
  </r>
  <r>
    <s v="E00742"/>
    <s v="FN743"/>
    <s v="LN743"/>
    <x v="1"/>
    <n v="27"/>
    <x v="0"/>
    <x v="0"/>
    <x v="0"/>
    <x v="2"/>
    <x v="0"/>
    <x v="253"/>
    <m/>
    <x v="0"/>
    <x v="23"/>
    <s v="Master"/>
    <n v="1"/>
    <n v="81983"/>
    <x v="5"/>
    <x v="17"/>
    <x v="2"/>
    <n v="14"/>
    <n v="47"/>
    <n v="13"/>
    <x v="0"/>
    <x v="1"/>
    <n v="6.2"/>
  </r>
  <r>
    <s v="E00743"/>
    <s v="FN744"/>
    <s v="LN744"/>
    <x v="0"/>
    <n v="34"/>
    <x v="3"/>
    <x v="10"/>
    <x v="3"/>
    <x v="0"/>
    <x v="1"/>
    <x v="660"/>
    <m/>
    <x v="0"/>
    <x v="71"/>
    <s v="Master"/>
    <n v="9"/>
    <n v="179770"/>
    <x v="9"/>
    <x v="15"/>
    <x v="9"/>
    <n v="9"/>
    <n v="58"/>
    <n v="68"/>
    <x v="0"/>
    <x v="0"/>
    <n v="9"/>
  </r>
  <r>
    <s v="E00744"/>
    <s v="FN745"/>
    <s v="LN745"/>
    <x v="1"/>
    <n v="39"/>
    <x v="2"/>
    <x v="7"/>
    <x v="0"/>
    <x v="0"/>
    <x v="0"/>
    <x v="661"/>
    <m/>
    <x v="0"/>
    <x v="50"/>
    <s v="Master"/>
    <n v="5"/>
    <n v="143002"/>
    <x v="7"/>
    <x v="23"/>
    <x v="32"/>
    <n v="18"/>
    <n v="3"/>
    <n v="15"/>
    <x v="1"/>
    <x v="1"/>
    <n v="2.2999999999999998"/>
  </r>
  <r>
    <s v="E00745"/>
    <s v="FN746"/>
    <s v="LN746"/>
    <x v="1"/>
    <n v="39"/>
    <x v="5"/>
    <x v="8"/>
    <x v="0"/>
    <x v="1"/>
    <x v="0"/>
    <x v="424"/>
    <m/>
    <x v="0"/>
    <x v="3"/>
    <s v="Master"/>
    <n v="13"/>
    <n v="85211"/>
    <x v="8"/>
    <x v="12"/>
    <x v="39"/>
    <n v="3"/>
    <n v="6"/>
    <n v="31"/>
    <x v="1"/>
    <x v="0"/>
    <n v="4.9000000000000004"/>
  </r>
  <r>
    <s v="E00746"/>
    <s v="FN747"/>
    <s v="LN747"/>
    <x v="0"/>
    <n v="48"/>
    <x v="5"/>
    <x v="8"/>
    <x v="4"/>
    <x v="1"/>
    <x v="1"/>
    <x v="217"/>
    <m/>
    <x v="0"/>
    <x v="41"/>
    <s v="Master"/>
    <n v="29"/>
    <n v="82045"/>
    <x v="9"/>
    <x v="14"/>
    <x v="17"/>
    <n v="14"/>
    <n v="54"/>
    <n v="76"/>
    <x v="0"/>
    <x v="2"/>
    <n v="3.1"/>
  </r>
  <r>
    <s v="E00747"/>
    <s v="FN748"/>
    <s v="LN748"/>
    <x v="0"/>
    <n v="44"/>
    <x v="0"/>
    <x v="0"/>
    <x v="1"/>
    <x v="2"/>
    <x v="0"/>
    <x v="662"/>
    <m/>
    <x v="0"/>
    <x v="70"/>
    <s v="Bachelor"/>
    <n v="2"/>
    <n v="173297"/>
    <x v="14"/>
    <x v="21"/>
    <x v="17"/>
    <n v="18"/>
    <n v="13"/>
    <n v="65"/>
    <x v="0"/>
    <x v="2"/>
    <n v="1.5"/>
  </r>
  <r>
    <s v="E00748"/>
    <s v="FN749"/>
    <s v="LN749"/>
    <x v="0"/>
    <n v="52"/>
    <x v="4"/>
    <x v="9"/>
    <x v="4"/>
    <x v="0"/>
    <x v="0"/>
    <x v="663"/>
    <m/>
    <x v="0"/>
    <x v="43"/>
    <s v="Bachelor"/>
    <n v="35"/>
    <n v="48142"/>
    <x v="19"/>
    <x v="10"/>
    <x v="8"/>
    <n v="16"/>
    <n v="26"/>
    <n v="38"/>
    <x v="1"/>
    <x v="1"/>
    <n v="1"/>
  </r>
  <r>
    <s v="E00749"/>
    <s v="FN750"/>
    <s v="LN750"/>
    <x v="0"/>
    <n v="41"/>
    <x v="5"/>
    <x v="8"/>
    <x v="2"/>
    <x v="1"/>
    <x v="0"/>
    <x v="664"/>
    <m/>
    <x v="0"/>
    <x v="29"/>
    <s v="Master"/>
    <n v="29"/>
    <n v="87953"/>
    <x v="3"/>
    <x v="23"/>
    <x v="1"/>
    <n v="1"/>
    <n v="35"/>
    <n v="18"/>
    <x v="1"/>
    <x v="0"/>
    <n v="7.2"/>
  </r>
  <r>
    <s v="E00750"/>
    <s v="FN751"/>
    <s v="LN751"/>
    <x v="0"/>
    <n v="52"/>
    <x v="1"/>
    <x v="4"/>
    <x v="1"/>
    <x v="1"/>
    <x v="1"/>
    <x v="665"/>
    <m/>
    <x v="0"/>
    <x v="42"/>
    <s v="MBA"/>
    <n v="26"/>
    <n v="64204"/>
    <x v="20"/>
    <x v="11"/>
    <x v="30"/>
    <n v="6"/>
    <n v="42"/>
    <n v="38"/>
    <x v="1"/>
    <x v="1"/>
    <n v="3"/>
  </r>
  <r>
    <s v="E00751"/>
    <s v="FN752"/>
    <s v="LN752"/>
    <x v="0"/>
    <n v="26"/>
    <x v="2"/>
    <x v="5"/>
    <x v="1"/>
    <x v="2"/>
    <x v="0"/>
    <x v="666"/>
    <m/>
    <x v="0"/>
    <x v="69"/>
    <s v="MBA"/>
    <n v="26"/>
    <n v="137038"/>
    <x v="19"/>
    <x v="9"/>
    <x v="36"/>
    <n v="13"/>
    <n v="9"/>
    <n v="10"/>
    <x v="1"/>
    <x v="0"/>
    <n v="7.7"/>
  </r>
  <r>
    <s v="E00752"/>
    <s v="FN753"/>
    <s v="LN753"/>
    <x v="0"/>
    <n v="47"/>
    <x v="3"/>
    <x v="10"/>
    <x v="0"/>
    <x v="1"/>
    <x v="0"/>
    <x v="328"/>
    <m/>
    <x v="0"/>
    <x v="41"/>
    <s v="Bachelor"/>
    <n v="11"/>
    <n v="155614"/>
    <x v="8"/>
    <x v="6"/>
    <x v="43"/>
    <n v="5"/>
    <n v="48"/>
    <n v="26"/>
    <x v="0"/>
    <x v="1"/>
    <n v="9.6999999999999993"/>
  </r>
  <r>
    <s v="E00753"/>
    <s v="FN754"/>
    <s v="LN754"/>
    <x v="0"/>
    <n v="27"/>
    <x v="4"/>
    <x v="9"/>
    <x v="0"/>
    <x v="2"/>
    <x v="1"/>
    <x v="667"/>
    <m/>
    <x v="0"/>
    <x v="20"/>
    <s v="MBA"/>
    <n v="0"/>
    <n v="59916"/>
    <x v="2"/>
    <x v="18"/>
    <x v="42"/>
    <n v="10"/>
    <n v="39"/>
    <n v="40"/>
    <x v="1"/>
    <x v="0"/>
    <n v="9.8000000000000007"/>
  </r>
  <r>
    <s v="E00754"/>
    <s v="FN755"/>
    <s v="LN755"/>
    <x v="0"/>
    <n v="46"/>
    <x v="0"/>
    <x v="2"/>
    <x v="2"/>
    <x v="1"/>
    <x v="0"/>
    <x v="668"/>
    <m/>
    <x v="0"/>
    <x v="0"/>
    <s v="MBA"/>
    <n v="11"/>
    <n v="85026"/>
    <x v="4"/>
    <x v="6"/>
    <x v="11"/>
    <n v="18"/>
    <n v="52"/>
    <n v="67"/>
    <x v="0"/>
    <x v="0"/>
    <n v="5"/>
  </r>
  <r>
    <s v="E00755"/>
    <s v="FN756"/>
    <s v="LN756"/>
    <x v="1"/>
    <n v="39"/>
    <x v="5"/>
    <x v="2"/>
    <x v="2"/>
    <x v="1"/>
    <x v="1"/>
    <x v="669"/>
    <s v="2020-04-17"/>
    <x v="1"/>
    <x v="70"/>
    <s v="MBA"/>
    <n v="34"/>
    <n v="51195"/>
    <x v="4"/>
    <x v="23"/>
    <x v="45"/>
    <n v="0"/>
    <n v="39"/>
    <n v="38"/>
    <x v="1"/>
    <x v="1"/>
    <n v="9.8000000000000007"/>
  </r>
  <r>
    <s v="E00756"/>
    <s v="FN757"/>
    <s v="LN757"/>
    <x v="1"/>
    <n v="24"/>
    <x v="0"/>
    <x v="0"/>
    <x v="4"/>
    <x v="0"/>
    <x v="0"/>
    <x v="670"/>
    <m/>
    <x v="0"/>
    <x v="71"/>
    <s v="Bachelor"/>
    <n v="14"/>
    <n v="62615"/>
    <x v="9"/>
    <x v="4"/>
    <x v="7"/>
    <n v="17"/>
    <n v="18"/>
    <n v="78"/>
    <x v="1"/>
    <x v="1"/>
    <n v="3.7"/>
  </r>
  <r>
    <s v="E00757"/>
    <s v="FN758"/>
    <s v="LN758"/>
    <x v="1"/>
    <n v="47"/>
    <x v="3"/>
    <x v="2"/>
    <x v="1"/>
    <x v="1"/>
    <x v="1"/>
    <x v="671"/>
    <m/>
    <x v="0"/>
    <x v="48"/>
    <s v="Bachelor"/>
    <n v="30"/>
    <n v="125111"/>
    <x v="9"/>
    <x v="15"/>
    <x v="2"/>
    <n v="4"/>
    <n v="15"/>
    <n v="36"/>
    <x v="1"/>
    <x v="1"/>
    <n v="8"/>
  </r>
  <r>
    <s v="E00758"/>
    <s v="FN759"/>
    <s v="LN759"/>
    <x v="1"/>
    <n v="52"/>
    <x v="3"/>
    <x v="10"/>
    <x v="0"/>
    <x v="0"/>
    <x v="0"/>
    <x v="672"/>
    <m/>
    <x v="0"/>
    <x v="64"/>
    <s v="Master"/>
    <n v="1"/>
    <n v="74544"/>
    <x v="9"/>
    <x v="15"/>
    <x v="25"/>
    <n v="9"/>
    <n v="10"/>
    <n v="33"/>
    <x v="0"/>
    <x v="0"/>
    <n v="0.6"/>
  </r>
  <r>
    <s v="E00759"/>
    <s v="FN760"/>
    <s v="LN760"/>
    <x v="1"/>
    <n v="39"/>
    <x v="0"/>
    <x v="2"/>
    <x v="0"/>
    <x v="1"/>
    <x v="1"/>
    <x v="379"/>
    <m/>
    <x v="0"/>
    <x v="63"/>
    <s v="Master"/>
    <n v="31"/>
    <n v="122893"/>
    <x v="14"/>
    <x v="5"/>
    <x v="13"/>
    <n v="20"/>
    <n v="4"/>
    <n v="56"/>
    <x v="1"/>
    <x v="2"/>
    <n v="7.8"/>
  </r>
  <r>
    <s v="E00760"/>
    <s v="FN761"/>
    <s v="LN761"/>
    <x v="1"/>
    <n v="50"/>
    <x v="5"/>
    <x v="2"/>
    <x v="0"/>
    <x v="1"/>
    <x v="0"/>
    <x v="673"/>
    <m/>
    <x v="0"/>
    <x v="24"/>
    <s v="Bachelor"/>
    <n v="10"/>
    <n v="177053"/>
    <x v="9"/>
    <x v="21"/>
    <x v="23"/>
    <n v="20"/>
    <n v="27"/>
    <n v="51"/>
    <x v="1"/>
    <x v="1"/>
    <n v="1.4"/>
  </r>
  <r>
    <s v="E00761"/>
    <s v="FN762"/>
    <s v="LN762"/>
    <x v="1"/>
    <n v="29"/>
    <x v="2"/>
    <x v="7"/>
    <x v="4"/>
    <x v="2"/>
    <x v="0"/>
    <x v="674"/>
    <m/>
    <x v="0"/>
    <x v="42"/>
    <s v="Bachelor"/>
    <n v="20"/>
    <n v="105098"/>
    <x v="19"/>
    <x v="14"/>
    <x v="4"/>
    <n v="10"/>
    <n v="26"/>
    <n v="20"/>
    <x v="1"/>
    <x v="1"/>
    <n v="2.2000000000000002"/>
  </r>
  <r>
    <s v="E00762"/>
    <s v="FN763"/>
    <s v="LN763"/>
    <x v="1"/>
    <n v="29"/>
    <x v="1"/>
    <x v="4"/>
    <x v="4"/>
    <x v="0"/>
    <x v="1"/>
    <x v="412"/>
    <m/>
    <x v="0"/>
    <x v="65"/>
    <s v="Bachelor"/>
    <n v="23"/>
    <n v="47710"/>
    <x v="12"/>
    <x v="12"/>
    <x v="49"/>
    <n v="3"/>
    <n v="25"/>
    <n v="64"/>
    <x v="0"/>
    <x v="1"/>
    <n v="5.7"/>
  </r>
  <r>
    <s v="E00763"/>
    <s v="FN764"/>
    <s v="LN764"/>
    <x v="1"/>
    <n v="35"/>
    <x v="1"/>
    <x v="1"/>
    <x v="4"/>
    <x v="1"/>
    <x v="1"/>
    <x v="54"/>
    <m/>
    <x v="0"/>
    <x v="13"/>
    <s v="MBA"/>
    <n v="24"/>
    <n v="128334"/>
    <x v="13"/>
    <x v="25"/>
    <x v="27"/>
    <n v="8"/>
    <n v="6"/>
    <n v="42"/>
    <x v="0"/>
    <x v="2"/>
    <n v="5.0999999999999996"/>
  </r>
  <r>
    <s v="E00764"/>
    <s v="FN765"/>
    <s v="LN765"/>
    <x v="0"/>
    <n v="56"/>
    <x v="3"/>
    <x v="2"/>
    <x v="3"/>
    <x v="0"/>
    <x v="1"/>
    <x v="675"/>
    <m/>
    <x v="0"/>
    <x v="58"/>
    <s v="Master"/>
    <n v="33"/>
    <n v="145980"/>
    <x v="13"/>
    <x v="7"/>
    <x v="21"/>
    <n v="14"/>
    <n v="41"/>
    <n v="10"/>
    <x v="1"/>
    <x v="1"/>
    <n v="0.5"/>
  </r>
  <r>
    <s v="E00765"/>
    <s v="FN766"/>
    <s v="LN766"/>
    <x v="1"/>
    <n v="23"/>
    <x v="5"/>
    <x v="6"/>
    <x v="4"/>
    <x v="1"/>
    <x v="0"/>
    <x v="676"/>
    <s v="2025-08-06"/>
    <x v="1"/>
    <x v="49"/>
    <s v="Master"/>
    <n v="0"/>
    <n v="61036"/>
    <x v="2"/>
    <x v="10"/>
    <x v="41"/>
    <n v="4"/>
    <n v="54"/>
    <n v="18"/>
    <x v="0"/>
    <x v="2"/>
    <n v="2.1"/>
  </r>
  <r>
    <s v="E00766"/>
    <s v="FN767"/>
    <s v="LN767"/>
    <x v="1"/>
    <n v="35"/>
    <x v="2"/>
    <x v="3"/>
    <x v="1"/>
    <x v="2"/>
    <x v="0"/>
    <x v="677"/>
    <m/>
    <x v="0"/>
    <x v="41"/>
    <s v="Master"/>
    <n v="22"/>
    <n v="97193"/>
    <x v="10"/>
    <x v="18"/>
    <x v="43"/>
    <n v="15"/>
    <n v="18"/>
    <n v="58"/>
    <x v="0"/>
    <x v="1"/>
    <n v="5.4"/>
  </r>
  <r>
    <s v="E00767"/>
    <s v="FN768"/>
    <s v="LN768"/>
    <x v="0"/>
    <n v="42"/>
    <x v="2"/>
    <x v="3"/>
    <x v="2"/>
    <x v="0"/>
    <x v="0"/>
    <x v="678"/>
    <m/>
    <x v="0"/>
    <x v="43"/>
    <s v="Master"/>
    <n v="6"/>
    <n v="152696"/>
    <x v="1"/>
    <x v="18"/>
    <x v="23"/>
    <n v="4"/>
    <n v="38"/>
    <n v="67"/>
    <x v="1"/>
    <x v="1"/>
    <n v="1.2"/>
  </r>
  <r>
    <s v="E00768"/>
    <s v="FN769"/>
    <s v="LN769"/>
    <x v="0"/>
    <n v="57"/>
    <x v="4"/>
    <x v="9"/>
    <x v="4"/>
    <x v="2"/>
    <x v="0"/>
    <x v="679"/>
    <m/>
    <x v="0"/>
    <x v="8"/>
    <s v="Bachelor"/>
    <n v="3"/>
    <n v="125497"/>
    <x v="7"/>
    <x v="2"/>
    <x v="26"/>
    <n v="7"/>
    <n v="29"/>
    <n v="33"/>
    <x v="0"/>
    <x v="0"/>
    <n v="4.8"/>
  </r>
  <r>
    <s v="E00769"/>
    <s v="FN770"/>
    <s v="LN770"/>
    <x v="1"/>
    <n v="56"/>
    <x v="1"/>
    <x v="4"/>
    <x v="1"/>
    <x v="0"/>
    <x v="0"/>
    <x v="680"/>
    <m/>
    <x v="0"/>
    <x v="37"/>
    <s v="Master"/>
    <n v="35"/>
    <n v="138941"/>
    <x v="20"/>
    <x v="20"/>
    <x v="44"/>
    <n v="7"/>
    <n v="60"/>
    <n v="80"/>
    <x v="1"/>
    <x v="1"/>
    <n v="5.6"/>
  </r>
  <r>
    <s v="E00770"/>
    <s v="FN771"/>
    <s v="LN771"/>
    <x v="0"/>
    <n v="58"/>
    <x v="3"/>
    <x v="10"/>
    <x v="1"/>
    <x v="1"/>
    <x v="0"/>
    <x v="400"/>
    <m/>
    <x v="0"/>
    <x v="14"/>
    <s v="Bachelor"/>
    <n v="32"/>
    <n v="142207"/>
    <x v="6"/>
    <x v="14"/>
    <x v="27"/>
    <n v="13"/>
    <n v="57"/>
    <n v="48"/>
    <x v="1"/>
    <x v="2"/>
    <n v="9.3000000000000007"/>
  </r>
  <r>
    <s v="E00771"/>
    <s v="FN772"/>
    <s v="LN772"/>
    <x v="1"/>
    <n v="39"/>
    <x v="0"/>
    <x v="2"/>
    <x v="4"/>
    <x v="0"/>
    <x v="0"/>
    <x v="295"/>
    <m/>
    <x v="0"/>
    <x v="1"/>
    <s v="MBA"/>
    <n v="20"/>
    <n v="41271"/>
    <x v="12"/>
    <x v="7"/>
    <x v="33"/>
    <n v="3"/>
    <n v="13"/>
    <n v="77"/>
    <x v="1"/>
    <x v="1"/>
    <n v="0.3"/>
  </r>
  <r>
    <s v="E00772"/>
    <s v="FN773"/>
    <s v="LN773"/>
    <x v="0"/>
    <n v="46"/>
    <x v="2"/>
    <x v="5"/>
    <x v="3"/>
    <x v="0"/>
    <x v="0"/>
    <x v="681"/>
    <m/>
    <x v="0"/>
    <x v="23"/>
    <s v="MBA"/>
    <n v="15"/>
    <n v="133442"/>
    <x v="17"/>
    <x v="19"/>
    <x v="39"/>
    <n v="15"/>
    <n v="27"/>
    <n v="16"/>
    <x v="0"/>
    <x v="2"/>
    <n v="2.9"/>
  </r>
  <r>
    <s v="E00773"/>
    <s v="FN774"/>
    <s v="LN774"/>
    <x v="1"/>
    <n v="25"/>
    <x v="4"/>
    <x v="6"/>
    <x v="2"/>
    <x v="0"/>
    <x v="1"/>
    <x v="682"/>
    <m/>
    <x v="0"/>
    <x v="46"/>
    <s v="Bachelor"/>
    <n v="20"/>
    <n v="77145"/>
    <x v="4"/>
    <x v="5"/>
    <x v="37"/>
    <n v="14"/>
    <n v="9"/>
    <n v="19"/>
    <x v="0"/>
    <x v="1"/>
    <n v="10"/>
  </r>
  <r>
    <s v="E00774"/>
    <s v="FN775"/>
    <s v="LN775"/>
    <x v="1"/>
    <n v="53"/>
    <x v="1"/>
    <x v="4"/>
    <x v="1"/>
    <x v="2"/>
    <x v="0"/>
    <x v="683"/>
    <m/>
    <x v="0"/>
    <x v="2"/>
    <s v="Bachelor"/>
    <n v="1"/>
    <n v="126749"/>
    <x v="3"/>
    <x v="19"/>
    <x v="36"/>
    <n v="7"/>
    <n v="53"/>
    <n v="51"/>
    <x v="1"/>
    <x v="0"/>
    <n v="9.6999999999999993"/>
  </r>
  <r>
    <s v="E00775"/>
    <s v="FN776"/>
    <s v="LN776"/>
    <x v="1"/>
    <n v="45"/>
    <x v="0"/>
    <x v="2"/>
    <x v="3"/>
    <x v="0"/>
    <x v="0"/>
    <x v="658"/>
    <m/>
    <x v="0"/>
    <x v="5"/>
    <s v="MBA"/>
    <n v="11"/>
    <n v="52808"/>
    <x v="5"/>
    <x v="18"/>
    <x v="23"/>
    <n v="2"/>
    <n v="13"/>
    <n v="42"/>
    <x v="0"/>
    <x v="0"/>
    <n v="4"/>
  </r>
  <r>
    <s v="E00776"/>
    <s v="FN777"/>
    <s v="LN777"/>
    <x v="0"/>
    <n v="56"/>
    <x v="4"/>
    <x v="9"/>
    <x v="1"/>
    <x v="0"/>
    <x v="0"/>
    <x v="684"/>
    <m/>
    <x v="0"/>
    <x v="28"/>
    <s v="Master"/>
    <n v="23"/>
    <n v="62211"/>
    <x v="7"/>
    <x v="0"/>
    <x v="6"/>
    <n v="10"/>
    <n v="14"/>
    <n v="19"/>
    <x v="1"/>
    <x v="2"/>
    <n v="5.8"/>
  </r>
  <r>
    <s v="E00777"/>
    <s v="FN778"/>
    <s v="LN778"/>
    <x v="1"/>
    <n v="23"/>
    <x v="4"/>
    <x v="2"/>
    <x v="2"/>
    <x v="1"/>
    <x v="0"/>
    <x v="685"/>
    <m/>
    <x v="0"/>
    <x v="56"/>
    <s v="Master"/>
    <n v="18"/>
    <n v="118169"/>
    <x v="4"/>
    <x v="7"/>
    <x v="30"/>
    <n v="7"/>
    <n v="59"/>
    <n v="68"/>
    <x v="0"/>
    <x v="2"/>
    <n v="3.6"/>
  </r>
  <r>
    <s v="E00778"/>
    <s v="FN779"/>
    <s v="LN779"/>
    <x v="0"/>
    <n v="25"/>
    <x v="1"/>
    <x v="1"/>
    <x v="4"/>
    <x v="0"/>
    <x v="1"/>
    <x v="686"/>
    <s v="2026-11-14"/>
    <x v="1"/>
    <x v="59"/>
    <s v="Master"/>
    <n v="3"/>
    <n v="104501"/>
    <x v="3"/>
    <x v="3"/>
    <x v="19"/>
    <n v="2"/>
    <n v="57"/>
    <n v="0"/>
    <x v="1"/>
    <x v="2"/>
    <n v="4.2"/>
  </r>
  <r>
    <s v="E00779"/>
    <s v="FN780"/>
    <s v="LN780"/>
    <x v="1"/>
    <n v="34"/>
    <x v="5"/>
    <x v="2"/>
    <x v="1"/>
    <x v="1"/>
    <x v="0"/>
    <x v="687"/>
    <m/>
    <x v="0"/>
    <x v="75"/>
    <s v="MBA"/>
    <n v="13"/>
    <n v="52276"/>
    <x v="4"/>
    <x v="24"/>
    <x v="33"/>
    <n v="12"/>
    <n v="35"/>
    <n v="50"/>
    <x v="1"/>
    <x v="1"/>
    <n v="5.5"/>
  </r>
  <r>
    <s v="E00780"/>
    <s v="FN781"/>
    <s v="LN781"/>
    <x v="1"/>
    <n v="41"/>
    <x v="2"/>
    <x v="3"/>
    <x v="4"/>
    <x v="2"/>
    <x v="1"/>
    <x v="688"/>
    <m/>
    <x v="0"/>
    <x v="7"/>
    <s v="Bachelor"/>
    <n v="33"/>
    <n v="99546"/>
    <x v="20"/>
    <x v="4"/>
    <x v="5"/>
    <n v="12"/>
    <n v="51"/>
    <n v="46"/>
    <x v="1"/>
    <x v="2"/>
    <n v="8.9"/>
  </r>
  <r>
    <s v="E00781"/>
    <s v="FN782"/>
    <s v="LN782"/>
    <x v="0"/>
    <n v="37"/>
    <x v="5"/>
    <x v="2"/>
    <x v="1"/>
    <x v="0"/>
    <x v="1"/>
    <x v="689"/>
    <s v="2018-12-01"/>
    <x v="1"/>
    <x v="48"/>
    <s v="Bachelor"/>
    <n v="20"/>
    <n v="47725"/>
    <x v="14"/>
    <x v="10"/>
    <x v="4"/>
    <n v="19"/>
    <n v="40"/>
    <n v="54"/>
    <x v="1"/>
    <x v="2"/>
    <n v="10.5"/>
  </r>
  <r>
    <s v="E00782"/>
    <s v="FN783"/>
    <s v="LN783"/>
    <x v="0"/>
    <n v="47"/>
    <x v="0"/>
    <x v="2"/>
    <x v="3"/>
    <x v="1"/>
    <x v="0"/>
    <x v="690"/>
    <m/>
    <x v="0"/>
    <x v="4"/>
    <s v="Master"/>
    <n v="24"/>
    <n v="101402"/>
    <x v="5"/>
    <x v="21"/>
    <x v="49"/>
    <n v="18"/>
    <n v="30"/>
    <n v="60"/>
    <x v="1"/>
    <x v="0"/>
    <n v="3.3"/>
  </r>
  <r>
    <s v="E00783"/>
    <s v="FN784"/>
    <s v="LN784"/>
    <x v="1"/>
    <n v="27"/>
    <x v="2"/>
    <x v="3"/>
    <x v="4"/>
    <x v="1"/>
    <x v="0"/>
    <x v="633"/>
    <m/>
    <x v="0"/>
    <x v="3"/>
    <s v="Master"/>
    <n v="24"/>
    <n v="112633"/>
    <x v="8"/>
    <x v="10"/>
    <x v="8"/>
    <n v="3"/>
    <n v="14"/>
    <n v="17"/>
    <x v="1"/>
    <x v="1"/>
    <n v="1.6"/>
  </r>
  <r>
    <s v="E00784"/>
    <s v="FN785"/>
    <s v="LN785"/>
    <x v="0"/>
    <n v="32"/>
    <x v="1"/>
    <x v="4"/>
    <x v="2"/>
    <x v="2"/>
    <x v="1"/>
    <x v="691"/>
    <m/>
    <x v="0"/>
    <x v="28"/>
    <s v="Bachelor"/>
    <n v="5"/>
    <n v="179307"/>
    <x v="12"/>
    <x v="25"/>
    <x v="43"/>
    <n v="4"/>
    <n v="51"/>
    <n v="51"/>
    <x v="1"/>
    <x v="0"/>
    <n v="3.7"/>
  </r>
  <r>
    <s v="E00785"/>
    <s v="FN786"/>
    <s v="LN786"/>
    <x v="0"/>
    <n v="42"/>
    <x v="0"/>
    <x v="2"/>
    <x v="3"/>
    <x v="2"/>
    <x v="0"/>
    <x v="692"/>
    <m/>
    <x v="0"/>
    <x v="25"/>
    <s v="MBA"/>
    <n v="17"/>
    <n v="83722"/>
    <x v="15"/>
    <x v="5"/>
    <x v="12"/>
    <n v="15"/>
    <n v="38"/>
    <n v="28"/>
    <x v="0"/>
    <x v="2"/>
    <n v="1"/>
  </r>
  <r>
    <s v="E00786"/>
    <s v="FN787"/>
    <s v="LN787"/>
    <x v="1"/>
    <n v="38"/>
    <x v="4"/>
    <x v="6"/>
    <x v="1"/>
    <x v="2"/>
    <x v="0"/>
    <x v="693"/>
    <m/>
    <x v="0"/>
    <x v="47"/>
    <s v="Master"/>
    <n v="19"/>
    <n v="62770"/>
    <x v="4"/>
    <x v="6"/>
    <x v="7"/>
    <n v="4"/>
    <n v="29"/>
    <n v="53"/>
    <x v="1"/>
    <x v="2"/>
    <n v="2.6"/>
  </r>
  <r>
    <s v="E00787"/>
    <s v="FN788"/>
    <s v="LN788"/>
    <x v="1"/>
    <n v="58"/>
    <x v="4"/>
    <x v="9"/>
    <x v="3"/>
    <x v="0"/>
    <x v="0"/>
    <x v="59"/>
    <s v="2021-04-04"/>
    <x v="1"/>
    <x v="54"/>
    <s v="Master"/>
    <n v="17"/>
    <n v="85802"/>
    <x v="18"/>
    <x v="3"/>
    <x v="45"/>
    <n v="15"/>
    <n v="16"/>
    <n v="2"/>
    <x v="0"/>
    <x v="2"/>
    <n v="7.3"/>
  </r>
  <r>
    <s v="E00788"/>
    <s v="FN789"/>
    <s v="LN789"/>
    <x v="0"/>
    <n v="24"/>
    <x v="0"/>
    <x v="0"/>
    <x v="0"/>
    <x v="2"/>
    <x v="0"/>
    <x v="381"/>
    <m/>
    <x v="0"/>
    <x v="67"/>
    <s v="MBA"/>
    <n v="28"/>
    <n v="129998"/>
    <x v="19"/>
    <x v="0"/>
    <x v="17"/>
    <n v="3"/>
    <n v="12"/>
    <n v="27"/>
    <x v="0"/>
    <x v="1"/>
    <n v="1.4"/>
  </r>
  <r>
    <s v="E00789"/>
    <s v="FN790"/>
    <s v="LN790"/>
    <x v="1"/>
    <n v="26"/>
    <x v="2"/>
    <x v="7"/>
    <x v="3"/>
    <x v="0"/>
    <x v="0"/>
    <x v="694"/>
    <m/>
    <x v="0"/>
    <x v="76"/>
    <s v="Bachelor"/>
    <n v="18"/>
    <n v="81838"/>
    <x v="8"/>
    <x v="7"/>
    <x v="8"/>
    <n v="18"/>
    <n v="32"/>
    <n v="28"/>
    <x v="0"/>
    <x v="1"/>
    <n v="6.7"/>
  </r>
  <r>
    <s v="E00790"/>
    <s v="FN791"/>
    <s v="LN791"/>
    <x v="1"/>
    <n v="43"/>
    <x v="2"/>
    <x v="5"/>
    <x v="2"/>
    <x v="2"/>
    <x v="0"/>
    <x v="157"/>
    <m/>
    <x v="0"/>
    <x v="16"/>
    <s v="Bachelor"/>
    <n v="21"/>
    <n v="62567"/>
    <x v="12"/>
    <x v="13"/>
    <x v="36"/>
    <n v="3"/>
    <n v="45"/>
    <n v="58"/>
    <x v="0"/>
    <x v="2"/>
    <n v="6.5"/>
  </r>
  <r>
    <s v="E00791"/>
    <s v="FN792"/>
    <s v="LN792"/>
    <x v="0"/>
    <n v="42"/>
    <x v="2"/>
    <x v="5"/>
    <x v="3"/>
    <x v="2"/>
    <x v="1"/>
    <x v="695"/>
    <m/>
    <x v="0"/>
    <x v="12"/>
    <s v="Master"/>
    <n v="23"/>
    <n v="85294"/>
    <x v="1"/>
    <x v="25"/>
    <x v="14"/>
    <n v="11"/>
    <n v="12"/>
    <n v="80"/>
    <x v="1"/>
    <x v="2"/>
    <n v="7.3"/>
  </r>
  <r>
    <s v="E00792"/>
    <s v="FN793"/>
    <s v="LN793"/>
    <x v="0"/>
    <n v="21"/>
    <x v="1"/>
    <x v="4"/>
    <x v="4"/>
    <x v="2"/>
    <x v="1"/>
    <x v="696"/>
    <m/>
    <x v="0"/>
    <x v="62"/>
    <s v="Bachelor"/>
    <n v="34"/>
    <n v="169851"/>
    <x v="11"/>
    <x v="17"/>
    <x v="41"/>
    <n v="17"/>
    <n v="39"/>
    <n v="12"/>
    <x v="1"/>
    <x v="1"/>
    <n v="7.1"/>
  </r>
  <r>
    <s v="E00793"/>
    <s v="FN794"/>
    <s v="LN794"/>
    <x v="1"/>
    <n v="30"/>
    <x v="1"/>
    <x v="1"/>
    <x v="4"/>
    <x v="0"/>
    <x v="0"/>
    <x v="697"/>
    <m/>
    <x v="0"/>
    <x v="45"/>
    <s v="Bachelor"/>
    <n v="31"/>
    <n v="144661"/>
    <x v="16"/>
    <x v="12"/>
    <x v="14"/>
    <n v="7"/>
    <n v="50"/>
    <n v="2"/>
    <x v="0"/>
    <x v="0"/>
    <n v="2.7"/>
  </r>
  <r>
    <s v="E00794"/>
    <s v="FN795"/>
    <s v="LN795"/>
    <x v="0"/>
    <n v="36"/>
    <x v="0"/>
    <x v="0"/>
    <x v="0"/>
    <x v="0"/>
    <x v="1"/>
    <x v="698"/>
    <m/>
    <x v="0"/>
    <x v="32"/>
    <s v="MBA"/>
    <n v="9"/>
    <n v="65128"/>
    <x v="5"/>
    <x v="14"/>
    <x v="34"/>
    <n v="7"/>
    <n v="12"/>
    <n v="45"/>
    <x v="1"/>
    <x v="1"/>
    <n v="8.8000000000000007"/>
  </r>
  <r>
    <s v="E00795"/>
    <s v="FN796"/>
    <s v="LN796"/>
    <x v="1"/>
    <n v="23"/>
    <x v="2"/>
    <x v="5"/>
    <x v="2"/>
    <x v="2"/>
    <x v="0"/>
    <x v="699"/>
    <m/>
    <x v="0"/>
    <x v="72"/>
    <s v="Master"/>
    <n v="1"/>
    <n v="116026"/>
    <x v="4"/>
    <x v="11"/>
    <x v="2"/>
    <n v="16"/>
    <n v="34"/>
    <n v="48"/>
    <x v="1"/>
    <x v="2"/>
    <n v="8.6"/>
  </r>
  <r>
    <s v="E00796"/>
    <s v="FN797"/>
    <s v="LN797"/>
    <x v="0"/>
    <n v="40"/>
    <x v="1"/>
    <x v="4"/>
    <x v="0"/>
    <x v="1"/>
    <x v="0"/>
    <x v="700"/>
    <m/>
    <x v="0"/>
    <x v="62"/>
    <s v="Master"/>
    <n v="33"/>
    <n v="52850"/>
    <x v="2"/>
    <x v="0"/>
    <x v="2"/>
    <n v="16"/>
    <n v="51"/>
    <n v="20"/>
    <x v="0"/>
    <x v="0"/>
    <n v="8.9"/>
  </r>
  <r>
    <s v="E00797"/>
    <s v="FN798"/>
    <s v="LN798"/>
    <x v="0"/>
    <n v="22"/>
    <x v="5"/>
    <x v="2"/>
    <x v="3"/>
    <x v="2"/>
    <x v="0"/>
    <x v="499"/>
    <m/>
    <x v="0"/>
    <x v="9"/>
    <s v="MBA"/>
    <n v="27"/>
    <n v="63425"/>
    <x v="16"/>
    <x v="4"/>
    <x v="9"/>
    <n v="16"/>
    <n v="27"/>
    <n v="27"/>
    <x v="0"/>
    <x v="0"/>
    <n v="4.5999999999999996"/>
  </r>
  <r>
    <s v="E00798"/>
    <s v="FN799"/>
    <s v="LN799"/>
    <x v="1"/>
    <n v="45"/>
    <x v="2"/>
    <x v="7"/>
    <x v="4"/>
    <x v="1"/>
    <x v="1"/>
    <x v="701"/>
    <m/>
    <x v="0"/>
    <x v="58"/>
    <s v="Bachelor"/>
    <n v="8"/>
    <n v="52406"/>
    <x v="4"/>
    <x v="13"/>
    <x v="2"/>
    <n v="7"/>
    <n v="50"/>
    <n v="27"/>
    <x v="1"/>
    <x v="0"/>
    <n v="6.7"/>
  </r>
  <r>
    <s v="E00799"/>
    <s v="FN800"/>
    <s v="LN800"/>
    <x v="1"/>
    <n v="29"/>
    <x v="5"/>
    <x v="6"/>
    <x v="4"/>
    <x v="2"/>
    <x v="0"/>
    <x v="702"/>
    <s v="2024-10-27"/>
    <x v="1"/>
    <x v="56"/>
    <s v="MBA"/>
    <n v="20"/>
    <n v="157527"/>
    <x v="9"/>
    <x v="19"/>
    <x v="42"/>
    <n v="14"/>
    <n v="18"/>
    <n v="80"/>
    <x v="0"/>
    <x v="0"/>
    <n v="6.2"/>
  </r>
  <r>
    <s v="E00800"/>
    <s v="FN801"/>
    <s v="LN801"/>
    <x v="0"/>
    <n v="52"/>
    <x v="5"/>
    <x v="2"/>
    <x v="4"/>
    <x v="1"/>
    <x v="1"/>
    <x v="703"/>
    <m/>
    <x v="0"/>
    <x v="75"/>
    <s v="Bachelor"/>
    <n v="17"/>
    <n v="98085"/>
    <x v="8"/>
    <x v="8"/>
    <x v="13"/>
    <n v="20"/>
    <n v="35"/>
    <n v="28"/>
    <x v="0"/>
    <x v="2"/>
    <n v="1.4"/>
  </r>
  <r>
    <s v="E00801"/>
    <s v="FN802"/>
    <s v="LN802"/>
    <x v="1"/>
    <n v="55"/>
    <x v="2"/>
    <x v="3"/>
    <x v="3"/>
    <x v="2"/>
    <x v="1"/>
    <x v="704"/>
    <m/>
    <x v="0"/>
    <x v="45"/>
    <s v="MBA"/>
    <n v="20"/>
    <n v="43074"/>
    <x v="10"/>
    <x v="2"/>
    <x v="39"/>
    <n v="9"/>
    <n v="24"/>
    <n v="42"/>
    <x v="1"/>
    <x v="2"/>
    <n v="6.7"/>
  </r>
  <r>
    <s v="E00802"/>
    <s v="FN803"/>
    <s v="LN803"/>
    <x v="0"/>
    <n v="39"/>
    <x v="2"/>
    <x v="7"/>
    <x v="3"/>
    <x v="2"/>
    <x v="0"/>
    <x v="705"/>
    <m/>
    <x v="0"/>
    <x v="42"/>
    <s v="Master"/>
    <n v="35"/>
    <n v="109223"/>
    <x v="1"/>
    <x v="13"/>
    <x v="45"/>
    <n v="13"/>
    <n v="3"/>
    <n v="77"/>
    <x v="1"/>
    <x v="0"/>
    <n v="10.3"/>
  </r>
  <r>
    <s v="E00803"/>
    <s v="FN804"/>
    <s v="LN804"/>
    <x v="0"/>
    <n v="33"/>
    <x v="3"/>
    <x v="2"/>
    <x v="2"/>
    <x v="2"/>
    <x v="1"/>
    <x v="706"/>
    <m/>
    <x v="0"/>
    <x v="79"/>
    <s v="MBA"/>
    <n v="31"/>
    <n v="54394"/>
    <x v="2"/>
    <x v="4"/>
    <x v="19"/>
    <n v="5"/>
    <n v="46"/>
    <n v="66"/>
    <x v="0"/>
    <x v="1"/>
    <n v="5.6"/>
  </r>
  <r>
    <s v="E00804"/>
    <s v="FN805"/>
    <s v="LN805"/>
    <x v="1"/>
    <n v="30"/>
    <x v="0"/>
    <x v="0"/>
    <x v="0"/>
    <x v="1"/>
    <x v="1"/>
    <x v="707"/>
    <m/>
    <x v="0"/>
    <x v="24"/>
    <s v="Bachelor"/>
    <n v="23"/>
    <n v="78717"/>
    <x v="5"/>
    <x v="15"/>
    <x v="20"/>
    <n v="3"/>
    <n v="18"/>
    <n v="39"/>
    <x v="1"/>
    <x v="0"/>
    <n v="2.2999999999999998"/>
  </r>
  <r>
    <s v="E00805"/>
    <s v="FN806"/>
    <s v="LN806"/>
    <x v="0"/>
    <n v="33"/>
    <x v="3"/>
    <x v="10"/>
    <x v="1"/>
    <x v="2"/>
    <x v="0"/>
    <x v="602"/>
    <m/>
    <x v="0"/>
    <x v="57"/>
    <s v="Bachelor"/>
    <n v="19"/>
    <n v="131422"/>
    <x v="1"/>
    <x v="11"/>
    <x v="44"/>
    <n v="17"/>
    <n v="3"/>
    <n v="40"/>
    <x v="0"/>
    <x v="0"/>
    <n v="6.6"/>
  </r>
  <r>
    <s v="E00806"/>
    <s v="FN807"/>
    <s v="LN807"/>
    <x v="0"/>
    <n v="34"/>
    <x v="0"/>
    <x v="0"/>
    <x v="3"/>
    <x v="2"/>
    <x v="0"/>
    <x v="708"/>
    <m/>
    <x v="0"/>
    <x v="68"/>
    <s v="Master"/>
    <n v="28"/>
    <n v="138239"/>
    <x v="13"/>
    <x v="9"/>
    <x v="37"/>
    <n v="16"/>
    <n v="24"/>
    <n v="55"/>
    <x v="0"/>
    <x v="0"/>
    <n v="1.5"/>
  </r>
  <r>
    <s v="E00807"/>
    <s v="FN808"/>
    <s v="LN808"/>
    <x v="1"/>
    <n v="38"/>
    <x v="3"/>
    <x v="2"/>
    <x v="1"/>
    <x v="0"/>
    <x v="1"/>
    <x v="709"/>
    <m/>
    <x v="0"/>
    <x v="37"/>
    <s v="Bachelor"/>
    <n v="22"/>
    <n v="139578"/>
    <x v="7"/>
    <x v="5"/>
    <x v="26"/>
    <n v="11"/>
    <n v="24"/>
    <n v="57"/>
    <x v="1"/>
    <x v="2"/>
    <n v="7.5"/>
  </r>
  <r>
    <s v="E00808"/>
    <s v="FN809"/>
    <s v="LN809"/>
    <x v="0"/>
    <n v="60"/>
    <x v="3"/>
    <x v="10"/>
    <x v="4"/>
    <x v="0"/>
    <x v="0"/>
    <x v="710"/>
    <m/>
    <x v="0"/>
    <x v="58"/>
    <s v="Bachelor"/>
    <n v="18"/>
    <n v="65669"/>
    <x v="5"/>
    <x v="23"/>
    <x v="44"/>
    <n v="20"/>
    <n v="46"/>
    <n v="36"/>
    <x v="1"/>
    <x v="2"/>
    <n v="4.5999999999999996"/>
  </r>
  <r>
    <s v="E00809"/>
    <s v="FN810"/>
    <s v="LN810"/>
    <x v="1"/>
    <n v="59"/>
    <x v="0"/>
    <x v="2"/>
    <x v="0"/>
    <x v="2"/>
    <x v="1"/>
    <x v="711"/>
    <m/>
    <x v="0"/>
    <x v="77"/>
    <s v="Bachelor"/>
    <n v="14"/>
    <n v="108206"/>
    <x v="1"/>
    <x v="19"/>
    <x v="19"/>
    <n v="20"/>
    <n v="17"/>
    <n v="45"/>
    <x v="0"/>
    <x v="2"/>
    <n v="6.5"/>
  </r>
  <r>
    <s v="E00810"/>
    <s v="FN811"/>
    <s v="LN811"/>
    <x v="0"/>
    <n v="37"/>
    <x v="3"/>
    <x v="2"/>
    <x v="2"/>
    <x v="0"/>
    <x v="1"/>
    <x v="712"/>
    <m/>
    <x v="0"/>
    <x v="51"/>
    <s v="Master"/>
    <n v="19"/>
    <n v="157762"/>
    <x v="14"/>
    <x v="20"/>
    <x v="49"/>
    <n v="1"/>
    <n v="53"/>
    <n v="31"/>
    <x v="1"/>
    <x v="2"/>
    <n v="1.4"/>
  </r>
  <r>
    <s v="E00811"/>
    <s v="FN812"/>
    <s v="LN812"/>
    <x v="1"/>
    <n v="34"/>
    <x v="2"/>
    <x v="3"/>
    <x v="4"/>
    <x v="1"/>
    <x v="1"/>
    <x v="713"/>
    <m/>
    <x v="0"/>
    <x v="15"/>
    <s v="Master"/>
    <n v="29"/>
    <n v="158698"/>
    <x v="6"/>
    <x v="16"/>
    <x v="42"/>
    <n v="4"/>
    <n v="17"/>
    <n v="46"/>
    <x v="0"/>
    <x v="0"/>
    <n v="4.9000000000000004"/>
  </r>
  <r>
    <s v="E00812"/>
    <s v="FN813"/>
    <s v="LN813"/>
    <x v="0"/>
    <n v="31"/>
    <x v="3"/>
    <x v="2"/>
    <x v="3"/>
    <x v="1"/>
    <x v="0"/>
    <x v="714"/>
    <s v="2024-03-01"/>
    <x v="1"/>
    <x v="76"/>
    <s v="MBA"/>
    <n v="29"/>
    <n v="114812"/>
    <x v="15"/>
    <x v="2"/>
    <x v="20"/>
    <n v="0"/>
    <n v="44"/>
    <n v="28"/>
    <x v="0"/>
    <x v="0"/>
    <n v="4.5"/>
  </r>
  <r>
    <s v="E00813"/>
    <s v="FN814"/>
    <s v="LN814"/>
    <x v="0"/>
    <n v="51"/>
    <x v="0"/>
    <x v="0"/>
    <x v="0"/>
    <x v="0"/>
    <x v="1"/>
    <x v="715"/>
    <m/>
    <x v="0"/>
    <x v="55"/>
    <s v="Master"/>
    <n v="6"/>
    <n v="52087"/>
    <x v="4"/>
    <x v="18"/>
    <x v="37"/>
    <n v="20"/>
    <n v="49"/>
    <n v="68"/>
    <x v="0"/>
    <x v="2"/>
    <n v="8"/>
  </r>
  <r>
    <s v="E00814"/>
    <s v="FN815"/>
    <s v="LN815"/>
    <x v="1"/>
    <n v="53"/>
    <x v="3"/>
    <x v="10"/>
    <x v="4"/>
    <x v="1"/>
    <x v="0"/>
    <x v="494"/>
    <m/>
    <x v="0"/>
    <x v="50"/>
    <s v="Master"/>
    <n v="3"/>
    <n v="58217"/>
    <x v="17"/>
    <x v="5"/>
    <x v="12"/>
    <n v="6"/>
    <n v="4"/>
    <n v="32"/>
    <x v="0"/>
    <x v="0"/>
    <n v="3"/>
  </r>
  <r>
    <s v="E00815"/>
    <s v="FN816"/>
    <s v="LN816"/>
    <x v="0"/>
    <n v="54"/>
    <x v="4"/>
    <x v="9"/>
    <x v="4"/>
    <x v="2"/>
    <x v="1"/>
    <x v="716"/>
    <m/>
    <x v="0"/>
    <x v="15"/>
    <s v="MBA"/>
    <n v="25"/>
    <n v="67076"/>
    <x v="3"/>
    <x v="9"/>
    <x v="39"/>
    <n v="19"/>
    <n v="46"/>
    <n v="20"/>
    <x v="1"/>
    <x v="0"/>
    <n v="2.7"/>
  </r>
  <r>
    <s v="E00816"/>
    <s v="FN817"/>
    <s v="LN817"/>
    <x v="1"/>
    <n v="60"/>
    <x v="0"/>
    <x v="2"/>
    <x v="1"/>
    <x v="0"/>
    <x v="1"/>
    <x v="717"/>
    <m/>
    <x v="0"/>
    <x v="51"/>
    <s v="MBA"/>
    <n v="17"/>
    <n v="175955"/>
    <x v="9"/>
    <x v="7"/>
    <x v="37"/>
    <n v="10"/>
    <n v="14"/>
    <n v="35"/>
    <x v="1"/>
    <x v="2"/>
    <n v="3.2"/>
  </r>
  <r>
    <s v="E00817"/>
    <s v="FN818"/>
    <s v="LN818"/>
    <x v="1"/>
    <n v="25"/>
    <x v="1"/>
    <x v="4"/>
    <x v="2"/>
    <x v="0"/>
    <x v="0"/>
    <x v="718"/>
    <m/>
    <x v="0"/>
    <x v="78"/>
    <s v="MBA"/>
    <n v="14"/>
    <n v="94693"/>
    <x v="15"/>
    <x v="25"/>
    <x v="8"/>
    <n v="5"/>
    <n v="36"/>
    <n v="42"/>
    <x v="0"/>
    <x v="0"/>
    <n v="1.7"/>
  </r>
  <r>
    <s v="E00818"/>
    <s v="FN819"/>
    <s v="LN819"/>
    <x v="0"/>
    <n v="37"/>
    <x v="2"/>
    <x v="3"/>
    <x v="3"/>
    <x v="0"/>
    <x v="1"/>
    <x v="719"/>
    <s v="2028-12-07"/>
    <x v="1"/>
    <x v="39"/>
    <s v="Master"/>
    <n v="5"/>
    <n v="50602"/>
    <x v="16"/>
    <x v="23"/>
    <x v="45"/>
    <n v="6"/>
    <n v="31"/>
    <n v="43"/>
    <x v="0"/>
    <x v="1"/>
    <n v="0.2"/>
  </r>
  <r>
    <s v="E00819"/>
    <s v="FN820"/>
    <s v="LN820"/>
    <x v="0"/>
    <n v="43"/>
    <x v="5"/>
    <x v="6"/>
    <x v="2"/>
    <x v="0"/>
    <x v="0"/>
    <x v="720"/>
    <m/>
    <x v="0"/>
    <x v="29"/>
    <s v="Bachelor"/>
    <n v="29"/>
    <n v="127444"/>
    <x v="17"/>
    <x v="9"/>
    <x v="7"/>
    <n v="7"/>
    <n v="11"/>
    <n v="36"/>
    <x v="1"/>
    <x v="0"/>
    <n v="8.9"/>
  </r>
  <r>
    <s v="E00820"/>
    <s v="FN821"/>
    <s v="LN821"/>
    <x v="1"/>
    <n v="41"/>
    <x v="5"/>
    <x v="2"/>
    <x v="2"/>
    <x v="2"/>
    <x v="0"/>
    <x v="721"/>
    <m/>
    <x v="0"/>
    <x v="55"/>
    <s v="Master"/>
    <n v="0"/>
    <n v="158930"/>
    <x v="9"/>
    <x v="11"/>
    <x v="27"/>
    <n v="8"/>
    <n v="13"/>
    <n v="33"/>
    <x v="0"/>
    <x v="1"/>
    <n v="2.9"/>
  </r>
  <r>
    <s v="E00821"/>
    <s v="FN822"/>
    <s v="LN822"/>
    <x v="0"/>
    <n v="37"/>
    <x v="4"/>
    <x v="2"/>
    <x v="1"/>
    <x v="0"/>
    <x v="0"/>
    <x v="722"/>
    <m/>
    <x v="0"/>
    <x v="37"/>
    <s v="MBA"/>
    <n v="24"/>
    <n v="114895"/>
    <x v="10"/>
    <x v="17"/>
    <x v="30"/>
    <n v="18"/>
    <n v="14"/>
    <n v="61"/>
    <x v="0"/>
    <x v="1"/>
    <n v="7.6"/>
  </r>
  <r>
    <s v="E00822"/>
    <s v="FN823"/>
    <s v="LN823"/>
    <x v="0"/>
    <n v="31"/>
    <x v="1"/>
    <x v="4"/>
    <x v="1"/>
    <x v="0"/>
    <x v="0"/>
    <x v="723"/>
    <m/>
    <x v="0"/>
    <x v="10"/>
    <s v="MBA"/>
    <n v="16"/>
    <n v="124658"/>
    <x v="3"/>
    <x v="8"/>
    <x v="13"/>
    <n v="11"/>
    <n v="55"/>
    <n v="1"/>
    <x v="1"/>
    <x v="0"/>
    <n v="4.2"/>
  </r>
  <r>
    <s v="E00823"/>
    <s v="FN824"/>
    <s v="LN824"/>
    <x v="1"/>
    <n v="56"/>
    <x v="0"/>
    <x v="2"/>
    <x v="4"/>
    <x v="1"/>
    <x v="1"/>
    <x v="724"/>
    <m/>
    <x v="0"/>
    <x v="42"/>
    <s v="Bachelor"/>
    <n v="24"/>
    <n v="74191"/>
    <x v="5"/>
    <x v="22"/>
    <x v="48"/>
    <n v="4"/>
    <n v="59"/>
    <n v="10"/>
    <x v="1"/>
    <x v="1"/>
    <n v="10.3"/>
  </r>
  <r>
    <s v="E00824"/>
    <s v="FN825"/>
    <s v="LN825"/>
    <x v="1"/>
    <n v="26"/>
    <x v="1"/>
    <x v="4"/>
    <x v="1"/>
    <x v="2"/>
    <x v="1"/>
    <x v="725"/>
    <m/>
    <x v="0"/>
    <x v="35"/>
    <s v="MBA"/>
    <n v="25"/>
    <n v="73359"/>
    <x v="15"/>
    <x v="23"/>
    <x v="16"/>
    <n v="20"/>
    <n v="14"/>
    <n v="70"/>
    <x v="0"/>
    <x v="2"/>
    <n v="4.7"/>
  </r>
  <r>
    <s v="E00825"/>
    <s v="FN826"/>
    <s v="LN826"/>
    <x v="0"/>
    <n v="37"/>
    <x v="3"/>
    <x v="2"/>
    <x v="4"/>
    <x v="0"/>
    <x v="0"/>
    <x v="325"/>
    <m/>
    <x v="0"/>
    <x v="13"/>
    <s v="MBA"/>
    <n v="31"/>
    <n v="63959"/>
    <x v="1"/>
    <x v="17"/>
    <x v="25"/>
    <n v="10"/>
    <n v="49"/>
    <n v="67"/>
    <x v="0"/>
    <x v="2"/>
    <n v="8"/>
  </r>
  <r>
    <s v="E00826"/>
    <s v="FN827"/>
    <s v="LN827"/>
    <x v="0"/>
    <n v="45"/>
    <x v="3"/>
    <x v="2"/>
    <x v="2"/>
    <x v="0"/>
    <x v="0"/>
    <x v="726"/>
    <m/>
    <x v="0"/>
    <x v="6"/>
    <s v="Bachelor"/>
    <n v="23"/>
    <n v="89802"/>
    <x v="19"/>
    <x v="19"/>
    <x v="12"/>
    <n v="16"/>
    <n v="9"/>
    <n v="38"/>
    <x v="0"/>
    <x v="1"/>
    <n v="4.3"/>
  </r>
  <r>
    <s v="E00827"/>
    <s v="FN828"/>
    <s v="LN828"/>
    <x v="0"/>
    <n v="50"/>
    <x v="0"/>
    <x v="0"/>
    <x v="3"/>
    <x v="0"/>
    <x v="0"/>
    <x v="727"/>
    <s v="2028-10-06"/>
    <x v="1"/>
    <x v="9"/>
    <s v="MBA"/>
    <n v="26"/>
    <n v="97892"/>
    <x v="17"/>
    <x v="24"/>
    <x v="20"/>
    <n v="4"/>
    <n v="36"/>
    <n v="5"/>
    <x v="0"/>
    <x v="2"/>
    <n v="2.6"/>
  </r>
  <r>
    <s v="E00828"/>
    <s v="FN829"/>
    <s v="LN829"/>
    <x v="1"/>
    <n v="49"/>
    <x v="0"/>
    <x v="0"/>
    <x v="1"/>
    <x v="0"/>
    <x v="0"/>
    <x v="411"/>
    <m/>
    <x v="0"/>
    <x v="75"/>
    <s v="Master"/>
    <n v="12"/>
    <n v="80062"/>
    <x v="11"/>
    <x v="23"/>
    <x v="0"/>
    <n v="19"/>
    <n v="27"/>
    <n v="10"/>
    <x v="1"/>
    <x v="2"/>
    <n v="0.8"/>
  </r>
  <r>
    <s v="E00829"/>
    <s v="FN830"/>
    <s v="LN830"/>
    <x v="1"/>
    <n v="22"/>
    <x v="5"/>
    <x v="8"/>
    <x v="2"/>
    <x v="0"/>
    <x v="0"/>
    <x v="143"/>
    <m/>
    <x v="0"/>
    <x v="45"/>
    <s v="Master"/>
    <n v="16"/>
    <n v="172064"/>
    <x v="10"/>
    <x v="11"/>
    <x v="40"/>
    <n v="15"/>
    <n v="1"/>
    <n v="52"/>
    <x v="1"/>
    <x v="2"/>
    <n v="9.1"/>
  </r>
  <r>
    <s v="E00830"/>
    <s v="FN831"/>
    <s v="LN831"/>
    <x v="1"/>
    <n v="46"/>
    <x v="0"/>
    <x v="0"/>
    <x v="1"/>
    <x v="1"/>
    <x v="1"/>
    <x v="728"/>
    <s v="2026-12-10"/>
    <x v="1"/>
    <x v="51"/>
    <s v="MBA"/>
    <n v="30"/>
    <n v="151736"/>
    <x v="9"/>
    <x v="6"/>
    <x v="17"/>
    <n v="4"/>
    <n v="40"/>
    <n v="11"/>
    <x v="0"/>
    <x v="2"/>
    <n v="2.2000000000000002"/>
  </r>
  <r>
    <s v="E00831"/>
    <s v="FN832"/>
    <s v="LN832"/>
    <x v="1"/>
    <n v="50"/>
    <x v="2"/>
    <x v="5"/>
    <x v="3"/>
    <x v="0"/>
    <x v="1"/>
    <x v="729"/>
    <m/>
    <x v="0"/>
    <x v="10"/>
    <s v="Bachelor"/>
    <n v="26"/>
    <n v="54444"/>
    <x v="11"/>
    <x v="7"/>
    <x v="49"/>
    <n v="20"/>
    <n v="3"/>
    <n v="59"/>
    <x v="0"/>
    <x v="1"/>
    <n v="6.1"/>
  </r>
  <r>
    <s v="E00832"/>
    <s v="FN833"/>
    <s v="LN833"/>
    <x v="0"/>
    <n v="37"/>
    <x v="0"/>
    <x v="0"/>
    <x v="4"/>
    <x v="0"/>
    <x v="1"/>
    <x v="730"/>
    <m/>
    <x v="0"/>
    <x v="29"/>
    <s v="MBA"/>
    <n v="20"/>
    <n v="100835"/>
    <x v="18"/>
    <x v="16"/>
    <x v="30"/>
    <n v="0"/>
    <n v="31"/>
    <n v="41"/>
    <x v="1"/>
    <x v="1"/>
    <n v="4.7"/>
  </r>
  <r>
    <s v="E00833"/>
    <s v="FN834"/>
    <s v="LN834"/>
    <x v="1"/>
    <n v="55"/>
    <x v="5"/>
    <x v="2"/>
    <x v="2"/>
    <x v="2"/>
    <x v="1"/>
    <x v="731"/>
    <m/>
    <x v="0"/>
    <x v="45"/>
    <s v="Master"/>
    <n v="27"/>
    <n v="102215"/>
    <x v="2"/>
    <x v="3"/>
    <x v="17"/>
    <n v="10"/>
    <n v="17"/>
    <n v="69"/>
    <x v="1"/>
    <x v="0"/>
    <n v="6.7"/>
  </r>
  <r>
    <s v="E00834"/>
    <s v="FN835"/>
    <s v="LN835"/>
    <x v="0"/>
    <n v="30"/>
    <x v="2"/>
    <x v="7"/>
    <x v="0"/>
    <x v="1"/>
    <x v="1"/>
    <x v="732"/>
    <s v="2027-01-12"/>
    <x v="1"/>
    <x v="15"/>
    <s v="MBA"/>
    <n v="25"/>
    <n v="86541"/>
    <x v="16"/>
    <x v="17"/>
    <x v="22"/>
    <n v="5"/>
    <n v="43"/>
    <n v="14"/>
    <x v="1"/>
    <x v="0"/>
    <n v="7.7"/>
  </r>
  <r>
    <s v="E00835"/>
    <s v="FN836"/>
    <s v="LN836"/>
    <x v="0"/>
    <n v="28"/>
    <x v="2"/>
    <x v="5"/>
    <x v="3"/>
    <x v="0"/>
    <x v="1"/>
    <x v="733"/>
    <m/>
    <x v="0"/>
    <x v="44"/>
    <s v="MBA"/>
    <n v="29"/>
    <n v="123948"/>
    <x v="4"/>
    <x v="2"/>
    <x v="25"/>
    <n v="19"/>
    <n v="17"/>
    <n v="38"/>
    <x v="0"/>
    <x v="1"/>
    <n v="7.7"/>
  </r>
  <r>
    <s v="E00836"/>
    <s v="FN837"/>
    <s v="LN837"/>
    <x v="0"/>
    <n v="58"/>
    <x v="0"/>
    <x v="0"/>
    <x v="4"/>
    <x v="1"/>
    <x v="0"/>
    <x v="734"/>
    <m/>
    <x v="0"/>
    <x v="41"/>
    <s v="Bachelor"/>
    <n v="9"/>
    <n v="136610"/>
    <x v="4"/>
    <x v="19"/>
    <x v="8"/>
    <n v="9"/>
    <n v="43"/>
    <n v="45"/>
    <x v="0"/>
    <x v="2"/>
    <n v="5.5"/>
  </r>
  <r>
    <s v="E00837"/>
    <s v="FN838"/>
    <s v="LN838"/>
    <x v="1"/>
    <n v="44"/>
    <x v="3"/>
    <x v="2"/>
    <x v="4"/>
    <x v="0"/>
    <x v="1"/>
    <x v="735"/>
    <s v="2029-05-06"/>
    <x v="1"/>
    <x v="15"/>
    <s v="Master"/>
    <n v="5"/>
    <n v="76689"/>
    <x v="18"/>
    <x v="16"/>
    <x v="26"/>
    <n v="7"/>
    <n v="51"/>
    <n v="60"/>
    <x v="0"/>
    <x v="0"/>
    <n v="1.1000000000000001"/>
  </r>
  <r>
    <s v="E00838"/>
    <s v="FN839"/>
    <s v="LN839"/>
    <x v="1"/>
    <n v="31"/>
    <x v="5"/>
    <x v="8"/>
    <x v="4"/>
    <x v="1"/>
    <x v="1"/>
    <x v="416"/>
    <m/>
    <x v="0"/>
    <x v="38"/>
    <s v="Master"/>
    <n v="32"/>
    <n v="109972"/>
    <x v="13"/>
    <x v="22"/>
    <x v="49"/>
    <n v="8"/>
    <n v="12"/>
    <n v="12"/>
    <x v="0"/>
    <x v="2"/>
    <n v="6"/>
  </r>
  <r>
    <s v="E00839"/>
    <s v="FN840"/>
    <s v="LN840"/>
    <x v="0"/>
    <n v="43"/>
    <x v="5"/>
    <x v="6"/>
    <x v="2"/>
    <x v="0"/>
    <x v="1"/>
    <x v="736"/>
    <m/>
    <x v="0"/>
    <x v="13"/>
    <s v="MBA"/>
    <n v="32"/>
    <n v="144156"/>
    <x v="5"/>
    <x v="20"/>
    <x v="31"/>
    <n v="3"/>
    <n v="45"/>
    <n v="15"/>
    <x v="1"/>
    <x v="1"/>
    <n v="8.5"/>
  </r>
  <r>
    <s v="E00840"/>
    <s v="FN841"/>
    <s v="LN841"/>
    <x v="1"/>
    <n v="33"/>
    <x v="0"/>
    <x v="2"/>
    <x v="2"/>
    <x v="1"/>
    <x v="1"/>
    <x v="737"/>
    <m/>
    <x v="0"/>
    <x v="5"/>
    <s v="Bachelor"/>
    <n v="33"/>
    <n v="118333"/>
    <x v="10"/>
    <x v="8"/>
    <x v="24"/>
    <n v="8"/>
    <n v="55"/>
    <n v="78"/>
    <x v="1"/>
    <x v="0"/>
    <n v="2.5"/>
  </r>
  <r>
    <s v="E00841"/>
    <s v="FN842"/>
    <s v="LN842"/>
    <x v="0"/>
    <n v="42"/>
    <x v="5"/>
    <x v="8"/>
    <x v="3"/>
    <x v="0"/>
    <x v="0"/>
    <x v="738"/>
    <m/>
    <x v="0"/>
    <x v="55"/>
    <s v="Master"/>
    <n v="28"/>
    <n v="103604"/>
    <x v="12"/>
    <x v="10"/>
    <x v="34"/>
    <n v="19"/>
    <n v="50"/>
    <n v="32"/>
    <x v="0"/>
    <x v="2"/>
    <n v="8"/>
  </r>
  <r>
    <s v="E00842"/>
    <s v="FN843"/>
    <s v="LN843"/>
    <x v="1"/>
    <n v="50"/>
    <x v="3"/>
    <x v="10"/>
    <x v="2"/>
    <x v="2"/>
    <x v="0"/>
    <x v="739"/>
    <m/>
    <x v="0"/>
    <x v="49"/>
    <s v="Master"/>
    <n v="11"/>
    <n v="139464"/>
    <x v="17"/>
    <x v="7"/>
    <x v="34"/>
    <n v="8"/>
    <n v="15"/>
    <n v="7"/>
    <x v="0"/>
    <x v="2"/>
    <n v="0.5"/>
  </r>
  <r>
    <s v="E00843"/>
    <s v="FN844"/>
    <s v="LN844"/>
    <x v="0"/>
    <n v="21"/>
    <x v="4"/>
    <x v="9"/>
    <x v="2"/>
    <x v="0"/>
    <x v="1"/>
    <x v="740"/>
    <m/>
    <x v="0"/>
    <x v="31"/>
    <s v="Master"/>
    <n v="0"/>
    <n v="44315"/>
    <x v="15"/>
    <x v="1"/>
    <x v="35"/>
    <n v="5"/>
    <n v="50"/>
    <n v="64"/>
    <x v="0"/>
    <x v="1"/>
    <n v="9.3000000000000007"/>
  </r>
  <r>
    <s v="E00844"/>
    <s v="FN845"/>
    <s v="LN845"/>
    <x v="0"/>
    <n v="42"/>
    <x v="1"/>
    <x v="4"/>
    <x v="0"/>
    <x v="0"/>
    <x v="0"/>
    <x v="741"/>
    <m/>
    <x v="0"/>
    <x v="29"/>
    <s v="Master"/>
    <n v="19"/>
    <n v="148592"/>
    <x v="7"/>
    <x v="24"/>
    <x v="5"/>
    <n v="19"/>
    <n v="42"/>
    <n v="17"/>
    <x v="1"/>
    <x v="2"/>
    <n v="10.5"/>
  </r>
  <r>
    <s v="E00845"/>
    <s v="FN846"/>
    <s v="LN846"/>
    <x v="0"/>
    <n v="33"/>
    <x v="5"/>
    <x v="8"/>
    <x v="4"/>
    <x v="2"/>
    <x v="0"/>
    <x v="742"/>
    <m/>
    <x v="0"/>
    <x v="63"/>
    <s v="Master"/>
    <n v="32"/>
    <n v="151878"/>
    <x v="16"/>
    <x v="12"/>
    <x v="2"/>
    <n v="5"/>
    <n v="17"/>
    <n v="24"/>
    <x v="1"/>
    <x v="0"/>
    <n v="9.1999999999999993"/>
  </r>
  <r>
    <s v="E00846"/>
    <s v="FN847"/>
    <s v="LN847"/>
    <x v="1"/>
    <n v="26"/>
    <x v="5"/>
    <x v="2"/>
    <x v="3"/>
    <x v="0"/>
    <x v="0"/>
    <x v="743"/>
    <m/>
    <x v="0"/>
    <x v="5"/>
    <s v="Bachelor"/>
    <n v="9"/>
    <n v="70439"/>
    <x v="4"/>
    <x v="10"/>
    <x v="46"/>
    <n v="20"/>
    <n v="26"/>
    <n v="72"/>
    <x v="1"/>
    <x v="2"/>
    <n v="0.7"/>
  </r>
  <r>
    <s v="E00847"/>
    <s v="FN848"/>
    <s v="LN848"/>
    <x v="1"/>
    <n v="54"/>
    <x v="5"/>
    <x v="2"/>
    <x v="1"/>
    <x v="1"/>
    <x v="0"/>
    <x v="744"/>
    <m/>
    <x v="0"/>
    <x v="12"/>
    <s v="Master"/>
    <n v="20"/>
    <n v="110666"/>
    <x v="9"/>
    <x v="11"/>
    <x v="8"/>
    <n v="0"/>
    <n v="34"/>
    <n v="12"/>
    <x v="1"/>
    <x v="0"/>
    <n v="10.3"/>
  </r>
  <r>
    <s v="E00848"/>
    <s v="FN849"/>
    <s v="LN849"/>
    <x v="0"/>
    <n v="53"/>
    <x v="5"/>
    <x v="2"/>
    <x v="2"/>
    <x v="1"/>
    <x v="1"/>
    <x v="161"/>
    <m/>
    <x v="0"/>
    <x v="36"/>
    <s v="Master"/>
    <n v="14"/>
    <n v="78733"/>
    <x v="18"/>
    <x v="15"/>
    <x v="41"/>
    <n v="2"/>
    <n v="10"/>
    <n v="34"/>
    <x v="1"/>
    <x v="2"/>
    <n v="5.2"/>
  </r>
  <r>
    <s v="E00849"/>
    <s v="FN850"/>
    <s v="LN850"/>
    <x v="0"/>
    <n v="53"/>
    <x v="2"/>
    <x v="7"/>
    <x v="3"/>
    <x v="1"/>
    <x v="1"/>
    <x v="456"/>
    <s v="2024-03-15"/>
    <x v="1"/>
    <x v="59"/>
    <s v="Master"/>
    <n v="12"/>
    <n v="147771"/>
    <x v="2"/>
    <x v="0"/>
    <x v="12"/>
    <n v="20"/>
    <n v="14"/>
    <n v="57"/>
    <x v="0"/>
    <x v="2"/>
    <n v="6.3"/>
  </r>
  <r>
    <s v="E00850"/>
    <s v="FN851"/>
    <s v="LN851"/>
    <x v="0"/>
    <n v="55"/>
    <x v="0"/>
    <x v="2"/>
    <x v="2"/>
    <x v="1"/>
    <x v="0"/>
    <x v="745"/>
    <s v="2023-01-18"/>
    <x v="1"/>
    <x v="58"/>
    <s v="Bachelor"/>
    <n v="18"/>
    <n v="46438"/>
    <x v="10"/>
    <x v="19"/>
    <x v="15"/>
    <n v="9"/>
    <n v="14"/>
    <n v="35"/>
    <x v="1"/>
    <x v="2"/>
    <n v="7.9"/>
  </r>
  <r>
    <s v="E00851"/>
    <s v="FN852"/>
    <s v="LN852"/>
    <x v="0"/>
    <n v="23"/>
    <x v="3"/>
    <x v="2"/>
    <x v="2"/>
    <x v="1"/>
    <x v="1"/>
    <x v="746"/>
    <m/>
    <x v="0"/>
    <x v="31"/>
    <s v="MBA"/>
    <n v="16"/>
    <n v="76837"/>
    <x v="17"/>
    <x v="10"/>
    <x v="22"/>
    <n v="18"/>
    <n v="1"/>
    <n v="24"/>
    <x v="0"/>
    <x v="1"/>
    <n v="8.3000000000000007"/>
  </r>
  <r>
    <s v="E00852"/>
    <s v="FN853"/>
    <s v="LN853"/>
    <x v="1"/>
    <n v="54"/>
    <x v="0"/>
    <x v="2"/>
    <x v="1"/>
    <x v="0"/>
    <x v="1"/>
    <x v="747"/>
    <m/>
    <x v="0"/>
    <x v="22"/>
    <s v="Bachelor"/>
    <n v="11"/>
    <n v="85282"/>
    <x v="8"/>
    <x v="25"/>
    <x v="21"/>
    <n v="1"/>
    <n v="58"/>
    <n v="40"/>
    <x v="0"/>
    <x v="2"/>
    <n v="10.5"/>
  </r>
  <r>
    <s v="E00853"/>
    <s v="FN854"/>
    <s v="LN854"/>
    <x v="1"/>
    <n v="55"/>
    <x v="2"/>
    <x v="5"/>
    <x v="3"/>
    <x v="0"/>
    <x v="1"/>
    <x v="748"/>
    <m/>
    <x v="0"/>
    <x v="13"/>
    <s v="Bachelor"/>
    <n v="32"/>
    <n v="177783"/>
    <x v="0"/>
    <x v="3"/>
    <x v="6"/>
    <n v="15"/>
    <n v="2"/>
    <n v="21"/>
    <x v="1"/>
    <x v="0"/>
    <n v="0.3"/>
  </r>
  <r>
    <s v="E00854"/>
    <s v="FN855"/>
    <s v="LN855"/>
    <x v="1"/>
    <n v="47"/>
    <x v="1"/>
    <x v="4"/>
    <x v="0"/>
    <x v="2"/>
    <x v="0"/>
    <x v="749"/>
    <m/>
    <x v="0"/>
    <x v="26"/>
    <s v="Bachelor"/>
    <n v="28"/>
    <n v="98581"/>
    <x v="8"/>
    <x v="10"/>
    <x v="49"/>
    <n v="5"/>
    <n v="42"/>
    <n v="10"/>
    <x v="0"/>
    <x v="0"/>
    <n v="6.9"/>
  </r>
  <r>
    <s v="E00855"/>
    <s v="FN856"/>
    <s v="LN856"/>
    <x v="1"/>
    <n v="43"/>
    <x v="0"/>
    <x v="0"/>
    <x v="2"/>
    <x v="2"/>
    <x v="0"/>
    <x v="750"/>
    <m/>
    <x v="0"/>
    <x v="11"/>
    <s v="Bachelor"/>
    <n v="9"/>
    <n v="139776"/>
    <x v="10"/>
    <x v="23"/>
    <x v="19"/>
    <n v="0"/>
    <n v="52"/>
    <n v="45"/>
    <x v="0"/>
    <x v="0"/>
    <n v="8.5"/>
  </r>
  <r>
    <s v="E00856"/>
    <s v="FN857"/>
    <s v="LN857"/>
    <x v="1"/>
    <n v="49"/>
    <x v="0"/>
    <x v="0"/>
    <x v="4"/>
    <x v="1"/>
    <x v="1"/>
    <x v="751"/>
    <m/>
    <x v="0"/>
    <x v="30"/>
    <s v="Master"/>
    <n v="2"/>
    <n v="103292"/>
    <x v="17"/>
    <x v="7"/>
    <x v="44"/>
    <n v="10"/>
    <n v="26"/>
    <n v="6"/>
    <x v="1"/>
    <x v="2"/>
    <n v="4.8"/>
  </r>
  <r>
    <s v="E00857"/>
    <s v="FN858"/>
    <s v="LN858"/>
    <x v="0"/>
    <n v="40"/>
    <x v="1"/>
    <x v="4"/>
    <x v="1"/>
    <x v="2"/>
    <x v="1"/>
    <x v="752"/>
    <m/>
    <x v="0"/>
    <x v="79"/>
    <s v="Bachelor"/>
    <n v="11"/>
    <n v="115411"/>
    <x v="15"/>
    <x v="16"/>
    <x v="23"/>
    <n v="18"/>
    <n v="17"/>
    <n v="51"/>
    <x v="0"/>
    <x v="0"/>
    <n v="9.6999999999999993"/>
  </r>
  <r>
    <s v="E00858"/>
    <s v="FN859"/>
    <s v="LN859"/>
    <x v="1"/>
    <n v="27"/>
    <x v="3"/>
    <x v="10"/>
    <x v="4"/>
    <x v="0"/>
    <x v="1"/>
    <x v="753"/>
    <m/>
    <x v="0"/>
    <x v="57"/>
    <s v="MBA"/>
    <n v="35"/>
    <n v="161997"/>
    <x v="2"/>
    <x v="8"/>
    <x v="38"/>
    <n v="9"/>
    <n v="5"/>
    <n v="25"/>
    <x v="1"/>
    <x v="2"/>
    <n v="5.2"/>
  </r>
  <r>
    <s v="E00859"/>
    <s v="FN860"/>
    <s v="LN860"/>
    <x v="0"/>
    <n v="44"/>
    <x v="0"/>
    <x v="0"/>
    <x v="2"/>
    <x v="1"/>
    <x v="0"/>
    <x v="754"/>
    <s v="2021-09-12"/>
    <x v="1"/>
    <x v="16"/>
    <s v="Master"/>
    <n v="14"/>
    <n v="113285"/>
    <x v="9"/>
    <x v="21"/>
    <x v="19"/>
    <n v="2"/>
    <n v="59"/>
    <n v="46"/>
    <x v="0"/>
    <x v="1"/>
    <n v="9.6"/>
  </r>
  <r>
    <s v="E00860"/>
    <s v="FN861"/>
    <s v="LN861"/>
    <x v="0"/>
    <n v="50"/>
    <x v="5"/>
    <x v="6"/>
    <x v="2"/>
    <x v="0"/>
    <x v="0"/>
    <x v="755"/>
    <m/>
    <x v="0"/>
    <x v="75"/>
    <s v="MBA"/>
    <n v="25"/>
    <n v="92286"/>
    <x v="8"/>
    <x v="21"/>
    <x v="4"/>
    <n v="9"/>
    <n v="52"/>
    <n v="62"/>
    <x v="0"/>
    <x v="1"/>
    <n v="4.8"/>
  </r>
  <r>
    <s v="E00861"/>
    <s v="FN862"/>
    <s v="LN862"/>
    <x v="0"/>
    <n v="27"/>
    <x v="4"/>
    <x v="2"/>
    <x v="3"/>
    <x v="1"/>
    <x v="1"/>
    <x v="435"/>
    <m/>
    <x v="0"/>
    <x v="15"/>
    <s v="Bachelor"/>
    <n v="12"/>
    <n v="46154"/>
    <x v="10"/>
    <x v="11"/>
    <x v="17"/>
    <n v="6"/>
    <n v="60"/>
    <n v="32"/>
    <x v="0"/>
    <x v="2"/>
    <n v="7"/>
  </r>
  <r>
    <s v="E00862"/>
    <s v="FN863"/>
    <s v="LN863"/>
    <x v="0"/>
    <n v="48"/>
    <x v="5"/>
    <x v="8"/>
    <x v="4"/>
    <x v="0"/>
    <x v="1"/>
    <x v="756"/>
    <m/>
    <x v="0"/>
    <x v="10"/>
    <s v="Bachelor"/>
    <n v="20"/>
    <n v="115058"/>
    <x v="10"/>
    <x v="24"/>
    <x v="49"/>
    <n v="10"/>
    <n v="38"/>
    <n v="30"/>
    <x v="1"/>
    <x v="0"/>
    <n v="7.2"/>
  </r>
  <r>
    <s v="E00863"/>
    <s v="FN864"/>
    <s v="LN864"/>
    <x v="0"/>
    <n v="38"/>
    <x v="1"/>
    <x v="1"/>
    <x v="2"/>
    <x v="2"/>
    <x v="1"/>
    <x v="757"/>
    <m/>
    <x v="0"/>
    <x v="56"/>
    <s v="MBA"/>
    <n v="15"/>
    <n v="74662"/>
    <x v="3"/>
    <x v="6"/>
    <x v="32"/>
    <n v="18"/>
    <n v="19"/>
    <n v="22"/>
    <x v="0"/>
    <x v="2"/>
    <n v="8"/>
  </r>
  <r>
    <s v="E00864"/>
    <s v="FN865"/>
    <s v="LN865"/>
    <x v="1"/>
    <n v="40"/>
    <x v="2"/>
    <x v="3"/>
    <x v="3"/>
    <x v="2"/>
    <x v="1"/>
    <x v="758"/>
    <m/>
    <x v="0"/>
    <x v="10"/>
    <s v="MBA"/>
    <n v="22"/>
    <n v="47333"/>
    <x v="17"/>
    <x v="22"/>
    <x v="24"/>
    <n v="18"/>
    <n v="12"/>
    <n v="63"/>
    <x v="1"/>
    <x v="0"/>
    <n v="5.8"/>
  </r>
  <r>
    <s v="E00865"/>
    <s v="FN866"/>
    <s v="LN866"/>
    <x v="1"/>
    <n v="55"/>
    <x v="4"/>
    <x v="2"/>
    <x v="0"/>
    <x v="0"/>
    <x v="0"/>
    <x v="759"/>
    <m/>
    <x v="0"/>
    <x v="4"/>
    <s v="Master"/>
    <n v="3"/>
    <n v="70694"/>
    <x v="18"/>
    <x v="4"/>
    <x v="20"/>
    <n v="4"/>
    <n v="24"/>
    <n v="67"/>
    <x v="1"/>
    <x v="2"/>
    <n v="1.7"/>
  </r>
  <r>
    <s v="E00866"/>
    <s v="FN867"/>
    <s v="LN867"/>
    <x v="1"/>
    <n v="43"/>
    <x v="3"/>
    <x v="10"/>
    <x v="1"/>
    <x v="0"/>
    <x v="1"/>
    <x v="598"/>
    <m/>
    <x v="0"/>
    <x v="73"/>
    <s v="Master"/>
    <n v="13"/>
    <n v="82684"/>
    <x v="12"/>
    <x v="18"/>
    <x v="43"/>
    <n v="0"/>
    <n v="19"/>
    <n v="14"/>
    <x v="0"/>
    <x v="2"/>
    <n v="1.1000000000000001"/>
  </r>
  <r>
    <s v="E00867"/>
    <s v="FN868"/>
    <s v="LN868"/>
    <x v="1"/>
    <n v="30"/>
    <x v="3"/>
    <x v="2"/>
    <x v="4"/>
    <x v="1"/>
    <x v="1"/>
    <x v="760"/>
    <s v="2024-10-08"/>
    <x v="1"/>
    <x v="20"/>
    <s v="Master"/>
    <n v="31"/>
    <n v="154703"/>
    <x v="16"/>
    <x v="3"/>
    <x v="20"/>
    <n v="19"/>
    <n v="16"/>
    <n v="41"/>
    <x v="0"/>
    <x v="0"/>
    <n v="5"/>
  </r>
  <r>
    <s v="E00868"/>
    <s v="FN869"/>
    <s v="LN869"/>
    <x v="0"/>
    <n v="36"/>
    <x v="5"/>
    <x v="8"/>
    <x v="1"/>
    <x v="0"/>
    <x v="0"/>
    <x v="761"/>
    <m/>
    <x v="0"/>
    <x v="62"/>
    <s v="Bachelor"/>
    <n v="35"/>
    <n v="148916"/>
    <x v="17"/>
    <x v="5"/>
    <x v="24"/>
    <n v="18"/>
    <n v="3"/>
    <n v="74"/>
    <x v="1"/>
    <x v="2"/>
    <n v="0.7"/>
  </r>
  <r>
    <s v="E00869"/>
    <s v="FN870"/>
    <s v="LN870"/>
    <x v="0"/>
    <n v="32"/>
    <x v="3"/>
    <x v="2"/>
    <x v="0"/>
    <x v="2"/>
    <x v="0"/>
    <x v="762"/>
    <m/>
    <x v="0"/>
    <x v="69"/>
    <s v="MBA"/>
    <n v="1"/>
    <n v="124001"/>
    <x v="8"/>
    <x v="16"/>
    <x v="21"/>
    <n v="6"/>
    <n v="8"/>
    <n v="31"/>
    <x v="1"/>
    <x v="0"/>
    <n v="6.8"/>
  </r>
  <r>
    <s v="E00870"/>
    <s v="FN871"/>
    <s v="LN871"/>
    <x v="1"/>
    <n v="53"/>
    <x v="4"/>
    <x v="9"/>
    <x v="2"/>
    <x v="1"/>
    <x v="0"/>
    <x v="763"/>
    <m/>
    <x v="0"/>
    <x v="37"/>
    <s v="Bachelor"/>
    <n v="35"/>
    <n v="85003"/>
    <x v="9"/>
    <x v="21"/>
    <x v="13"/>
    <n v="17"/>
    <n v="53"/>
    <n v="55"/>
    <x v="0"/>
    <x v="2"/>
    <n v="6"/>
  </r>
  <r>
    <s v="E00871"/>
    <s v="FN872"/>
    <s v="LN872"/>
    <x v="0"/>
    <n v="36"/>
    <x v="3"/>
    <x v="2"/>
    <x v="3"/>
    <x v="1"/>
    <x v="1"/>
    <x v="764"/>
    <m/>
    <x v="0"/>
    <x v="73"/>
    <s v="Bachelor"/>
    <n v="2"/>
    <n v="101576"/>
    <x v="15"/>
    <x v="5"/>
    <x v="35"/>
    <n v="16"/>
    <n v="10"/>
    <n v="20"/>
    <x v="1"/>
    <x v="2"/>
    <n v="7.2"/>
  </r>
  <r>
    <s v="E00872"/>
    <s v="FN873"/>
    <s v="LN873"/>
    <x v="0"/>
    <n v="42"/>
    <x v="4"/>
    <x v="9"/>
    <x v="1"/>
    <x v="1"/>
    <x v="1"/>
    <x v="765"/>
    <s v="2028-10-19"/>
    <x v="1"/>
    <x v="20"/>
    <s v="Master"/>
    <n v="13"/>
    <n v="61587"/>
    <x v="9"/>
    <x v="23"/>
    <x v="47"/>
    <n v="7"/>
    <n v="37"/>
    <n v="38"/>
    <x v="0"/>
    <x v="1"/>
    <n v="5.2"/>
  </r>
  <r>
    <s v="E00873"/>
    <s v="FN874"/>
    <s v="LN874"/>
    <x v="1"/>
    <n v="25"/>
    <x v="5"/>
    <x v="8"/>
    <x v="3"/>
    <x v="1"/>
    <x v="0"/>
    <x v="766"/>
    <m/>
    <x v="0"/>
    <x v="66"/>
    <s v="MBA"/>
    <n v="16"/>
    <n v="136123"/>
    <x v="4"/>
    <x v="22"/>
    <x v="35"/>
    <n v="6"/>
    <n v="49"/>
    <n v="51"/>
    <x v="0"/>
    <x v="0"/>
    <n v="6.6"/>
  </r>
  <r>
    <s v="E00874"/>
    <s v="FN875"/>
    <s v="LN875"/>
    <x v="1"/>
    <n v="47"/>
    <x v="0"/>
    <x v="2"/>
    <x v="0"/>
    <x v="0"/>
    <x v="0"/>
    <x v="767"/>
    <m/>
    <x v="0"/>
    <x v="6"/>
    <s v="Master"/>
    <n v="26"/>
    <n v="94949"/>
    <x v="3"/>
    <x v="17"/>
    <x v="32"/>
    <n v="0"/>
    <n v="41"/>
    <n v="52"/>
    <x v="1"/>
    <x v="0"/>
    <n v="6.9"/>
  </r>
  <r>
    <s v="E00875"/>
    <s v="FN876"/>
    <s v="LN876"/>
    <x v="0"/>
    <n v="27"/>
    <x v="3"/>
    <x v="10"/>
    <x v="2"/>
    <x v="0"/>
    <x v="0"/>
    <x v="441"/>
    <s v="2028-02-05"/>
    <x v="1"/>
    <x v="17"/>
    <s v="Bachelor"/>
    <n v="17"/>
    <n v="113605"/>
    <x v="8"/>
    <x v="18"/>
    <x v="48"/>
    <n v="0"/>
    <n v="28"/>
    <n v="7"/>
    <x v="0"/>
    <x v="0"/>
    <n v="6.3"/>
  </r>
  <r>
    <s v="E00876"/>
    <s v="FN877"/>
    <s v="LN877"/>
    <x v="0"/>
    <n v="31"/>
    <x v="4"/>
    <x v="2"/>
    <x v="1"/>
    <x v="0"/>
    <x v="0"/>
    <x v="342"/>
    <m/>
    <x v="0"/>
    <x v="20"/>
    <s v="MBA"/>
    <n v="25"/>
    <n v="60918"/>
    <x v="3"/>
    <x v="22"/>
    <x v="36"/>
    <n v="20"/>
    <n v="26"/>
    <n v="2"/>
    <x v="0"/>
    <x v="0"/>
    <n v="9.5"/>
  </r>
  <r>
    <s v="E00877"/>
    <s v="FN878"/>
    <s v="LN878"/>
    <x v="0"/>
    <n v="40"/>
    <x v="3"/>
    <x v="10"/>
    <x v="1"/>
    <x v="1"/>
    <x v="0"/>
    <x v="768"/>
    <s v="2023-10-12"/>
    <x v="1"/>
    <x v="31"/>
    <s v="Master"/>
    <n v="17"/>
    <n v="102380"/>
    <x v="20"/>
    <x v="6"/>
    <x v="44"/>
    <n v="3"/>
    <n v="6"/>
    <n v="73"/>
    <x v="1"/>
    <x v="1"/>
    <n v="8"/>
  </r>
  <r>
    <s v="E00878"/>
    <s v="FN879"/>
    <s v="LN879"/>
    <x v="1"/>
    <n v="42"/>
    <x v="4"/>
    <x v="6"/>
    <x v="2"/>
    <x v="1"/>
    <x v="0"/>
    <x v="769"/>
    <m/>
    <x v="0"/>
    <x v="38"/>
    <s v="MBA"/>
    <n v="13"/>
    <n v="152890"/>
    <x v="10"/>
    <x v="5"/>
    <x v="9"/>
    <n v="0"/>
    <n v="8"/>
    <n v="46"/>
    <x v="1"/>
    <x v="1"/>
    <n v="4.0999999999999996"/>
  </r>
  <r>
    <s v="E00879"/>
    <s v="FN880"/>
    <s v="LN880"/>
    <x v="0"/>
    <n v="41"/>
    <x v="4"/>
    <x v="6"/>
    <x v="0"/>
    <x v="0"/>
    <x v="1"/>
    <x v="770"/>
    <m/>
    <x v="0"/>
    <x v="16"/>
    <s v="MBA"/>
    <n v="18"/>
    <n v="177475"/>
    <x v="20"/>
    <x v="10"/>
    <x v="39"/>
    <n v="3"/>
    <n v="11"/>
    <n v="66"/>
    <x v="0"/>
    <x v="1"/>
    <n v="3.4"/>
  </r>
  <r>
    <s v="E00880"/>
    <s v="FN881"/>
    <s v="LN881"/>
    <x v="0"/>
    <n v="27"/>
    <x v="1"/>
    <x v="1"/>
    <x v="2"/>
    <x v="0"/>
    <x v="1"/>
    <x v="771"/>
    <m/>
    <x v="0"/>
    <x v="53"/>
    <s v="Bachelor"/>
    <n v="4"/>
    <n v="49337"/>
    <x v="19"/>
    <x v="19"/>
    <x v="41"/>
    <n v="10"/>
    <n v="24"/>
    <n v="30"/>
    <x v="1"/>
    <x v="0"/>
    <n v="2.9"/>
  </r>
  <r>
    <s v="E00881"/>
    <s v="FN882"/>
    <s v="LN882"/>
    <x v="1"/>
    <n v="42"/>
    <x v="3"/>
    <x v="10"/>
    <x v="2"/>
    <x v="2"/>
    <x v="0"/>
    <x v="772"/>
    <m/>
    <x v="0"/>
    <x v="70"/>
    <s v="Bachelor"/>
    <n v="4"/>
    <n v="150005"/>
    <x v="12"/>
    <x v="4"/>
    <x v="11"/>
    <n v="13"/>
    <n v="14"/>
    <n v="46"/>
    <x v="0"/>
    <x v="2"/>
    <n v="1.4"/>
  </r>
  <r>
    <s v="E00882"/>
    <s v="FN883"/>
    <s v="LN883"/>
    <x v="0"/>
    <n v="23"/>
    <x v="1"/>
    <x v="1"/>
    <x v="1"/>
    <x v="0"/>
    <x v="0"/>
    <x v="773"/>
    <m/>
    <x v="0"/>
    <x v="12"/>
    <s v="Bachelor"/>
    <n v="1"/>
    <n v="166191"/>
    <x v="11"/>
    <x v="22"/>
    <x v="7"/>
    <n v="20"/>
    <n v="50"/>
    <n v="55"/>
    <x v="0"/>
    <x v="1"/>
    <n v="4.3"/>
  </r>
  <r>
    <s v="E00883"/>
    <s v="FN884"/>
    <s v="LN884"/>
    <x v="0"/>
    <n v="31"/>
    <x v="0"/>
    <x v="2"/>
    <x v="2"/>
    <x v="2"/>
    <x v="1"/>
    <x v="774"/>
    <s v="2026-06-21"/>
    <x v="1"/>
    <x v="11"/>
    <s v="Bachelor"/>
    <n v="2"/>
    <n v="160701"/>
    <x v="9"/>
    <x v="12"/>
    <x v="8"/>
    <n v="14"/>
    <n v="38"/>
    <n v="47"/>
    <x v="0"/>
    <x v="0"/>
    <n v="1.4"/>
  </r>
  <r>
    <s v="E00884"/>
    <s v="FN885"/>
    <s v="LN885"/>
    <x v="0"/>
    <n v="44"/>
    <x v="4"/>
    <x v="2"/>
    <x v="0"/>
    <x v="1"/>
    <x v="0"/>
    <x v="775"/>
    <s v="2032-11-03"/>
    <x v="1"/>
    <x v="7"/>
    <s v="Bachelor"/>
    <n v="30"/>
    <n v="98703"/>
    <x v="6"/>
    <x v="19"/>
    <x v="8"/>
    <n v="4"/>
    <n v="14"/>
    <n v="70"/>
    <x v="1"/>
    <x v="0"/>
    <n v="1.8"/>
  </r>
  <r>
    <s v="E00885"/>
    <s v="FN886"/>
    <s v="LN886"/>
    <x v="1"/>
    <n v="47"/>
    <x v="1"/>
    <x v="4"/>
    <x v="0"/>
    <x v="1"/>
    <x v="0"/>
    <x v="776"/>
    <m/>
    <x v="0"/>
    <x v="50"/>
    <s v="Bachelor"/>
    <n v="6"/>
    <n v="97318"/>
    <x v="20"/>
    <x v="3"/>
    <x v="19"/>
    <n v="1"/>
    <n v="7"/>
    <n v="35"/>
    <x v="1"/>
    <x v="1"/>
    <n v="7.3"/>
  </r>
  <r>
    <s v="E00886"/>
    <s v="FN887"/>
    <s v="LN887"/>
    <x v="1"/>
    <n v="29"/>
    <x v="4"/>
    <x v="6"/>
    <x v="3"/>
    <x v="1"/>
    <x v="1"/>
    <x v="777"/>
    <s v="2026-09-21"/>
    <x v="1"/>
    <x v="70"/>
    <s v="MBA"/>
    <n v="24"/>
    <n v="70347"/>
    <x v="0"/>
    <x v="7"/>
    <x v="13"/>
    <n v="8"/>
    <n v="40"/>
    <n v="73"/>
    <x v="1"/>
    <x v="2"/>
    <n v="7.4"/>
  </r>
  <r>
    <s v="E00887"/>
    <s v="FN888"/>
    <s v="LN888"/>
    <x v="1"/>
    <n v="41"/>
    <x v="0"/>
    <x v="2"/>
    <x v="1"/>
    <x v="1"/>
    <x v="0"/>
    <x v="778"/>
    <m/>
    <x v="0"/>
    <x v="29"/>
    <s v="Master"/>
    <n v="17"/>
    <n v="135160"/>
    <x v="7"/>
    <x v="24"/>
    <x v="9"/>
    <n v="16"/>
    <n v="6"/>
    <n v="63"/>
    <x v="1"/>
    <x v="0"/>
    <n v="3.1"/>
  </r>
  <r>
    <s v="E00888"/>
    <s v="FN889"/>
    <s v="LN889"/>
    <x v="1"/>
    <n v="44"/>
    <x v="0"/>
    <x v="0"/>
    <x v="4"/>
    <x v="0"/>
    <x v="1"/>
    <x v="779"/>
    <m/>
    <x v="0"/>
    <x v="37"/>
    <s v="Master"/>
    <n v="26"/>
    <n v="130318"/>
    <x v="3"/>
    <x v="10"/>
    <x v="9"/>
    <n v="12"/>
    <n v="18"/>
    <n v="64"/>
    <x v="1"/>
    <x v="1"/>
    <n v="3.9"/>
  </r>
  <r>
    <s v="E00889"/>
    <s v="FN890"/>
    <s v="LN890"/>
    <x v="0"/>
    <n v="39"/>
    <x v="4"/>
    <x v="9"/>
    <x v="1"/>
    <x v="0"/>
    <x v="0"/>
    <x v="780"/>
    <m/>
    <x v="0"/>
    <x v="71"/>
    <s v="Bachelor"/>
    <n v="27"/>
    <n v="103475"/>
    <x v="15"/>
    <x v="10"/>
    <x v="46"/>
    <n v="7"/>
    <n v="2"/>
    <n v="59"/>
    <x v="0"/>
    <x v="0"/>
    <n v="4.4000000000000004"/>
  </r>
  <r>
    <s v="E00890"/>
    <s v="FN891"/>
    <s v="LN891"/>
    <x v="1"/>
    <n v="47"/>
    <x v="0"/>
    <x v="2"/>
    <x v="1"/>
    <x v="2"/>
    <x v="1"/>
    <x v="781"/>
    <m/>
    <x v="0"/>
    <x v="27"/>
    <s v="Master"/>
    <n v="20"/>
    <n v="156317"/>
    <x v="12"/>
    <x v="2"/>
    <x v="18"/>
    <n v="1"/>
    <n v="39"/>
    <n v="63"/>
    <x v="0"/>
    <x v="0"/>
    <n v="3.1"/>
  </r>
  <r>
    <s v="E00891"/>
    <s v="FN892"/>
    <s v="LN892"/>
    <x v="1"/>
    <n v="49"/>
    <x v="3"/>
    <x v="10"/>
    <x v="2"/>
    <x v="1"/>
    <x v="1"/>
    <x v="782"/>
    <m/>
    <x v="0"/>
    <x v="77"/>
    <s v="Master"/>
    <n v="5"/>
    <n v="166548"/>
    <x v="8"/>
    <x v="5"/>
    <x v="10"/>
    <n v="13"/>
    <n v="25"/>
    <n v="43"/>
    <x v="1"/>
    <x v="1"/>
    <n v="8.1999999999999993"/>
  </r>
  <r>
    <s v="E00892"/>
    <s v="FN893"/>
    <s v="LN893"/>
    <x v="1"/>
    <n v="30"/>
    <x v="1"/>
    <x v="1"/>
    <x v="1"/>
    <x v="1"/>
    <x v="0"/>
    <x v="783"/>
    <m/>
    <x v="0"/>
    <x v="65"/>
    <s v="MBA"/>
    <n v="1"/>
    <n v="82024"/>
    <x v="3"/>
    <x v="17"/>
    <x v="10"/>
    <n v="2"/>
    <n v="43"/>
    <n v="48"/>
    <x v="1"/>
    <x v="1"/>
    <n v="6.1"/>
  </r>
  <r>
    <s v="E00893"/>
    <s v="FN894"/>
    <s v="LN894"/>
    <x v="0"/>
    <n v="49"/>
    <x v="2"/>
    <x v="7"/>
    <x v="0"/>
    <x v="0"/>
    <x v="0"/>
    <x v="784"/>
    <m/>
    <x v="0"/>
    <x v="43"/>
    <s v="Bachelor"/>
    <n v="29"/>
    <n v="97214"/>
    <x v="13"/>
    <x v="19"/>
    <x v="27"/>
    <n v="8"/>
    <n v="11"/>
    <n v="51"/>
    <x v="0"/>
    <x v="2"/>
    <n v="0.9"/>
  </r>
  <r>
    <s v="E00894"/>
    <s v="FN895"/>
    <s v="LN895"/>
    <x v="1"/>
    <n v="52"/>
    <x v="0"/>
    <x v="0"/>
    <x v="3"/>
    <x v="1"/>
    <x v="1"/>
    <x v="785"/>
    <m/>
    <x v="0"/>
    <x v="28"/>
    <s v="Bachelor"/>
    <n v="2"/>
    <n v="70766"/>
    <x v="2"/>
    <x v="23"/>
    <x v="26"/>
    <n v="11"/>
    <n v="15"/>
    <n v="50"/>
    <x v="1"/>
    <x v="2"/>
    <n v="5.0999999999999996"/>
  </r>
  <r>
    <s v="E00895"/>
    <s v="FN896"/>
    <s v="LN896"/>
    <x v="0"/>
    <n v="36"/>
    <x v="5"/>
    <x v="8"/>
    <x v="1"/>
    <x v="1"/>
    <x v="1"/>
    <x v="786"/>
    <m/>
    <x v="0"/>
    <x v="77"/>
    <s v="Bachelor"/>
    <n v="13"/>
    <n v="89467"/>
    <x v="0"/>
    <x v="12"/>
    <x v="37"/>
    <n v="11"/>
    <n v="10"/>
    <n v="7"/>
    <x v="1"/>
    <x v="0"/>
    <n v="4.2"/>
  </r>
  <r>
    <s v="E00896"/>
    <s v="FN897"/>
    <s v="LN897"/>
    <x v="0"/>
    <n v="49"/>
    <x v="5"/>
    <x v="2"/>
    <x v="4"/>
    <x v="1"/>
    <x v="0"/>
    <x v="787"/>
    <m/>
    <x v="0"/>
    <x v="41"/>
    <s v="Master"/>
    <n v="8"/>
    <n v="40552"/>
    <x v="20"/>
    <x v="23"/>
    <x v="43"/>
    <n v="12"/>
    <n v="4"/>
    <n v="65"/>
    <x v="0"/>
    <x v="0"/>
    <n v="7.7"/>
  </r>
  <r>
    <s v="E00897"/>
    <s v="FN898"/>
    <s v="LN898"/>
    <x v="0"/>
    <n v="53"/>
    <x v="5"/>
    <x v="6"/>
    <x v="3"/>
    <x v="0"/>
    <x v="0"/>
    <x v="788"/>
    <m/>
    <x v="0"/>
    <x v="29"/>
    <s v="Master"/>
    <n v="1"/>
    <n v="41358"/>
    <x v="8"/>
    <x v="8"/>
    <x v="0"/>
    <n v="16"/>
    <n v="57"/>
    <n v="51"/>
    <x v="0"/>
    <x v="2"/>
    <n v="9.9"/>
  </r>
  <r>
    <s v="E00898"/>
    <s v="FN899"/>
    <s v="LN899"/>
    <x v="1"/>
    <n v="46"/>
    <x v="5"/>
    <x v="6"/>
    <x v="0"/>
    <x v="2"/>
    <x v="0"/>
    <x v="789"/>
    <m/>
    <x v="0"/>
    <x v="45"/>
    <s v="MBA"/>
    <n v="2"/>
    <n v="141802"/>
    <x v="1"/>
    <x v="10"/>
    <x v="48"/>
    <n v="2"/>
    <n v="52"/>
    <n v="49"/>
    <x v="0"/>
    <x v="0"/>
    <n v="6.1"/>
  </r>
  <r>
    <s v="E00899"/>
    <s v="FN900"/>
    <s v="LN900"/>
    <x v="1"/>
    <n v="46"/>
    <x v="3"/>
    <x v="2"/>
    <x v="4"/>
    <x v="1"/>
    <x v="1"/>
    <x v="790"/>
    <m/>
    <x v="0"/>
    <x v="21"/>
    <s v="MBA"/>
    <n v="32"/>
    <n v="79663"/>
    <x v="19"/>
    <x v="21"/>
    <x v="1"/>
    <n v="19"/>
    <n v="23"/>
    <n v="53"/>
    <x v="0"/>
    <x v="1"/>
    <n v="10.199999999999999"/>
  </r>
  <r>
    <s v="E00900"/>
    <s v="FN901"/>
    <s v="LN901"/>
    <x v="1"/>
    <n v="25"/>
    <x v="4"/>
    <x v="6"/>
    <x v="4"/>
    <x v="0"/>
    <x v="0"/>
    <x v="791"/>
    <m/>
    <x v="0"/>
    <x v="64"/>
    <s v="MBA"/>
    <n v="10"/>
    <n v="77281"/>
    <x v="19"/>
    <x v="5"/>
    <x v="38"/>
    <n v="13"/>
    <n v="10"/>
    <n v="62"/>
    <x v="0"/>
    <x v="2"/>
    <n v="7.5"/>
  </r>
  <r>
    <s v="E00901"/>
    <s v="FN902"/>
    <s v="LN902"/>
    <x v="0"/>
    <n v="31"/>
    <x v="2"/>
    <x v="7"/>
    <x v="2"/>
    <x v="0"/>
    <x v="0"/>
    <x v="792"/>
    <m/>
    <x v="0"/>
    <x v="0"/>
    <s v="MBA"/>
    <n v="15"/>
    <n v="47708"/>
    <x v="3"/>
    <x v="25"/>
    <x v="1"/>
    <n v="15"/>
    <n v="55"/>
    <n v="43"/>
    <x v="1"/>
    <x v="1"/>
    <n v="9.3000000000000007"/>
  </r>
  <r>
    <s v="E00902"/>
    <s v="FN903"/>
    <s v="LN903"/>
    <x v="0"/>
    <n v="38"/>
    <x v="1"/>
    <x v="4"/>
    <x v="2"/>
    <x v="2"/>
    <x v="0"/>
    <x v="793"/>
    <m/>
    <x v="0"/>
    <x v="41"/>
    <s v="Bachelor"/>
    <n v="13"/>
    <n v="42167"/>
    <x v="19"/>
    <x v="20"/>
    <x v="30"/>
    <n v="6"/>
    <n v="40"/>
    <n v="38"/>
    <x v="0"/>
    <x v="2"/>
    <n v="3.8"/>
  </r>
  <r>
    <s v="E00903"/>
    <s v="FN904"/>
    <s v="LN904"/>
    <x v="1"/>
    <n v="21"/>
    <x v="4"/>
    <x v="9"/>
    <x v="3"/>
    <x v="2"/>
    <x v="0"/>
    <x v="794"/>
    <m/>
    <x v="0"/>
    <x v="14"/>
    <s v="MBA"/>
    <n v="22"/>
    <n v="91974"/>
    <x v="9"/>
    <x v="8"/>
    <x v="11"/>
    <n v="13"/>
    <n v="30"/>
    <n v="77"/>
    <x v="0"/>
    <x v="0"/>
    <n v="9.3000000000000007"/>
  </r>
  <r>
    <s v="E00904"/>
    <s v="FN905"/>
    <s v="LN905"/>
    <x v="0"/>
    <n v="36"/>
    <x v="3"/>
    <x v="2"/>
    <x v="1"/>
    <x v="0"/>
    <x v="0"/>
    <x v="795"/>
    <s v="2024-02-07"/>
    <x v="1"/>
    <x v="63"/>
    <s v="Bachelor"/>
    <n v="32"/>
    <n v="50167"/>
    <x v="3"/>
    <x v="11"/>
    <x v="10"/>
    <n v="8"/>
    <n v="55"/>
    <n v="5"/>
    <x v="0"/>
    <x v="0"/>
    <n v="9.4"/>
  </r>
  <r>
    <s v="E00905"/>
    <s v="FN906"/>
    <s v="LN906"/>
    <x v="0"/>
    <n v="56"/>
    <x v="2"/>
    <x v="5"/>
    <x v="3"/>
    <x v="2"/>
    <x v="0"/>
    <x v="796"/>
    <m/>
    <x v="0"/>
    <x v="2"/>
    <s v="MBA"/>
    <n v="34"/>
    <n v="114639"/>
    <x v="12"/>
    <x v="3"/>
    <x v="21"/>
    <n v="4"/>
    <n v="22"/>
    <n v="31"/>
    <x v="0"/>
    <x v="0"/>
    <n v="6.3"/>
  </r>
  <r>
    <s v="E00906"/>
    <s v="FN907"/>
    <s v="LN907"/>
    <x v="0"/>
    <n v="22"/>
    <x v="5"/>
    <x v="2"/>
    <x v="2"/>
    <x v="1"/>
    <x v="0"/>
    <x v="797"/>
    <m/>
    <x v="0"/>
    <x v="78"/>
    <s v="Master"/>
    <n v="7"/>
    <n v="122560"/>
    <x v="20"/>
    <x v="3"/>
    <x v="5"/>
    <n v="18"/>
    <n v="29"/>
    <n v="53"/>
    <x v="1"/>
    <x v="1"/>
    <n v="3.2"/>
  </r>
  <r>
    <s v="E00907"/>
    <s v="FN908"/>
    <s v="LN908"/>
    <x v="0"/>
    <n v="29"/>
    <x v="2"/>
    <x v="5"/>
    <x v="2"/>
    <x v="1"/>
    <x v="1"/>
    <x v="798"/>
    <m/>
    <x v="0"/>
    <x v="2"/>
    <s v="Master"/>
    <n v="21"/>
    <n v="48193"/>
    <x v="16"/>
    <x v="7"/>
    <x v="32"/>
    <n v="2"/>
    <n v="6"/>
    <n v="42"/>
    <x v="1"/>
    <x v="1"/>
    <n v="7.1"/>
  </r>
  <r>
    <s v="E00908"/>
    <s v="FN909"/>
    <s v="LN909"/>
    <x v="0"/>
    <n v="28"/>
    <x v="4"/>
    <x v="9"/>
    <x v="1"/>
    <x v="0"/>
    <x v="0"/>
    <x v="799"/>
    <m/>
    <x v="0"/>
    <x v="3"/>
    <s v="MBA"/>
    <n v="6"/>
    <n v="152146"/>
    <x v="13"/>
    <x v="11"/>
    <x v="36"/>
    <n v="0"/>
    <n v="20"/>
    <n v="9"/>
    <x v="1"/>
    <x v="1"/>
    <n v="5.4"/>
  </r>
  <r>
    <s v="E00909"/>
    <s v="FN910"/>
    <s v="LN910"/>
    <x v="1"/>
    <n v="29"/>
    <x v="2"/>
    <x v="3"/>
    <x v="0"/>
    <x v="2"/>
    <x v="0"/>
    <x v="800"/>
    <m/>
    <x v="0"/>
    <x v="41"/>
    <s v="MBA"/>
    <n v="10"/>
    <n v="109282"/>
    <x v="9"/>
    <x v="0"/>
    <x v="50"/>
    <n v="20"/>
    <n v="6"/>
    <n v="69"/>
    <x v="0"/>
    <x v="0"/>
    <n v="6.7"/>
  </r>
  <r>
    <s v="E00910"/>
    <s v="FN911"/>
    <s v="LN911"/>
    <x v="1"/>
    <n v="35"/>
    <x v="1"/>
    <x v="1"/>
    <x v="2"/>
    <x v="2"/>
    <x v="0"/>
    <x v="354"/>
    <s v="2031-10-02"/>
    <x v="1"/>
    <x v="60"/>
    <s v="MBA"/>
    <n v="8"/>
    <n v="126281"/>
    <x v="18"/>
    <x v="3"/>
    <x v="46"/>
    <n v="8"/>
    <n v="57"/>
    <n v="26"/>
    <x v="0"/>
    <x v="2"/>
    <n v="0.3"/>
  </r>
  <r>
    <s v="E00911"/>
    <s v="FN912"/>
    <s v="LN912"/>
    <x v="1"/>
    <n v="55"/>
    <x v="5"/>
    <x v="2"/>
    <x v="0"/>
    <x v="1"/>
    <x v="0"/>
    <x v="801"/>
    <m/>
    <x v="0"/>
    <x v="35"/>
    <s v="Bachelor"/>
    <n v="27"/>
    <n v="89560"/>
    <x v="1"/>
    <x v="13"/>
    <x v="33"/>
    <n v="1"/>
    <n v="13"/>
    <n v="57"/>
    <x v="1"/>
    <x v="1"/>
    <n v="5.3"/>
  </r>
  <r>
    <s v="E00912"/>
    <s v="FN913"/>
    <s v="LN913"/>
    <x v="1"/>
    <n v="46"/>
    <x v="5"/>
    <x v="8"/>
    <x v="2"/>
    <x v="0"/>
    <x v="0"/>
    <x v="802"/>
    <m/>
    <x v="0"/>
    <x v="19"/>
    <s v="MBA"/>
    <n v="22"/>
    <n v="163048"/>
    <x v="6"/>
    <x v="19"/>
    <x v="26"/>
    <n v="10"/>
    <n v="11"/>
    <n v="47"/>
    <x v="1"/>
    <x v="1"/>
    <n v="5.0999999999999996"/>
  </r>
  <r>
    <s v="E00913"/>
    <s v="FN914"/>
    <s v="LN914"/>
    <x v="1"/>
    <n v="51"/>
    <x v="3"/>
    <x v="10"/>
    <x v="1"/>
    <x v="1"/>
    <x v="1"/>
    <x v="803"/>
    <m/>
    <x v="0"/>
    <x v="29"/>
    <s v="Master"/>
    <n v="12"/>
    <n v="88907"/>
    <x v="12"/>
    <x v="25"/>
    <x v="2"/>
    <n v="14"/>
    <n v="52"/>
    <n v="12"/>
    <x v="1"/>
    <x v="2"/>
    <n v="8.6"/>
  </r>
  <r>
    <s v="E00914"/>
    <s v="FN915"/>
    <s v="LN915"/>
    <x v="0"/>
    <n v="30"/>
    <x v="4"/>
    <x v="2"/>
    <x v="2"/>
    <x v="0"/>
    <x v="1"/>
    <x v="804"/>
    <m/>
    <x v="0"/>
    <x v="12"/>
    <s v="Bachelor"/>
    <n v="30"/>
    <n v="149895"/>
    <x v="6"/>
    <x v="15"/>
    <x v="34"/>
    <n v="8"/>
    <n v="40"/>
    <n v="4"/>
    <x v="1"/>
    <x v="0"/>
    <n v="2"/>
  </r>
  <r>
    <s v="E00915"/>
    <s v="FN916"/>
    <s v="LN916"/>
    <x v="0"/>
    <n v="27"/>
    <x v="3"/>
    <x v="10"/>
    <x v="1"/>
    <x v="0"/>
    <x v="0"/>
    <x v="805"/>
    <m/>
    <x v="0"/>
    <x v="75"/>
    <s v="Bachelor"/>
    <n v="2"/>
    <n v="44288"/>
    <x v="10"/>
    <x v="1"/>
    <x v="21"/>
    <n v="7"/>
    <n v="57"/>
    <n v="4"/>
    <x v="0"/>
    <x v="0"/>
    <n v="8.6999999999999993"/>
  </r>
  <r>
    <s v="E00916"/>
    <s v="FN917"/>
    <s v="LN917"/>
    <x v="0"/>
    <n v="33"/>
    <x v="1"/>
    <x v="1"/>
    <x v="2"/>
    <x v="1"/>
    <x v="0"/>
    <x v="806"/>
    <m/>
    <x v="0"/>
    <x v="71"/>
    <s v="Master"/>
    <n v="5"/>
    <n v="149898"/>
    <x v="1"/>
    <x v="8"/>
    <x v="6"/>
    <n v="17"/>
    <n v="29"/>
    <n v="16"/>
    <x v="1"/>
    <x v="2"/>
    <n v="7.4"/>
  </r>
  <r>
    <s v="E00917"/>
    <s v="FN918"/>
    <s v="LN918"/>
    <x v="0"/>
    <n v="42"/>
    <x v="4"/>
    <x v="6"/>
    <x v="4"/>
    <x v="0"/>
    <x v="0"/>
    <x v="128"/>
    <m/>
    <x v="0"/>
    <x v="40"/>
    <s v="Bachelor"/>
    <n v="0"/>
    <n v="179586"/>
    <x v="4"/>
    <x v="13"/>
    <x v="39"/>
    <n v="10"/>
    <n v="15"/>
    <n v="21"/>
    <x v="1"/>
    <x v="2"/>
    <n v="9.6"/>
  </r>
  <r>
    <s v="E00918"/>
    <s v="FN919"/>
    <s v="LN919"/>
    <x v="0"/>
    <n v="27"/>
    <x v="2"/>
    <x v="7"/>
    <x v="2"/>
    <x v="1"/>
    <x v="1"/>
    <x v="807"/>
    <m/>
    <x v="0"/>
    <x v="61"/>
    <s v="MBA"/>
    <n v="25"/>
    <n v="161936"/>
    <x v="15"/>
    <x v="22"/>
    <x v="13"/>
    <n v="16"/>
    <n v="42"/>
    <n v="33"/>
    <x v="0"/>
    <x v="2"/>
    <n v="0.8"/>
  </r>
  <r>
    <s v="E00919"/>
    <s v="FN920"/>
    <s v="LN920"/>
    <x v="1"/>
    <n v="42"/>
    <x v="1"/>
    <x v="4"/>
    <x v="4"/>
    <x v="0"/>
    <x v="0"/>
    <x v="808"/>
    <m/>
    <x v="0"/>
    <x v="55"/>
    <s v="MBA"/>
    <n v="22"/>
    <n v="173022"/>
    <x v="15"/>
    <x v="12"/>
    <x v="30"/>
    <n v="17"/>
    <n v="7"/>
    <n v="50"/>
    <x v="0"/>
    <x v="1"/>
    <n v="9.1999999999999993"/>
  </r>
  <r>
    <s v="E00920"/>
    <s v="FN921"/>
    <s v="LN921"/>
    <x v="0"/>
    <n v="43"/>
    <x v="1"/>
    <x v="1"/>
    <x v="0"/>
    <x v="2"/>
    <x v="1"/>
    <x v="809"/>
    <s v="2021-07-30"/>
    <x v="1"/>
    <x v="19"/>
    <s v="MBA"/>
    <n v="25"/>
    <n v="77097"/>
    <x v="2"/>
    <x v="0"/>
    <x v="30"/>
    <n v="4"/>
    <n v="25"/>
    <n v="23"/>
    <x v="1"/>
    <x v="0"/>
    <n v="9.5"/>
  </r>
  <r>
    <s v="E00921"/>
    <s v="FN922"/>
    <s v="LN922"/>
    <x v="0"/>
    <n v="32"/>
    <x v="5"/>
    <x v="6"/>
    <x v="2"/>
    <x v="1"/>
    <x v="0"/>
    <x v="810"/>
    <s v="2026-01-17"/>
    <x v="1"/>
    <x v="40"/>
    <s v="Bachelor"/>
    <n v="16"/>
    <n v="151052"/>
    <x v="16"/>
    <x v="6"/>
    <x v="36"/>
    <n v="18"/>
    <n v="18"/>
    <n v="27"/>
    <x v="1"/>
    <x v="1"/>
    <n v="2.6"/>
  </r>
  <r>
    <s v="E00922"/>
    <s v="FN923"/>
    <s v="LN923"/>
    <x v="1"/>
    <n v="53"/>
    <x v="2"/>
    <x v="5"/>
    <x v="1"/>
    <x v="2"/>
    <x v="1"/>
    <x v="811"/>
    <m/>
    <x v="0"/>
    <x v="79"/>
    <s v="Master"/>
    <n v="9"/>
    <n v="108320"/>
    <x v="0"/>
    <x v="6"/>
    <x v="32"/>
    <n v="18"/>
    <n v="52"/>
    <n v="68"/>
    <x v="1"/>
    <x v="0"/>
    <n v="7.1"/>
  </r>
  <r>
    <s v="E00923"/>
    <s v="FN924"/>
    <s v="LN924"/>
    <x v="1"/>
    <n v="38"/>
    <x v="0"/>
    <x v="0"/>
    <x v="2"/>
    <x v="2"/>
    <x v="1"/>
    <x v="812"/>
    <m/>
    <x v="0"/>
    <x v="21"/>
    <s v="Bachelor"/>
    <n v="19"/>
    <n v="116278"/>
    <x v="14"/>
    <x v="15"/>
    <x v="21"/>
    <n v="8"/>
    <n v="27"/>
    <n v="13"/>
    <x v="1"/>
    <x v="0"/>
    <n v="5.9"/>
  </r>
  <r>
    <s v="E00924"/>
    <s v="FN925"/>
    <s v="LN925"/>
    <x v="0"/>
    <n v="21"/>
    <x v="1"/>
    <x v="4"/>
    <x v="4"/>
    <x v="2"/>
    <x v="0"/>
    <x v="813"/>
    <m/>
    <x v="0"/>
    <x v="45"/>
    <s v="Bachelor"/>
    <n v="0"/>
    <n v="172497"/>
    <x v="12"/>
    <x v="12"/>
    <x v="47"/>
    <n v="20"/>
    <n v="59"/>
    <n v="3"/>
    <x v="0"/>
    <x v="1"/>
    <n v="4"/>
  </r>
  <r>
    <s v="E00925"/>
    <s v="FN926"/>
    <s v="LN926"/>
    <x v="1"/>
    <n v="44"/>
    <x v="0"/>
    <x v="2"/>
    <x v="3"/>
    <x v="0"/>
    <x v="0"/>
    <x v="814"/>
    <s v="2023-12-21"/>
    <x v="1"/>
    <x v="65"/>
    <s v="Master"/>
    <n v="33"/>
    <n v="88487"/>
    <x v="12"/>
    <x v="19"/>
    <x v="22"/>
    <n v="13"/>
    <n v="18"/>
    <n v="46"/>
    <x v="0"/>
    <x v="1"/>
    <n v="8.1"/>
  </r>
  <r>
    <s v="E00926"/>
    <s v="FN927"/>
    <s v="LN927"/>
    <x v="1"/>
    <n v="48"/>
    <x v="5"/>
    <x v="8"/>
    <x v="0"/>
    <x v="0"/>
    <x v="0"/>
    <x v="815"/>
    <m/>
    <x v="0"/>
    <x v="26"/>
    <s v="Master"/>
    <n v="32"/>
    <n v="173698"/>
    <x v="3"/>
    <x v="11"/>
    <x v="7"/>
    <n v="11"/>
    <n v="59"/>
    <n v="66"/>
    <x v="0"/>
    <x v="1"/>
    <n v="6.5"/>
  </r>
  <r>
    <s v="E00927"/>
    <s v="FN928"/>
    <s v="LN928"/>
    <x v="1"/>
    <n v="30"/>
    <x v="5"/>
    <x v="2"/>
    <x v="4"/>
    <x v="1"/>
    <x v="0"/>
    <x v="816"/>
    <m/>
    <x v="0"/>
    <x v="37"/>
    <s v="MBA"/>
    <n v="33"/>
    <n v="128826"/>
    <x v="15"/>
    <x v="17"/>
    <x v="14"/>
    <n v="4"/>
    <n v="40"/>
    <n v="23"/>
    <x v="0"/>
    <x v="0"/>
    <n v="3.4"/>
  </r>
  <r>
    <s v="E00928"/>
    <s v="FN929"/>
    <s v="LN929"/>
    <x v="1"/>
    <n v="25"/>
    <x v="2"/>
    <x v="5"/>
    <x v="0"/>
    <x v="0"/>
    <x v="0"/>
    <x v="817"/>
    <m/>
    <x v="0"/>
    <x v="56"/>
    <s v="Master"/>
    <n v="9"/>
    <n v="159782"/>
    <x v="3"/>
    <x v="5"/>
    <x v="46"/>
    <n v="16"/>
    <n v="35"/>
    <n v="64"/>
    <x v="0"/>
    <x v="1"/>
    <n v="4.8"/>
  </r>
  <r>
    <s v="E00929"/>
    <s v="FN930"/>
    <s v="LN930"/>
    <x v="0"/>
    <n v="60"/>
    <x v="4"/>
    <x v="9"/>
    <x v="3"/>
    <x v="2"/>
    <x v="0"/>
    <x v="818"/>
    <m/>
    <x v="0"/>
    <x v="70"/>
    <s v="Master"/>
    <n v="7"/>
    <n v="119022"/>
    <x v="6"/>
    <x v="8"/>
    <x v="38"/>
    <n v="7"/>
    <n v="24"/>
    <n v="41"/>
    <x v="1"/>
    <x v="2"/>
    <n v="7.8"/>
  </r>
  <r>
    <s v="E00930"/>
    <s v="FN931"/>
    <s v="LN931"/>
    <x v="1"/>
    <n v="31"/>
    <x v="0"/>
    <x v="0"/>
    <x v="3"/>
    <x v="2"/>
    <x v="0"/>
    <x v="440"/>
    <s v="2018-11-12"/>
    <x v="1"/>
    <x v="26"/>
    <s v="Master"/>
    <n v="23"/>
    <n v="148158"/>
    <x v="5"/>
    <x v="19"/>
    <x v="0"/>
    <n v="20"/>
    <n v="45"/>
    <n v="27"/>
    <x v="0"/>
    <x v="1"/>
    <n v="10.4"/>
  </r>
  <r>
    <s v="E00931"/>
    <s v="FN932"/>
    <s v="LN932"/>
    <x v="1"/>
    <n v="39"/>
    <x v="3"/>
    <x v="10"/>
    <x v="2"/>
    <x v="2"/>
    <x v="1"/>
    <x v="368"/>
    <m/>
    <x v="0"/>
    <x v="7"/>
    <s v="MBA"/>
    <n v="6"/>
    <n v="150964"/>
    <x v="7"/>
    <x v="7"/>
    <x v="25"/>
    <n v="9"/>
    <n v="48"/>
    <n v="45"/>
    <x v="1"/>
    <x v="0"/>
    <n v="1.8"/>
  </r>
  <r>
    <s v="E00932"/>
    <s v="FN933"/>
    <s v="LN933"/>
    <x v="1"/>
    <n v="28"/>
    <x v="0"/>
    <x v="0"/>
    <x v="4"/>
    <x v="0"/>
    <x v="0"/>
    <x v="819"/>
    <m/>
    <x v="0"/>
    <x v="11"/>
    <s v="Bachelor"/>
    <n v="17"/>
    <n v="72183"/>
    <x v="11"/>
    <x v="18"/>
    <x v="21"/>
    <n v="11"/>
    <n v="55"/>
    <n v="42"/>
    <x v="1"/>
    <x v="2"/>
    <n v="10.1"/>
  </r>
  <r>
    <s v="E00933"/>
    <s v="FN934"/>
    <s v="LN934"/>
    <x v="0"/>
    <n v="36"/>
    <x v="3"/>
    <x v="2"/>
    <x v="2"/>
    <x v="1"/>
    <x v="0"/>
    <x v="820"/>
    <m/>
    <x v="0"/>
    <x v="46"/>
    <s v="Master"/>
    <n v="15"/>
    <n v="143026"/>
    <x v="19"/>
    <x v="3"/>
    <x v="14"/>
    <n v="0"/>
    <n v="44"/>
    <n v="72"/>
    <x v="1"/>
    <x v="2"/>
    <n v="6.6"/>
  </r>
  <r>
    <s v="E00934"/>
    <s v="FN935"/>
    <s v="LN935"/>
    <x v="1"/>
    <n v="28"/>
    <x v="5"/>
    <x v="6"/>
    <x v="4"/>
    <x v="2"/>
    <x v="1"/>
    <x v="821"/>
    <m/>
    <x v="0"/>
    <x v="46"/>
    <s v="Bachelor"/>
    <n v="19"/>
    <n v="64295"/>
    <x v="18"/>
    <x v="25"/>
    <x v="32"/>
    <n v="13"/>
    <n v="44"/>
    <n v="57"/>
    <x v="1"/>
    <x v="1"/>
    <n v="10.3"/>
  </r>
  <r>
    <s v="E00935"/>
    <s v="FN936"/>
    <s v="LN936"/>
    <x v="1"/>
    <n v="35"/>
    <x v="4"/>
    <x v="2"/>
    <x v="1"/>
    <x v="2"/>
    <x v="0"/>
    <x v="822"/>
    <m/>
    <x v="0"/>
    <x v="57"/>
    <s v="Bachelor"/>
    <n v="22"/>
    <n v="78897"/>
    <x v="4"/>
    <x v="20"/>
    <x v="33"/>
    <n v="7"/>
    <n v="40"/>
    <n v="17"/>
    <x v="1"/>
    <x v="0"/>
    <n v="2.4"/>
  </r>
  <r>
    <s v="E00936"/>
    <s v="FN937"/>
    <s v="LN937"/>
    <x v="0"/>
    <n v="59"/>
    <x v="0"/>
    <x v="2"/>
    <x v="1"/>
    <x v="1"/>
    <x v="1"/>
    <x v="823"/>
    <m/>
    <x v="0"/>
    <x v="36"/>
    <s v="Bachelor"/>
    <n v="22"/>
    <n v="49459"/>
    <x v="9"/>
    <x v="3"/>
    <x v="2"/>
    <n v="13"/>
    <n v="54"/>
    <n v="23"/>
    <x v="1"/>
    <x v="0"/>
    <n v="10.4"/>
  </r>
  <r>
    <s v="E00937"/>
    <s v="FN938"/>
    <s v="LN938"/>
    <x v="1"/>
    <n v="28"/>
    <x v="0"/>
    <x v="0"/>
    <x v="4"/>
    <x v="0"/>
    <x v="0"/>
    <x v="824"/>
    <m/>
    <x v="0"/>
    <x v="72"/>
    <s v="Bachelor"/>
    <n v="25"/>
    <n v="83351"/>
    <x v="16"/>
    <x v="17"/>
    <x v="23"/>
    <n v="20"/>
    <n v="49"/>
    <n v="29"/>
    <x v="0"/>
    <x v="1"/>
    <n v="3.9"/>
  </r>
  <r>
    <s v="E00938"/>
    <s v="FN939"/>
    <s v="LN939"/>
    <x v="0"/>
    <n v="57"/>
    <x v="5"/>
    <x v="2"/>
    <x v="2"/>
    <x v="2"/>
    <x v="0"/>
    <x v="825"/>
    <m/>
    <x v="0"/>
    <x v="13"/>
    <s v="Master"/>
    <n v="10"/>
    <n v="103564"/>
    <x v="20"/>
    <x v="5"/>
    <x v="25"/>
    <n v="5"/>
    <n v="19"/>
    <n v="8"/>
    <x v="1"/>
    <x v="1"/>
    <n v="1.1000000000000001"/>
  </r>
  <r>
    <s v="E00939"/>
    <s v="FN940"/>
    <s v="LN940"/>
    <x v="1"/>
    <n v="32"/>
    <x v="3"/>
    <x v="2"/>
    <x v="0"/>
    <x v="1"/>
    <x v="1"/>
    <x v="826"/>
    <m/>
    <x v="0"/>
    <x v="1"/>
    <s v="MBA"/>
    <n v="11"/>
    <n v="134834"/>
    <x v="9"/>
    <x v="12"/>
    <x v="37"/>
    <n v="19"/>
    <n v="22"/>
    <n v="77"/>
    <x v="0"/>
    <x v="1"/>
    <n v="0.6"/>
  </r>
  <r>
    <s v="E00940"/>
    <s v="FN941"/>
    <s v="LN941"/>
    <x v="1"/>
    <n v="38"/>
    <x v="0"/>
    <x v="0"/>
    <x v="4"/>
    <x v="2"/>
    <x v="1"/>
    <x v="827"/>
    <m/>
    <x v="0"/>
    <x v="11"/>
    <s v="Bachelor"/>
    <n v="30"/>
    <n v="92875"/>
    <x v="6"/>
    <x v="1"/>
    <x v="29"/>
    <n v="3"/>
    <n v="20"/>
    <n v="43"/>
    <x v="1"/>
    <x v="1"/>
    <n v="5.9"/>
  </r>
  <r>
    <s v="E00941"/>
    <s v="FN942"/>
    <s v="LN942"/>
    <x v="0"/>
    <n v="53"/>
    <x v="0"/>
    <x v="2"/>
    <x v="4"/>
    <x v="0"/>
    <x v="0"/>
    <x v="507"/>
    <m/>
    <x v="0"/>
    <x v="49"/>
    <s v="Bachelor"/>
    <n v="5"/>
    <n v="85607"/>
    <x v="3"/>
    <x v="0"/>
    <x v="25"/>
    <n v="17"/>
    <n v="57"/>
    <n v="29"/>
    <x v="0"/>
    <x v="0"/>
    <n v="3"/>
  </r>
  <r>
    <s v="E00942"/>
    <s v="FN943"/>
    <s v="LN943"/>
    <x v="0"/>
    <n v="58"/>
    <x v="1"/>
    <x v="4"/>
    <x v="3"/>
    <x v="2"/>
    <x v="1"/>
    <x v="828"/>
    <s v="2025-01-20"/>
    <x v="1"/>
    <x v="31"/>
    <s v="Master"/>
    <n v="2"/>
    <n v="144636"/>
    <x v="0"/>
    <x v="11"/>
    <x v="9"/>
    <n v="20"/>
    <n v="29"/>
    <n v="68"/>
    <x v="0"/>
    <x v="2"/>
    <n v="8.4"/>
  </r>
  <r>
    <s v="E00943"/>
    <s v="FN944"/>
    <s v="LN944"/>
    <x v="0"/>
    <n v="31"/>
    <x v="2"/>
    <x v="3"/>
    <x v="2"/>
    <x v="1"/>
    <x v="0"/>
    <x v="829"/>
    <m/>
    <x v="0"/>
    <x v="44"/>
    <s v="Master"/>
    <n v="33"/>
    <n v="155014"/>
    <x v="4"/>
    <x v="4"/>
    <x v="4"/>
    <n v="13"/>
    <n v="9"/>
    <n v="7"/>
    <x v="0"/>
    <x v="1"/>
    <n v="1.7"/>
  </r>
  <r>
    <s v="E00944"/>
    <s v="FN945"/>
    <s v="LN945"/>
    <x v="1"/>
    <n v="27"/>
    <x v="5"/>
    <x v="2"/>
    <x v="4"/>
    <x v="2"/>
    <x v="1"/>
    <x v="830"/>
    <m/>
    <x v="0"/>
    <x v="56"/>
    <s v="MBA"/>
    <n v="20"/>
    <n v="154638"/>
    <x v="16"/>
    <x v="18"/>
    <x v="44"/>
    <n v="9"/>
    <n v="34"/>
    <n v="30"/>
    <x v="1"/>
    <x v="2"/>
    <n v="6.8"/>
  </r>
  <r>
    <s v="E00945"/>
    <s v="FN946"/>
    <s v="LN946"/>
    <x v="0"/>
    <n v="23"/>
    <x v="0"/>
    <x v="0"/>
    <x v="3"/>
    <x v="0"/>
    <x v="0"/>
    <x v="831"/>
    <m/>
    <x v="0"/>
    <x v="11"/>
    <s v="MBA"/>
    <n v="31"/>
    <n v="129886"/>
    <x v="14"/>
    <x v="21"/>
    <x v="36"/>
    <n v="4"/>
    <n v="12"/>
    <n v="77"/>
    <x v="0"/>
    <x v="2"/>
    <n v="9.6"/>
  </r>
  <r>
    <s v="E00946"/>
    <s v="FN947"/>
    <s v="LN947"/>
    <x v="0"/>
    <n v="56"/>
    <x v="3"/>
    <x v="2"/>
    <x v="3"/>
    <x v="0"/>
    <x v="1"/>
    <x v="832"/>
    <m/>
    <x v="0"/>
    <x v="21"/>
    <s v="Master"/>
    <n v="24"/>
    <n v="114698"/>
    <x v="19"/>
    <x v="8"/>
    <x v="29"/>
    <n v="15"/>
    <n v="19"/>
    <n v="80"/>
    <x v="0"/>
    <x v="2"/>
    <n v="10.3"/>
  </r>
  <r>
    <s v="E00947"/>
    <s v="FN948"/>
    <s v="LN948"/>
    <x v="1"/>
    <n v="56"/>
    <x v="3"/>
    <x v="10"/>
    <x v="4"/>
    <x v="2"/>
    <x v="0"/>
    <x v="833"/>
    <m/>
    <x v="0"/>
    <x v="29"/>
    <s v="MBA"/>
    <n v="29"/>
    <n v="169542"/>
    <x v="1"/>
    <x v="10"/>
    <x v="17"/>
    <n v="17"/>
    <n v="26"/>
    <n v="22"/>
    <x v="0"/>
    <x v="0"/>
    <n v="0.3"/>
  </r>
  <r>
    <s v="E00948"/>
    <s v="FN949"/>
    <s v="LN949"/>
    <x v="1"/>
    <n v="31"/>
    <x v="1"/>
    <x v="4"/>
    <x v="1"/>
    <x v="0"/>
    <x v="1"/>
    <x v="452"/>
    <m/>
    <x v="0"/>
    <x v="61"/>
    <s v="MBA"/>
    <n v="34"/>
    <n v="171165"/>
    <x v="1"/>
    <x v="5"/>
    <x v="3"/>
    <n v="9"/>
    <n v="2"/>
    <n v="19"/>
    <x v="0"/>
    <x v="2"/>
    <n v="10.4"/>
  </r>
  <r>
    <s v="E00949"/>
    <s v="FN950"/>
    <s v="LN950"/>
    <x v="1"/>
    <n v="30"/>
    <x v="1"/>
    <x v="1"/>
    <x v="1"/>
    <x v="1"/>
    <x v="0"/>
    <x v="834"/>
    <s v="2022-01-02"/>
    <x v="1"/>
    <x v="36"/>
    <s v="Bachelor"/>
    <n v="33"/>
    <n v="94840"/>
    <x v="15"/>
    <x v="21"/>
    <x v="14"/>
    <n v="17"/>
    <n v="24"/>
    <n v="60"/>
    <x v="1"/>
    <x v="0"/>
    <n v="5.5"/>
  </r>
  <r>
    <s v="E00950"/>
    <s v="FN951"/>
    <s v="LN951"/>
    <x v="0"/>
    <n v="43"/>
    <x v="4"/>
    <x v="6"/>
    <x v="4"/>
    <x v="2"/>
    <x v="1"/>
    <x v="835"/>
    <m/>
    <x v="0"/>
    <x v="61"/>
    <s v="MBA"/>
    <n v="1"/>
    <n v="157484"/>
    <x v="6"/>
    <x v="12"/>
    <x v="44"/>
    <n v="10"/>
    <n v="8"/>
    <n v="32"/>
    <x v="1"/>
    <x v="0"/>
    <n v="10.5"/>
  </r>
  <r>
    <s v="E00951"/>
    <s v="FN952"/>
    <s v="LN952"/>
    <x v="0"/>
    <n v="32"/>
    <x v="1"/>
    <x v="4"/>
    <x v="3"/>
    <x v="0"/>
    <x v="0"/>
    <x v="836"/>
    <m/>
    <x v="0"/>
    <x v="25"/>
    <s v="Master"/>
    <n v="12"/>
    <n v="162036"/>
    <x v="3"/>
    <x v="15"/>
    <x v="45"/>
    <n v="13"/>
    <n v="45"/>
    <n v="70"/>
    <x v="0"/>
    <x v="0"/>
    <n v="1.6"/>
  </r>
  <r>
    <s v="E00952"/>
    <s v="FN953"/>
    <s v="LN953"/>
    <x v="0"/>
    <n v="23"/>
    <x v="0"/>
    <x v="0"/>
    <x v="3"/>
    <x v="0"/>
    <x v="0"/>
    <x v="837"/>
    <m/>
    <x v="0"/>
    <x v="66"/>
    <s v="Bachelor"/>
    <n v="23"/>
    <n v="110626"/>
    <x v="16"/>
    <x v="9"/>
    <x v="14"/>
    <n v="8"/>
    <n v="26"/>
    <n v="35"/>
    <x v="0"/>
    <x v="1"/>
    <n v="2.8"/>
  </r>
  <r>
    <s v="E00953"/>
    <s v="FN954"/>
    <s v="LN954"/>
    <x v="1"/>
    <n v="39"/>
    <x v="5"/>
    <x v="6"/>
    <x v="3"/>
    <x v="0"/>
    <x v="1"/>
    <x v="838"/>
    <m/>
    <x v="0"/>
    <x v="44"/>
    <s v="MBA"/>
    <n v="7"/>
    <n v="174302"/>
    <x v="8"/>
    <x v="9"/>
    <x v="0"/>
    <n v="19"/>
    <n v="60"/>
    <n v="74"/>
    <x v="0"/>
    <x v="0"/>
    <n v="2.1"/>
  </r>
  <r>
    <s v="E00954"/>
    <s v="FN955"/>
    <s v="LN955"/>
    <x v="1"/>
    <n v="52"/>
    <x v="3"/>
    <x v="10"/>
    <x v="0"/>
    <x v="1"/>
    <x v="0"/>
    <x v="839"/>
    <m/>
    <x v="0"/>
    <x v="13"/>
    <s v="Master"/>
    <n v="22"/>
    <n v="103007"/>
    <x v="6"/>
    <x v="19"/>
    <x v="21"/>
    <n v="15"/>
    <n v="5"/>
    <n v="46"/>
    <x v="1"/>
    <x v="0"/>
    <n v="3.8"/>
  </r>
  <r>
    <s v="E00955"/>
    <s v="FN956"/>
    <s v="LN956"/>
    <x v="0"/>
    <n v="39"/>
    <x v="5"/>
    <x v="6"/>
    <x v="3"/>
    <x v="0"/>
    <x v="0"/>
    <x v="840"/>
    <m/>
    <x v="0"/>
    <x v="53"/>
    <s v="Bachelor"/>
    <n v="25"/>
    <n v="74874"/>
    <x v="16"/>
    <x v="8"/>
    <x v="40"/>
    <n v="0"/>
    <n v="11"/>
    <n v="66"/>
    <x v="0"/>
    <x v="2"/>
    <n v="3"/>
  </r>
  <r>
    <s v="E00956"/>
    <s v="FN957"/>
    <s v="LN957"/>
    <x v="1"/>
    <n v="56"/>
    <x v="1"/>
    <x v="1"/>
    <x v="0"/>
    <x v="2"/>
    <x v="0"/>
    <x v="841"/>
    <m/>
    <x v="0"/>
    <x v="71"/>
    <s v="MBA"/>
    <n v="7"/>
    <n v="167381"/>
    <x v="0"/>
    <x v="0"/>
    <x v="33"/>
    <n v="14"/>
    <n v="11"/>
    <n v="45"/>
    <x v="0"/>
    <x v="0"/>
    <n v="7.9"/>
  </r>
  <r>
    <s v="E00957"/>
    <s v="FN958"/>
    <s v="LN958"/>
    <x v="1"/>
    <n v="55"/>
    <x v="0"/>
    <x v="2"/>
    <x v="1"/>
    <x v="2"/>
    <x v="0"/>
    <x v="842"/>
    <m/>
    <x v="0"/>
    <x v="16"/>
    <s v="Bachelor"/>
    <n v="30"/>
    <n v="144461"/>
    <x v="16"/>
    <x v="11"/>
    <x v="0"/>
    <n v="11"/>
    <n v="46"/>
    <n v="10"/>
    <x v="0"/>
    <x v="2"/>
    <n v="5.0999999999999996"/>
  </r>
  <r>
    <s v="E00958"/>
    <s v="FN959"/>
    <s v="LN959"/>
    <x v="1"/>
    <n v="47"/>
    <x v="2"/>
    <x v="5"/>
    <x v="4"/>
    <x v="0"/>
    <x v="0"/>
    <x v="843"/>
    <m/>
    <x v="0"/>
    <x v="2"/>
    <s v="Master"/>
    <n v="35"/>
    <n v="55771"/>
    <x v="12"/>
    <x v="13"/>
    <x v="27"/>
    <n v="13"/>
    <n v="15"/>
    <n v="77"/>
    <x v="1"/>
    <x v="0"/>
    <n v="6"/>
  </r>
  <r>
    <s v="E00959"/>
    <s v="FN960"/>
    <s v="LN960"/>
    <x v="1"/>
    <n v="58"/>
    <x v="5"/>
    <x v="8"/>
    <x v="0"/>
    <x v="1"/>
    <x v="0"/>
    <x v="844"/>
    <m/>
    <x v="0"/>
    <x v="74"/>
    <s v="Bachelor"/>
    <n v="19"/>
    <n v="61059"/>
    <x v="14"/>
    <x v="16"/>
    <x v="22"/>
    <n v="3"/>
    <n v="34"/>
    <n v="67"/>
    <x v="1"/>
    <x v="0"/>
    <n v="0.6"/>
  </r>
  <r>
    <s v="E00960"/>
    <s v="FN961"/>
    <s v="LN961"/>
    <x v="1"/>
    <n v="21"/>
    <x v="0"/>
    <x v="0"/>
    <x v="0"/>
    <x v="2"/>
    <x v="0"/>
    <x v="845"/>
    <m/>
    <x v="0"/>
    <x v="53"/>
    <s v="MBA"/>
    <n v="33"/>
    <n v="49163"/>
    <x v="17"/>
    <x v="11"/>
    <x v="21"/>
    <n v="7"/>
    <n v="60"/>
    <n v="5"/>
    <x v="0"/>
    <x v="0"/>
    <n v="0.4"/>
  </r>
  <r>
    <s v="E00961"/>
    <s v="FN962"/>
    <s v="LN962"/>
    <x v="0"/>
    <n v="55"/>
    <x v="5"/>
    <x v="8"/>
    <x v="2"/>
    <x v="1"/>
    <x v="1"/>
    <x v="846"/>
    <m/>
    <x v="0"/>
    <x v="47"/>
    <s v="Bachelor"/>
    <n v="19"/>
    <n v="119769"/>
    <x v="16"/>
    <x v="15"/>
    <x v="42"/>
    <n v="14"/>
    <n v="23"/>
    <n v="30"/>
    <x v="1"/>
    <x v="0"/>
    <n v="8.3000000000000007"/>
  </r>
  <r>
    <s v="E00962"/>
    <s v="FN963"/>
    <s v="LN963"/>
    <x v="1"/>
    <n v="44"/>
    <x v="1"/>
    <x v="4"/>
    <x v="4"/>
    <x v="2"/>
    <x v="0"/>
    <x v="847"/>
    <m/>
    <x v="0"/>
    <x v="78"/>
    <s v="MBA"/>
    <n v="35"/>
    <n v="41206"/>
    <x v="16"/>
    <x v="7"/>
    <x v="31"/>
    <n v="20"/>
    <n v="13"/>
    <n v="11"/>
    <x v="1"/>
    <x v="2"/>
    <n v="1.4"/>
  </r>
  <r>
    <s v="E00963"/>
    <s v="FN964"/>
    <s v="LN964"/>
    <x v="0"/>
    <n v="22"/>
    <x v="1"/>
    <x v="1"/>
    <x v="4"/>
    <x v="1"/>
    <x v="1"/>
    <x v="848"/>
    <m/>
    <x v="0"/>
    <x v="35"/>
    <s v="Bachelor"/>
    <n v="5"/>
    <n v="110298"/>
    <x v="14"/>
    <x v="12"/>
    <x v="37"/>
    <n v="2"/>
    <n v="13"/>
    <n v="17"/>
    <x v="1"/>
    <x v="2"/>
    <n v="7.1"/>
  </r>
  <r>
    <s v="E00964"/>
    <s v="FN965"/>
    <s v="LN965"/>
    <x v="0"/>
    <n v="42"/>
    <x v="0"/>
    <x v="2"/>
    <x v="3"/>
    <x v="2"/>
    <x v="1"/>
    <x v="849"/>
    <m/>
    <x v="0"/>
    <x v="16"/>
    <s v="Master"/>
    <n v="0"/>
    <n v="132884"/>
    <x v="7"/>
    <x v="13"/>
    <x v="47"/>
    <n v="2"/>
    <n v="19"/>
    <n v="39"/>
    <x v="1"/>
    <x v="2"/>
    <n v="2.5"/>
  </r>
  <r>
    <s v="E00965"/>
    <s v="FN966"/>
    <s v="LN966"/>
    <x v="0"/>
    <n v="57"/>
    <x v="1"/>
    <x v="4"/>
    <x v="1"/>
    <x v="2"/>
    <x v="0"/>
    <x v="850"/>
    <m/>
    <x v="0"/>
    <x v="25"/>
    <s v="MBA"/>
    <n v="4"/>
    <n v="53763"/>
    <x v="10"/>
    <x v="25"/>
    <x v="38"/>
    <n v="19"/>
    <n v="24"/>
    <n v="17"/>
    <x v="0"/>
    <x v="0"/>
    <n v="6.4"/>
  </r>
  <r>
    <s v="E00966"/>
    <s v="FN967"/>
    <s v="LN967"/>
    <x v="0"/>
    <n v="24"/>
    <x v="2"/>
    <x v="7"/>
    <x v="3"/>
    <x v="1"/>
    <x v="1"/>
    <x v="851"/>
    <m/>
    <x v="0"/>
    <x v="17"/>
    <s v="Master"/>
    <n v="4"/>
    <n v="174689"/>
    <x v="2"/>
    <x v="12"/>
    <x v="5"/>
    <n v="9"/>
    <n v="6"/>
    <n v="1"/>
    <x v="0"/>
    <x v="0"/>
    <n v="3.4"/>
  </r>
  <r>
    <s v="E00967"/>
    <s v="FN968"/>
    <s v="LN968"/>
    <x v="1"/>
    <n v="42"/>
    <x v="3"/>
    <x v="10"/>
    <x v="0"/>
    <x v="1"/>
    <x v="0"/>
    <x v="686"/>
    <m/>
    <x v="0"/>
    <x v="22"/>
    <s v="MBA"/>
    <n v="5"/>
    <n v="171919"/>
    <x v="16"/>
    <x v="5"/>
    <x v="10"/>
    <n v="2"/>
    <n v="40"/>
    <n v="45"/>
    <x v="1"/>
    <x v="0"/>
    <n v="4.2"/>
  </r>
  <r>
    <s v="E00968"/>
    <s v="FN969"/>
    <s v="LN969"/>
    <x v="0"/>
    <n v="35"/>
    <x v="1"/>
    <x v="4"/>
    <x v="1"/>
    <x v="0"/>
    <x v="0"/>
    <x v="153"/>
    <m/>
    <x v="0"/>
    <x v="3"/>
    <s v="Master"/>
    <n v="9"/>
    <n v="134971"/>
    <x v="0"/>
    <x v="12"/>
    <x v="12"/>
    <n v="6"/>
    <n v="46"/>
    <n v="4"/>
    <x v="0"/>
    <x v="2"/>
    <n v="2.5"/>
  </r>
  <r>
    <s v="E00969"/>
    <s v="FN970"/>
    <s v="LN970"/>
    <x v="1"/>
    <n v="21"/>
    <x v="3"/>
    <x v="10"/>
    <x v="4"/>
    <x v="1"/>
    <x v="0"/>
    <x v="528"/>
    <s v="2027-09-19"/>
    <x v="1"/>
    <x v="17"/>
    <s v="Bachelor"/>
    <n v="3"/>
    <n v="83476"/>
    <x v="15"/>
    <x v="2"/>
    <x v="11"/>
    <n v="6"/>
    <n v="51"/>
    <n v="51"/>
    <x v="1"/>
    <x v="0"/>
    <n v="5.3"/>
  </r>
  <r>
    <s v="E00970"/>
    <s v="FN971"/>
    <s v="LN971"/>
    <x v="1"/>
    <n v="60"/>
    <x v="1"/>
    <x v="1"/>
    <x v="0"/>
    <x v="0"/>
    <x v="1"/>
    <x v="852"/>
    <m/>
    <x v="0"/>
    <x v="15"/>
    <s v="MBA"/>
    <n v="19"/>
    <n v="172856"/>
    <x v="5"/>
    <x v="9"/>
    <x v="5"/>
    <n v="16"/>
    <n v="7"/>
    <n v="5"/>
    <x v="1"/>
    <x v="0"/>
    <n v="10"/>
  </r>
  <r>
    <s v="E00971"/>
    <s v="FN972"/>
    <s v="LN972"/>
    <x v="0"/>
    <n v="39"/>
    <x v="3"/>
    <x v="2"/>
    <x v="3"/>
    <x v="1"/>
    <x v="0"/>
    <x v="853"/>
    <m/>
    <x v="0"/>
    <x v="45"/>
    <s v="Master"/>
    <n v="29"/>
    <n v="81230"/>
    <x v="15"/>
    <x v="22"/>
    <x v="3"/>
    <n v="5"/>
    <n v="35"/>
    <n v="64"/>
    <x v="0"/>
    <x v="1"/>
    <n v="0.2"/>
  </r>
  <r>
    <s v="E00972"/>
    <s v="FN973"/>
    <s v="LN973"/>
    <x v="0"/>
    <n v="39"/>
    <x v="1"/>
    <x v="4"/>
    <x v="2"/>
    <x v="1"/>
    <x v="1"/>
    <x v="268"/>
    <m/>
    <x v="0"/>
    <x v="50"/>
    <s v="Bachelor"/>
    <n v="2"/>
    <n v="164820"/>
    <x v="10"/>
    <x v="4"/>
    <x v="43"/>
    <n v="15"/>
    <n v="4"/>
    <n v="32"/>
    <x v="0"/>
    <x v="0"/>
    <n v="2.8"/>
  </r>
  <r>
    <s v="E00973"/>
    <s v="FN974"/>
    <s v="LN974"/>
    <x v="0"/>
    <n v="39"/>
    <x v="2"/>
    <x v="5"/>
    <x v="3"/>
    <x v="1"/>
    <x v="0"/>
    <x v="728"/>
    <m/>
    <x v="0"/>
    <x v="60"/>
    <s v="Master"/>
    <n v="9"/>
    <n v="147621"/>
    <x v="16"/>
    <x v="20"/>
    <x v="40"/>
    <n v="9"/>
    <n v="60"/>
    <n v="80"/>
    <x v="1"/>
    <x v="1"/>
    <n v="2.2000000000000002"/>
  </r>
  <r>
    <s v="E00974"/>
    <s v="FN975"/>
    <s v="LN975"/>
    <x v="0"/>
    <n v="35"/>
    <x v="3"/>
    <x v="2"/>
    <x v="2"/>
    <x v="2"/>
    <x v="1"/>
    <x v="854"/>
    <s v="2031-11-07"/>
    <x v="1"/>
    <x v="3"/>
    <s v="MBA"/>
    <n v="13"/>
    <n v="62606"/>
    <x v="10"/>
    <x v="5"/>
    <x v="8"/>
    <n v="3"/>
    <n v="11"/>
    <n v="20"/>
    <x v="0"/>
    <x v="0"/>
    <n v="2.9"/>
  </r>
  <r>
    <s v="E00975"/>
    <s v="FN976"/>
    <s v="LN976"/>
    <x v="1"/>
    <n v="29"/>
    <x v="4"/>
    <x v="2"/>
    <x v="0"/>
    <x v="1"/>
    <x v="1"/>
    <x v="855"/>
    <m/>
    <x v="0"/>
    <x v="23"/>
    <s v="Master"/>
    <n v="10"/>
    <n v="80959"/>
    <x v="20"/>
    <x v="1"/>
    <x v="6"/>
    <n v="3"/>
    <n v="40"/>
    <n v="12"/>
    <x v="0"/>
    <x v="0"/>
    <n v="5.2"/>
  </r>
  <r>
    <s v="E00976"/>
    <s v="FN977"/>
    <s v="LN977"/>
    <x v="1"/>
    <n v="57"/>
    <x v="5"/>
    <x v="6"/>
    <x v="1"/>
    <x v="0"/>
    <x v="0"/>
    <x v="856"/>
    <m/>
    <x v="0"/>
    <x v="41"/>
    <s v="Bachelor"/>
    <n v="12"/>
    <n v="120091"/>
    <x v="8"/>
    <x v="6"/>
    <x v="17"/>
    <n v="2"/>
    <n v="15"/>
    <n v="5"/>
    <x v="0"/>
    <x v="2"/>
    <n v="7.7"/>
  </r>
  <r>
    <s v="E00977"/>
    <s v="FN978"/>
    <s v="LN978"/>
    <x v="0"/>
    <n v="59"/>
    <x v="0"/>
    <x v="2"/>
    <x v="1"/>
    <x v="1"/>
    <x v="1"/>
    <x v="857"/>
    <m/>
    <x v="0"/>
    <x v="79"/>
    <s v="Bachelor"/>
    <n v="34"/>
    <n v="168742"/>
    <x v="7"/>
    <x v="25"/>
    <x v="18"/>
    <n v="3"/>
    <n v="8"/>
    <n v="68"/>
    <x v="0"/>
    <x v="0"/>
    <n v="9.1999999999999993"/>
  </r>
  <r>
    <s v="E00978"/>
    <s v="FN979"/>
    <s v="LN979"/>
    <x v="1"/>
    <n v="36"/>
    <x v="2"/>
    <x v="3"/>
    <x v="0"/>
    <x v="0"/>
    <x v="0"/>
    <x v="858"/>
    <m/>
    <x v="0"/>
    <x v="12"/>
    <s v="Master"/>
    <n v="18"/>
    <n v="99663"/>
    <x v="4"/>
    <x v="6"/>
    <x v="5"/>
    <n v="10"/>
    <n v="29"/>
    <n v="23"/>
    <x v="1"/>
    <x v="0"/>
    <n v="8.8000000000000007"/>
  </r>
  <r>
    <s v="E00979"/>
    <s v="FN980"/>
    <s v="LN980"/>
    <x v="1"/>
    <n v="45"/>
    <x v="1"/>
    <x v="4"/>
    <x v="2"/>
    <x v="2"/>
    <x v="1"/>
    <x v="859"/>
    <m/>
    <x v="0"/>
    <x v="20"/>
    <s v="Master"/>
    <n v="22"/>
    <n v="81000"/>
    <x v="15"/>
    <x v="22"/>
    <x v="34"/>
    <n v="4"/>
    <n v="18"/>
    <n v="38"/>
    <x v="1"/>
    <x v="2"/>
    <n v="10.4"/>
  </r>
  <r>
    <s v="E00980"/>
    <s v="FN981"/>
    <s v="LN981"/>
    <x v="1"/>
    <n v="31"/>
    <x v="0"/>
    <x v="0"/>
    <x v="0"/>
    <x v="0"/>
    <x v="0"/>
    <x v="190"/>
    <m/>
    <x v="0"/>
    <x v="8"/>
    <s v="MBA"/>
    <n v="1"/>
    <n v="173625"/>
    <x v="16"/>
    <x v="22"/>
    <x v="1"/>
    <n v="7"/>
    <n v="48"/>
    <n v="51"/>
    <x v="1"/>
    <x v="0"/>
    <n v="8.3000000000000007"/>
  </r>
  <r>
    <s v="E00981"/>
    <s v="FN982"/>
    <s v="LN982"/>
    <x v="1"/>
    <n v="34"/>
    <x v="3"/>
    <x v="10"/>
    <x v="1"/>
    <x v="0"/>
    <x v="0"/>
    <x v="860"/>
    <m/>
    <x v="0"/>
    <x v="9"/>
    <s v="Bachelor"/>
    <n v="15"/>
    <n v="168269"/>
    <x v="10"/>
    <x v="24"/>
    <x v="39"/>
    <n v="3"/>
    <n v="3"/>
    <n v="38"/>
    <x v="0"/>
    <x v="0"/>
    <n v="9.3000000000000007"/>
  </r>
  <r>
    <s v="E00982"/>
    <s v="FN983"/>
    <s v="LN983"/>
    <x v="0"/>
    <n v="43"/>
    <x v="2"/>
    <x v="5"/>
    <x v="4"/>
    <x v="1"/>
    <x v="1"/>
    <x v="861"/>
    <m/>
    <x v="0"/>
    <x v="46"/>
    <s v="Master"/>
    <n v="35"/>
    <n v="125759"/>
    <x v="8"/>
    <x v="12"/>
    <x v="1"/>
    <n v="13"/>
    <n v="32"/>
    <n v="31"/>
    <x v="1"/>
    <x v="0"/>
    <n v="4"/>
  </r>
  <r>
    <s v="E00983"/>
    <s v="FN984"/>
    <s v="LN984"/>
    <x v="0"/>
    <n v="54"/>
    <x v="3"/>
    <x v="2"/>
    <x v="0"/>
    <x v="1"/>
    <x v="1"/>
    <x v="862"/>
    <m/>
    <x v="0"/>
    <x v="4"/>
    <s v="Bachelor"/>
    <n v="30"/>
    <n v="42826"/>
    <x v="19"/>
    <x v="14"/>
    <x v="22"/>
    <n v="14"/>
    <n v="11"/>
    <n v="19"/>
    <x v="1"/>
    <x v="2"/>
    <n v="5.3"/>
  </r>
  <r>
    <s v="E00984"/>
    <s v="FN985"/>
    <s v="LN985"/>
    <x v="1"/>
    <n v="38"/>
    <x v="0"/>
    <x v="0"/>
    <x v="2"/>
    <x v="0"/>
    <x v="0"/>
    <x v="542"/>
    <m/>
    <x v="0"/>
    <x v="12"/>
    <s v="Bachelor"/>
    <n v="25"/>
    <n v="159921"/>
    <x v="6"/>
    <x v="4"/>
    <x v="34"/>
    <n v="12"/>
    <n v="2"/>
    <n v="36"/>
    <x v="1"/>
    <x v="0"/>
    <n v="8.3000000000000007"/>
  </r>
  <r>
    <s v="E00985"/>
    <s v="FN986"/>
    <s v="LN986"/>
    <x v="1"/>
    <n v="23"/>
    <x v="5"/>
    <x v="6"/>
    <x v="3"/>
    <x v="0"/>
    <x v="0"/>
    <x v="863"/>
    <m/>
    <x v="0"/>
    <x v="45"/>
    <s v="Master"/>
    <n v="0"/>
    <n v="105130"/>
    <x v="6"/>
    <x v="20"/>
    <x v="42"/>
    <n v="7"/>
    <n v="44"/>
    <n v="34"/>
    <x v="0"/>
    <x v="2"/>
    <n v="5"/>
  </r>
  <r>
    <s v="E00986"/>
    <s v="FN987"/>
    <s v="LN987"/>
    <x v="0"/>
    <n v="32"/>
    <x v="0"/>
    <x v="0"/>
    <x v="2"/>
    <x v="2"/>
    <x v="1"/>
    <x v="864"/>
    <m/>
    <x v="0"/>
    <x v="61"/>
    <s v="Bachelor"/>
    <n v="14"/>
    <n v="144281"/>
    <x v="19"/>
    <x v="25"/>
    <x v="30"/>
    <n v="1"/>
    <n v="39"/>
    <n v="61"/>
    <x v="1"/>
    <x v="2"/>
    <n v="1.2"/>
  </r>
  <r>
    <s v="E00987"/>
    <s v="FN988"/>
    <s v="LN988"/>
    <x v="1"/>
    <n v="32"/>
    <x v="3"/>
    <x v="10"/>
    <x v="4"/>
    <x v="2"/>
    <x v="0"/>
    <x v="569"/>
    <m/>
    <x v="0"/>
    <x v="7"/>
    <s v="Bachelor"/>
    <n v="19"/>
    <n v="57511"/>
    <x v="12"/>
    <x v="7"/>
    <x v="20"/>
    <n v="1"/>
    <n v="27"/>
    <n v="39"/>
    <x v="0"/>
    <x v="2"/>
    <n v="9.5"/>
  </r>
  <r>
    <s v="E00988"/>
    <s v="FN989"/>
    <s v="LN989"/>
    <x v="0"/>
    <n v="29"/>
    <x v="1"/>
    <x v="1"/>
    <x v="1"/>
    <x v="2"/>
    <x v="1"/>
    <x v="217"/>
    <m/>
    <x v="0"/>
    <x v="25"/>
    <s v="MBA"/>
    <n v="1"/>
    <n v="74548"/>
    <x v="18"/>
    <x v="23"/>
    <x v="50"/>
    <n v="18"/>
    <n v="21"/>
    <n v="57"/>
    <x v="0"/>
    <x v="0"/>
    <n v="3.1"/>
  </r>
  <r>
    <s v="E00989"/>
    <s v="FN990"/>
    <s v="LN990"/>
    <x v="1"/>
    <n v="55"/>
    <x v="3"/>
    <x v="2"/>
    <x v="1"/>
    <x v="2"/>
    <x v="1"/>
    <x v="865"/>
    <m/>
    <x v="0"/>
    <x v="54"/>
    <s v="Master"/>
    <n v="35"/>
    <n v="148118"/>
    <x v="8"/>
    <x v="13"/>
    <x v="7"/>
    <n v="0"/>
    <n v="46"/>
    <n v="58"/>
    <x v="0"/>
    <x v="1"/>
    <n v="4.9000000000000004"/>
  </r>
  <r>
    <s v="E00990"/>
    <s v="FN991"/>
    <s v="LN991"/>
    <x v="0"/>
    <n v="54"/>
    <x v="3"/>
    <x v="2"/>
    <x v="2"/>
    <x v="1"/>
    <x v="0"/>
    <x v="866"/>
    <m/>
    <x v="0"/>
    <x v="28"/>
    <s v="Bachelor"/>
    <n v="34"/>
    <n v="100010"/>
    <x v="17"/>
    <x v="19"/>
    <x v="18"/>
    <n v="6"/>
    <n v="37"/>
    <n v="53"/>
    <x v="0"/>
    <x v="1"/>
    <n v="9"/>
  </r>
  <r>
    <s v="E00991"/>
    <s v="FN992"/>
    <s v="LN992"/>
    <x v="0"/>
    <n v="36"/>
    <x v="2"/>
    <x v="5"/>
    <x v="3"/>
    <x v="1"/>
    <x v="0"/>
    <x v="867"/>
    <s v="2025-03-10"/>
    <x v="1"/>
    <x v="16"/>
    <s v="Master"/>
    <n v="30"/>
    <n v="52244"/>
    <x v="7"/>
    <x v="15"/>
    <x v="25"/>
    <n v="4"/>
    <n v="58"/>
    <n v="40"/>
    <x v="0"/>
    <x v="0"/>
    <n v="9.3000000000000007"/>
  </r>
  <r>
    <s v="E00992"/>
    <s v="FN993"/>
    <s v="LN993"/>
    <x v="0"/>
    <n v="57"/>
    <x v="5"/>
    <x v="6"/>
    <x v="2"/>
    <x v="0"/>
    <x v="1"/>
    <x v="868"/>
    <m/>
    <x v="0"/>
    <x v="21"/>
    <s v="Bachelor"/>
    <n v="14"/>
    <n v="111712"/>
    <x v="19"/>
    <x v="20"/>
    <x v="19"/>
    <n v="5"/>
    <n v="51"/>
    <n v="42"/>
    <x v="0"/>
    <x v="2"/>
    <n v="2.1"/>
  </r>
  <r>
    <s v="E00993"/>
    <s v="FN994"/>
    <s v="LN994"/>
    <x v="1"/>
    <n v="35"/>
    <x v="2"/>
    <x v="3"/>
    <x v="3"/>
    <x v="1"/>
    <x v="1"/>
    <x v="869"/>
    <m/>
    <x v="0"/>
    <x v="49"/>
    <s v="Bachelor"/>
    <n v="10"/>
    <n v="118874"/>
    <x v="16"/>
    <x v="16"/>
    <x v="46"/>
    <n v="17"/>
    <n v="2"/>
    <n v="71"/>
    <x v="0"/>
    <x v="0"/>
    <n v="5.4"/>
  </r>
  <r>
    <s v="E00994"/>
    <s v="FN995"/>
    <s v="LN995"/>
    <x v="0"/>
    <n v="51"/>
    <x v="5"/>
    <x v="8"/>
    <x v="3"/>
    <x v="0"/>
    <x v="0"/>
    <x v="870"/>
    <m/>
    <x v="0"/>
    <x v="22"/>
    <s v="Master"/>
    <n v="11"/>
    <n v="150755"/>
    <x v="13"/>
    <x v="4"/>
    <x v="49"/>
    <n v="16"/>
    <n v="34"/>
    <n v="77"/>
    <x v="1"/>
    <x v="1"/>
    <n v="10.1"/>
  </r>
  <r>
    <s v="E00995"/>
    <s v="FN996"/>
    <s v="LN996"/>
    <x v="0"/>
    <n v="41"/>
    <x v="1"/>
    <x v="4"/>
    <x v="4"/>
    <x v="1"/>
    <x v="0"/>
    <x v="871"/>
    <m/>
    <x v="0"/>
    <x v="28"/>
    <s v="MBA"/>
    <n v="27"/>
    <n v="92911"/>
    <x v="18"/>
    <x v="7"/>
    <x v="12"/>
    <n v="16"/>
    <n v="3"/>
    <n v="30"/>
    <x v="1"/>
    <x v="2"/>
    <n v="6.2"/>
  </r>
  <r>
    <s v="E00996"/>
    <s v="FN997"/>
    <s v="LN997"/>
    <x v="1"/>
    <n v="48"/>
    <x v="1"/>
    <x v="4"/>
    <x v="4"/>
    <x v="2"/>
    <x v="1"/>
    <x v="872"/>
    <m/>
    <x v="0"/>
    <x v="14"/>
    <s v="Bachelor"/>
    <n v="16"/>
    <n v="167966"/>
    <x v="13"/>
    <x v="7"/>
    <x v="5"/>
    <n v="0"/>
    <n v="10"/>
    <n v="25"/>
    <x v="1"/>
    <x v="2"/>
    <n v="8.6999999999999993"/>
  </r>
  <r>
    <s v="E00997"/>
    <s v="FN998"/>
    <s v="LN998"/>
    <x v="0"/>
    <n v="23"/>
    <x v="3"/>
    <x v="2"/>
    <x v="4"/>
    <x v="2"/>
    <x v="1"/>
    <x v="873"/>
    <m/>
    <x v="0"/>
    <x v="73"/>
    <s v="MBA"/>
    <n v="29"/>
    <n v="53809"/>
    <x v="0"/>
    <x v="12"/>
    <x v="36"/>
    <n v="16"/>
    <n v="21"/>
    <n v="19"/>
    <x v="1"/>
    <x v="0"/>
    <n v="7.6"/>
  </r>
  <r>
    <s v="E00998"/>
    <s v="FN999"/>
    <s v="LN999"/>
    <x v="0"/>
    <n v="36"/>
    <x v="1"/>
    <x v="4"/>
    <x v="0"/>
    <x v="2"/>
    <x v="0"/>
    <x v="238"/>
    <s v="2022-11-25"/>
    <x v="1"/>
    <x v="48"/>
    <s v="Master"/>
    <n v="18"/>
    <n v="144558"/>
    <x v="14"/>
    <x v="12"/>
    <x v="19"/>
    <n v="6"/>
    <n v="26"/>
    <n v="33"/>
    <x v="0"/>
    <x v="0"/>
    <n v="5.8"/>
  </r>
  <r>
    <s v="E00999"/>
    <s v="FN1000"/>
    <s v="LN1000"/>
    <x v="1"/>
    <n v="34"/>
    <x v="1"/>
    <x v="1"/>
    <x v="1"/>
    <x v="0"/>
    <x v="1"/>
    <x v="874"/>
    <m/>
    <x v="0"/>
    <x v="25"/>
    <s v="MBA"/>
    <n v="17"/>
    <n v="88364"/>
    <x v="7"/>
    <x v="22"/>
    <x v="38"/>
    <n v="18"/>
    <n v="0"/>
    <n v="42"/>
    <x v="1"/>
    <x v="2"/>
    <n v="2.1"/>
  </r>
  <r>
    <s v="E01000"/>
    <s v="FN1001"/>
    <s v="LN1001"/>
    <x v="0"/>
    <n v="27"/>
    <x v="2"/>
    <x v="3"/>
    <x v="3"/>
    <x v="1"/>
    <x v="1"/>
    <x v="875"/>
    <m/>
    <x v="0"/>
    <x v="23"/>
    <s v="Bachelor"/>
    <n v="12"/>
    <n v="102102"/>
    <x v="14"/>
    <x v="4"/>
    <x v="17"/>
    <n v="7"/>
    <n v="14"/>
    <n v="15"/>
    <x v="0"/>
    <x v="0"/>
    <n v="4.90000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0EC192-32BD-4CDE-845D-BED3FE538DA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7:F18" firstHeaderRow="1" firstDataRow="1" firstDataCol="0"/>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002">
        <item x="167"/>
        <item x="528"/>
        <item x="354"/>
        <item x="513"/>
        <item x="36"/>
        <item x="895"/>
        <item x="683"/>
        <item x="173"/>
        <item x="553"/>
        <item x="476"/>
        <item x="303"/>
        <item x="491"/>
        <item x="83"/>
        <item x="961"/>
        <item x="770"/>
        <item x="896"/>
        <item x="381"/>
        <item x="729"/>
        <item x="418"/>
        <item x="506"/>
        <item x="901"/>
        <item x="374"/>
        <item x="141"/>
        <item x="31"/>
        <item x="982"/>
        <item x="147"/>
        <item x="800"/>
        <item x="325"/>
        <item x="365"/>
        <item x="249"/>
        <item x="338"/>
        <item x="421"/>
        <item x="402"/>
        <item x="914"/>
        <item x="94"/>
        <item x="842"/>
        <item x="389"/>
        <item x="447"/>
        <item x="676"/>
        <item x="66"/>
        <item x="273"/>
        <item x="674"/>
        <item x="390"/>
        <item x="231"/>
        <item x="424"/>
        <item x="129"/>
        <item x="648"/>
        <item x="709"/>
        <item x="428"/>
        <item x="449"/>
        <item x="860"/>
        <item x="350"/>
        <item x="849"/>
        <item x="113"/>
        <item x="33"/>
        <item x="673"/>
        <item x="413"/>
        <item x="863"/>
        <item x="900"/>
        <item x="761"/>
        <item x="780"/>
        <item x="747"/>
        <item x="289"/>
        <item x="906"/>
        <item x="61"/>
        <item x="466"/>
        <item x="72"/>
        <item x="317"/>
        <item x="959"/>
        <item x="347"/>
        <item x="879"/>
        <item x="642"/>
        <item x="935"/>
        <item x="612"/>
        <item x="13"/>
        <item x="252"/>
        <item x="700"/>
        <item x="903"/>
        <item x="587"/>
        <item x="154"/>
        <item x="164"/>
        <item x="817"/>
        <item x="316"/>
        <item x="754"/>
        <item x="315"/>
        <item x="177"/>
        <item x="591"/>
        <item x="686"/>
        <item x="812"/>
        <item x="723"/>
        <item x="600"/>
        <item x="990"/>
        <item x="778"/>
        <item x="797"/>
        <item x="681"/>
        <item x="774"/>
        <item x="795"/>
        <item x="203"/>
        <item x="964"/>
        <item x="996"/>
        <item x="515"/>
        <item x="302"/>
        <item x="11"/>
        <item x="291"/>
        <item x="230"/>
        <item x="802"/>
        <item x="830"/>
        <item x="451"/>
        <item x="530"/>
        <item x="387"/>
        <item x="52"/>
        <item x="430"/>
        <item x="159"/>
        <item x="461"/>
        <item x="517"/>
        <item x="121"/>
        <item x="656"/>
        <item x="957"/>
        <item x="604"/>
        <item x="375"/>
        <item x="497"/>
        <item x="339"/>
        <item x="294"/>
        <item x="535"/>
        <item x="69"/>
        <item x="637"/>
        <item x="529"/>
        <item x="438"/>
        <item x="227"/>
        <item x="57"/>
        <item x="986"/>
        <item x="76"/>
        <item x="554"/>
        <item x="454"/>
        <item x="680"/>
        <item x="813"/>
        <item x="197"/>
        <item x="210"/>
        <item x="37"/>
        <item x="534"/>
        <item x="567"/>
        <item x="752"/>
        <item x="183"/>
        <item x="270"/>
        <item x="724"/>
        <item x="264"/>
        <item x="206"/>
        <item x="509"/>
        <item x="875"/>
        <item x="202"/>
        <item x="764"/>
        <item x="958"/>
        <item x="668"/>
        <item x="720"/>
        <item x="634"/>
        <item x="871"/>
        <item x="24"/>
        <item x="569"/>
        <item x="388"/>
        <item x="244"/>
        <item x="775"/>
        <item x="669"/>
        <item x="789"/>
        <item x="199"/>
        <item x="235"/>
        <item x="973"/>
        <item x="755"/>
        <item x="785"/>
        <item x="182"/>
        <item x="2"/>
        <item x="796"/>
        <item x="355"/>
        <item x="117"/>
        <item x="824"/>
        <item x="649"/>
        <item x="749"/>
        <item x="933"/>
        <item x="444"/>
        <item x="793"/>
        <item x="332"/>
        <item x="557"/>
        <item x="736"/>
        <item x="360"/>
        <item x="807"/>
        <item x="187"/>
        <item x="467"/>
        <item x="297"/>
        <item x="92"/>
        <item x="525"/>
        <item x="209"/>
        <item x="726"/>
        <item x="814"/>
        <item x="307"/>
        <item x="412"/>
        <item x="239"/>
        <item x="127"/>
        <item x="727"/>
        <item x="544"/>
        <item x="224"/>
        <item x="640"/>
        <item x="502"/>
        <item x="123"/>
        <item x="679"/>
        <item x="522"/>
        <item x="539"/>
        <item x="419"/>
        <item x="105"/>
        <item x="221"/>
        <item x="361"/>
        <item x="417"/>
        <item x="667"/>
        <item x="142"/>
        <item x="53"/>
        <item x="885"/>
        <item x="845"/>
        <item x="864"/>
        <item x="893"/>
        <item x="616"/>
        <item x="383"/>
        <item x="731"/>
        <item x="174"/>
        <item x="285"/>
        <item x="613"/>
        <item x="588"/>
        <item x="536"/>
        <item x="620"/>
        <item x="1"/>
        <item x="160"/>
        <item x="23"/>
        <item x="406"/>
        <item x="574"/>
        <item x="931"/>
        <item x="399"/>
        <item x="245"/>
        <item x="359"/>
        <item x="128"/>
        <item x="735"/>
        <item x="482"/>
        <item x="161"/>
        <item x="382"/>
        <item x="823"/>
        <item x="504"/>
        <item x="435"/>
        <item x="293"/>
        <item x="56"/>
        <item x="95"/>
        <item x="259"/>
        <item x="822"/>
        <item x="216"/>
        <item x="757"/>
        <item x="987"/>
        <item x="862"/>
        <item x="116"/>
        <item x="954"/>
        <item x="712"/>
        <item x="356"/>
        <item x="191"/>
        <item x="111"/>
        <item x="836"/>
        <item x="26"/>
        <item x="251"/>
        <item x="850"/>
        <item x="601"/>
        <item x="919"/>
        <item x="772"/>
        <item x="899"/>
        <item x="334"/>
        <item x="672"/>
        <item x="711"/>
        <item x="715"/>
        <item x="185"/>
        <item x="282"/>
        <item x="219"/>
        <item x="261"/>
        <item x="803"/>
        <item x="847"/>
        <item x="543"/>
        <item x="699"/>
        <item x="934"/>
        <item x="258"/>
        <item x="348"/>
        <item x="10"/>
        <item x="540"/>
        <item x="898"/>
        <item x="657"/>
        <item x="827"/>
        <item x="573"/>
        <item x="228"/>
        <item x="3"/>
        <item x="283"/>
        <item x="155"/>
        <item x="974"/>
        <item x="9"/>
        <item x="978"/>
        <item x="133"/>
        <item x="970"/>
        <item x="179"/>
        <item x="788"/>
        <item x="271"/>
        <item x="741"/>
        <item x="891"/>
        <item x="745"/>
        <item x="172"/>
        <item x="566"/>
        <item x="401"/>
        <item x="865"/>
        <item x="488"/>
        <item x="394"/>
        <item x="460"/>
        <item x="687"/>
        <item x="936"/>
        <item x="968"/>
        <item x="492"/>
        <item x="784"/>
        <item x="551"/>
        <item x="531"/>
        <item x="336"/>
        <item x="869"/>
        <item x="753"/>
        <item x="457"/>
        <item x="744"/>
        <item x="222"/>
        <item x="851"/>
        <item x="790"/>
        <item x="268"/>
        <item x="408"/>
        <item x="940"/>
        <item x="145"/>
        <item x="786"/>
        <item x="135"/>
        <item x="608"/>
        <item x="833"/>
        <item x="204"/>
        <item x="624"/>
        <item x="503"/>
        <item x="306"/>
        <item x="581"/>
        <item x="615"/>
        <item x="341"/>
        <item x="437"/>
        <item x="441"/>
        <item x="748"/>
        <item x="695"/>
        <item x="60"/>
        <item x="18"/>
        <item x="998"/>
        <item x="38"/>
        <item x="924"/>
        <item x="414"/>
        <item x="710"/>
        <item x="265"/>
        <item x="102"/>
        <item x="912"/>
        <item x="42"/>
        <item x="254"/>
        <item x="589"/>
        <item x="894"/>
        <item x="910"/>
        <item x="278"/>
        <item x="825"/>
        <item x="682"/>
        <item x="706"/>
        <item x="650"/>
        <item x="490"/>
        <item x="151"/>
        <item x="526"/>
        <item x="229"/>
        <item x="225"/>
        <item x="422"/>
        <item x="362"/>
        <item x="480"/>
        <item x="247"/>
        <item x="520"/>
        <item x="902"/>
        <item x="511"/>
        <item x="859"/>
        <item x="514"/>
        <item x="489"/>
        <item x="939"/>
        <item x="994"/>
        <item x="143"/>
        <item x="537"/>
        <item x="475"/>
        <item x="411"/>
        <item x="609"/>
        <item x="186"/>
        <item x="570"/>
        <item x="234"/>
        <item x="472"/>
        <item x="635"/>
        <item x="816"/>
        <item x="318"/>
        <item x="948"/>
        <item x="873"/>
        <item x="8"/>
        <item x="47"/>
        <item x="243"/>
        <item x="498"/>
        <item x="468"/>
        <item x="98"/>
        <item x="269"/>
        <item x="533"/>
        <item x="12"/>
        <item x="584"/>
        <item x="405"/>
        <item x="349"/>
        <item x="765"/>
        <item x="892"/>
        <item x="884"/>
        <item x="456"/>
        <item x="263"/>
        <item x="826"/>
        <item x="799"/>
        <item x="705"/>
        <item x="617"/>
        <item x="853"/>
        <item x="883"/>
        <item x="305"/>
        <item x="43"/>
        <item x="471"/>
        <item x="779"/>
        <item x="977"/>
        <item x="333"/>
        <item x="201"/>
        <item x="304"/>
        <item x="989"/>
        <item x="716"/>
        <item x="156"/>
        <item x="295"/>
        <item x="662"/>
        <item x="464"/>
        <item x="691"/>
        <item x="831"/>
        <item x="20"/>
        <item x="63"/>
        <item x="443"/>
        <item x="403"/>
        <item x="781"/>
        <item x="391"/>
        <item x="870"/>
        <item x="217"/>
        <item x="410"/>
        <item x="144"/>
        <item x="999"/>
        <item x="832"/>
        <item x="434"/>
        <item x="607"/>
        <item x="876"/>
        <item x="71"/>
        <item x="322"/>
        <item x="953"/>
        <item x="284"/>
        <item x="312"/>
        <item x="521"/>
        <item x="855"/>
        <item x="740"/>
        <item x="666"/>
        <item x="888"/>
        <item x="937"/>
        <item x="500"/>
        <item x="840"/>
        <item x="118"/>
        <item x="564"/>
        <item x="329"/>
        <item x="777"/>
        <item x="576"/>
        <item x="760"/>
        <item x="984"/>
        <item x="392"/>
        <item x="473"/>
        <item x="342"/>
        <item x="665"/>
        <item x="516"/>
        <item x="48"/>
        <item x="541"/>
        <item x="344"/>
        <item x="632"/>
        <item x="575"/>
        <item x="404"/>
        <item x="352"/>
        <item x="463"/>
        <item x="274"/>
        <item x="808"/>
        <item x="577"/>
        <item x="171"/>
        <item x="921"/>
        <item x="14"/>
        <item x="694"/>
        <item x="255"/>
        <item x="730"/>
        <item x="801"/>
        <item x="908"/>
        <item x="246"/>
        <item x="385"/>
        <item x="73"/>
        <item x="368"/>
        <item x="837"/>
        <item x="962"/>
        <item x="594"/>
        <item x="951"/>
        <item x="84"/>
        <item x="846"/>
        <item x="194"/>
        <item x="163"/>
        <item x="442"/>
        <item x="58"/>
        <item x="579"/>
        <item x="17"/>
        <item x="21"/>
        <item x="991"/>
        <item x="272"/>
        <item x="453"/>
        <item x="782"/>
        <item x="22"/>
        <item x="647"/>
        <item x="309"/>
        <item x="241"/>
        <item x="32"/>
        <item x="858"/>
        <item x="275"/>
        <item x="874"/>
        <item x="279"/>
        <item x="45"/>
        <item x="195"/>
        <item x="904"/>
        <item x="945"/>
        <item x="811"/>
        <item x="820"/>
        <item x="618"/>
        <item x="861"/>
        <item x="856"/>
        <item x="170"/>
        <item x="343"/>
        <item x="70"/>
        <item x="493"/>
        <item x="794"/>
        <item x="678"/>
        <item x="922"/>
        <item x="54"/>
        <item x="176"/>
        <item x="562"/>
        <item x="593"/>
        <item x="256"/>
        <item x="547"/>
        <item x="487"/>
        <item x="324"/>
        <item x="301"/>
        <item x="426"/>
        <item x="619"/>
        <item x="308"/>
        <item x="776"/>
        <item x="658"/>
        <item x="839"/>
        <item x="299"/>
        <item x="436"/>
        <item x="192"/>
        <item x="101"/>
        <item x="0"/>
        <item x="992"/>
        <item x="928"/>
        <item x="337"/>
        <item x="450"/>
        <item x="518"/>
        <item x="319"/>
        <item x="458"/>
        <item x="432"/>
        <item x="960"/>
        <item x="276"/>
        <item x="39"/>
        <item x="975"/>
        <item x="369"/>
        <item x="602"/>
        <item x="713"/>
        <item x="478"/>
        <item x="213"/>
        <item x="400"/>
        <item x="327"/>
        <item x="138"/>
        <item x="378"/>
        <item x="905"/>
        <item x="240"/>
        <item x="212"/>
        <item x="758"/>
        <item x="671"/>
        <item x="49"/>
        <item x="592"/>
        <item x="610"/>
        <item x="546"/>
        <item x="420"/>
        <item x="298"/>
        <item x="675"/>
        <item x="242"/>
        <item x="834"/>
        <item x="868"/>
        <item x="140"/>
        <item x="821"/>
        <item x="207"/>
        <item x="756"/>
        <item x="188"/>
        <item x="655"/>
        <item x="560"/>
        <item x="767"/>
        <item x="96"/>
        <item x="200"/>
        <item x="981"/>
        <item x="89"/>
        <item x="542"/>
        <item x="595"/>
        <item x="78"/>
        <item x="909"/>
        <item x="287"/>
        <item x="46"/>
        <item x="773"/>
        <item x="561"/>
        <item x="645"/>
        <item x="393"/>
        <item x="469"/>
        <item x="88"/>
        <item x="527"/>
        <item x="818"/>
        <item x="762"/>
        <item x="169"/>
        <item x="926"/>
        <item x="148"/>
        <item x="358"/>
        <item x="622"/>
        <item x="944"/>
        <item x="651"/>
        <item x="787"/>
        <item x="887"/>
        <item x="323"/>
        <item x="232"/>
        <item x="605"/>
        <item x="804"/>
        <item x="248"/>
        <item x="629"/>
        <item x="661"/>
        <item x="277"/>
        <item x="963"/>
        <item x="184"/>
        <item x="771"/>
        <item x="499"/>
        <item x="91"/>
        <item x="238"/>
        <item x="397"/>
        <item x="370"/>
        <item x="481"/>
        <item x="205"/>
        <item x="938"/>
        <item x="967"/>
        <item x="40"/>
        <item x="886"/>
        <item x="572"/>
        <item x="439"/>
        <item x="738"/>
        <item x="626"/>
        <item x="693"/>
        <item x="122"/>
        <item x="507"/>
        <item x="510"/>
        <item x="398"/>
        <item x="872"/>
        <item x="292"/>
        <item x="99"/>
        <item x="288"/>
        <item x="372"/>
        <item x="835"/>
        <item x="721"/>
        <item x="286"/>
        <item x="25"/>
        <item x="670"/>
        <item x="313"/>
        <item x="750"/>
        <item x="433"/>
        <item x="484"/>
        <item x="459"/>
        <item x="548"/>
        <item x="585"/>
        <item x="104"/>
        <item x="805"/>
        <item x="768"/>
        <item x="346"/>
        <item x="556"/>
        <item x="462"/>
        <item x="841"/>
        <item x="639"/>
        <item x="806"/>
        <item x="59"/>
        <item x="854"/>
        <item x="131"/>
        <item x="134"/>
        <item x="630"/>
        <item x="67"/>
        <item x="395"/>
        <item x="379"/>
        <item x="717"/>
        <item x="631"/>
        <item x="103"/>
        <item x="652"/>
        <item x="627"/>
        <item x="597"/>
        <item x="146"/>
        <item x="897"/>
        <item x="427"/>
        <item x="769"/>
        <item x="109"/>
        <item x="470"/>
        <item x="708"/>
        <item x="485"/>
        <item x="704"/>
        <item x="641"/>
        <item x="260"/>
        <item x="728"/>
        <item x="743"/>
        <item x="932"/>
        <item x="331"/>
        <item x="409"/>
        <item x="448"/>
        <item x="606"/>
        <item x="112"/>
        <item x="445"/>
        <item x="28"/>
        <item x="44"/>
        <item x="582"/>
        <item x="838"/>
        <item x="281"/>
        <item x="87"/>
        <item x="985"/>
        <item x="956"/>
        <item x="86"/>
        <item x="997"/>
        <item x="941"/>
        <item x="792"/>
        <item x="505"/>
        <item x="638"/>
        <item x="696"/>
        <item x="19"/>
        <item x="108"/>
        <item x="486"/>
        <item x="483"/>
        <item x="583"/>
        <item x="35"/>
        <item x="763"/>
        <item x="495"/>
        <item x="644"/>
        <item x="310"/>
        <item x="431"/>
        <item x="208"/>
        <item x="125"/>
        <item x="972"/>
        <item x="253"/>
        <item x="848"/>
        <item x="326"/>
        <item x="314"/>
        <item x="296"/>
        <item x="654"/>
        <item x="988"/>
        <item x="30"/>
        <item x="929"/>
        <item x="366"/>
        <item x="189"/>
        <item x="843"/>
        <item x="321"/>
        <item x="701"/>
        <item x="664"/>
        <item x="867"/>
        <item x="262"/>
        <item x="175"/>
        <item x="568"/>
        <item x="168"/>
        <item x="193"/>
        <item x="429"/>
        <item x="702"/>
        <item x="707"/>
        <item x="190"/>
        <item x="913"/>
        <item x="915"/>
        <item x="5"/>
        <item x="880"/>
        <item x="739"/>
        <item x="586"/>
        <item x="993"/>
        <item x="16"/>
        <item x="181"/>
        <item x="697"/>
        <item x="930"/>
        <item x="920"/>
        <item x="440"/>
        <item x="198"/>
        <item x="643"/>
        <item x="829"/>
        <item x="621"/>
        <item x="250"/>
        <item x="844"/>
        <item x="719"/>
        <item x="907"/>
        <item x="75"/>
        <item x="766"/>
        <item x="501"/>
        <item x="416"/>
        <item x="877"/>
        <item x="611"/>
        <item x="157"/>
        <item x="351"/>
        <item x="496"/>
        <item x="237"/>
        <item x="494"/>
        <item x="943"/>
        <item x="866"/>
        <item x="737"/>
        <item x="942"/>
        <item x="714"/>
        <item x="257"/>
        <item x="15"/>
        <item x="751"/>
        <item x="137"/>
        <item x="558"/>
        <item x="596"/>
        <item x="27"/>
        <item x="82"/>
        <item x="889"/>
        <item x="371"/>
        <item x="636"/>
        <item x="688"/>
        <item x="280"/>
        <item x="415"/>
        <item x="119"/>
        <item x="214"/>
        <item x="124"/>
        <item x="64"/>
        <item x="152"/>
        <item x="949"/>
        <item x="685"/>
        <item x="798"/>
        <item x="196"/>
        <item x="809"/>
        <item x="580"/>
        <item x="578"/>
        <item x="538"/>
        <item x="563"/>
        <item x="106"/>
        <item x="523"/>
        <item x="555"/>
        <item x="367"/>
        <item x="357"/>
        <item x="364"/>
        <item x="810"/>
        <item x="819"/>
        <item x="290"/>
        <item x="363"/>
        <item x="565"/>
        <item x="345"/>
        <item x="477"/>
        <item x="29"/>
        <item x="162"/>
        <item x="107"/>
        <item x="380"/>
        <item x="927"/>
        <item x="983"/>
        <item x="703"/>
        <item x="100"/>
        <item x="882"/>
        <item x="660"/>
        <item x="300"/>
        <item x="598"/>
        <item x="623"/>
        <item x="722"/>
        <item x="396"/>
        <item x="65"/>
        <item x="51"/>
        <item x="114"/>
        <item x="698"/>
        <item x="692"/>
        <item x="74"/>
        <item x="917"/>
        <item x="857"/>
        <item x="950"/>
        <item x="178"/>
        <item x="77"/>
        <item x="423"/>
        <item x="508"/>
        <item x="684"/>
        <item x="215"/>
        <item x="384"/>
        <item x="911"/>
        <item x="6"/>
        <item x="552"/>
        <item x="211"/>
        <item x="165"/>
        <item x="41"/>
        <item x="7"/>
        <item x="590"/>
        <item x="90"/>
        <item x="180"/>
        <item x="233"/>
        <item x="971"/>
        <item x="455"/>
        <item x="220"/>
        <item x="734"/>
        <item x="139"/>
        <item x="571"/>
        <item x="267"/>
        <item x="519"/>
        <item x="549"/>
        <item x="386"/>
        <item x="559"/>
        <item x="881"/>
        <item x="890"/>
        <item x="725"/>
        <item x="377"/>
        <item x="633"/>
        <item x="335"/>
        <item x="628"/>
        <item x="955"/>
        <item x="166"/>
        <item x="153"/>
        <item x="120"/>
        <item x="995"/>
        <item x="980"/>
        <item x="328"/>
        <item x="976"/>
        <item x="218"/>
        <item x="663"/>
        <item x="946"/>
        <item x="115"/>
        <item x="340"/>
        <item x="479"/>
        <item x="791"/>
        <item x="625"/>
        <item x="85"/>
        <item x="330"/>
        <item x="34"/>
        <item x="266"/>
        <item x="373"/>
        <item x="732"/>
        <item x="150"/>
        <item x="62"/>
        <item x="545"/>
        <item x="50"/>
        <item x="452"/>
        <item x="550"/>
        <item x="425"/>
        <item x="947"/>
        <item x="524"/>
        <item x="79"/>
        <item x="614"/>
        <item x="80"/>
        <item x="966"/>
        <item x="828"/>
        <item x="223"/>
        <item x="446"/>
        <item x="130"/>
        <item x="923"/>
        <item x="969"/>
        <item x="320"/>
        <item x="918"/>
        <item x="407"/>
        <item x="718"/>
        <item x="746"/>
        <item x="93"/>
        <item x="158"/>
        <item x="979"/>
        <item x="925"/>
        <item x="599"/>
        <item x="4"/>
        <item x="81"/>
        <item x="952"/>
        <item x="465"/>
        <item x="126"/>
        <item x="311"/>
        <item x="965"/>
        <item x="603"/>
        <item x="733"/>
        <item x="646"/>
        <item x="132"/>
        <item x="353"/>
        <item x="226"/>
        <item x="815"/>
        <item x="376"/>
        <item x="689"/>
        <item x="149"/>
        <item x="759"/>
        <item x="68"/>
        <item x="690"/>
        <item x="55"/>
        <item x="878"/>
        <item x="474"/>
        <item x="852"/>
        <item x="659"/>
        <item x="512"/>
        <item x="97"/>
        <item x="653"/>
        <item x="236"/>
        <item x="783"/>
        <item x="677"/>
        <item x="916"/>
        <item x="136"/>
        <item x="742"/>
        <item x="532"/>
        <item x="110"/>
        <item x="1000"/>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Salary_USD"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45B461-009D-4C0C-841C-82143C7097E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5:F28" firstHeaderRow="1" firstDataRow="1" firstDataCol="1"/>
  <pivotFields count="26">
    <pivotField showAll="0"/>
    <pivotField showAll="0"/>
    <pivotField showAll="0"/>
    <pivotField showAll="0">
      <items count="3">
        <item x="1"/>
        <item h="1" x="0"/>
        <item t="default"/>
      </items>
    </pivotField>
    <pivotField showAll="0"/>
    <pivotField showAll="0">
      <items count="7">
        <item x="5"/>
        <item x="2"/>
        <item x="4"/>
        <item x="3"/>
        <item x="0"/>
        <item x="1"/>
        <item t="default"/>
      </items>
    </pivotField>
    <pivotField showAll="0"/>
    <pivotField showAll="0">
      <items count="6">
        <item x="0"/>
        <item x="4"/>
        <item x="1"/>
        <item x="3"/>
        <item x="2"/>
        <item t="default"/>
      </items>
    </pivotField>
    <pivotField showAll="0">
      <items count="4">
        <item x="1"/>
        <item x="2"/>
        <item x="0"/>
        <item t="default"/>
      </items>
    </pivotField>
    <pivotField showAll="0">
      <items count="3">
        <item x="0"/>
        <item x="1"/>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items count="4">
        <item x="0"/>
        <item x="2"/>
        <item x="1"/>
        <item t="default"/>
      </items>
    </pivotField>
    <pivotField showAll="0"/>
  </pivotFields>
  <rowFields count="1">
    <field x="23"/>
  </rowFields>
  <rowItems count="3">
    <i>
      <x/>
    </i>
    <i>
      <x v="1"/>
    </i>
    <i t="grand">
      <x/>
    </i>
  </rowItems>
  <colItems count="1">
    <i/>
  </colItems>
  <dataFields count="1">
    <dataField name="Eligible for Promotion" fld="23" subtotal="count" showDataAs="percentOfTotal" baseField="2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BDAE09-F055-42C7-B413-1DA1F051A727}" name="PivotTable3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1:L22" firstHeaderRow="1" firstDataRow="1" firstDataCol="0"/>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Average of Absences" fld="2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D8BCDE-1F96-411A-9DA5-A4F775740C85}" name="PivotTable5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Risk">
  <location ref="J2:K6" firstHeaderRow="1" firstDataRow="1" firstDataCol="1"/>
  <pivotFields count="26">
    <pivotField showAll="0"/>
    <pivotField showAll="0"/>
    <pivotField showAll="0"/>
    <pivotField showAll="0">
      <items count="3">
        <item x="1"/>
        <item h="1" x="0"/>
        <item t="default"/>
      </items>
    </pivotField>
    <pivotField showAll="0"/>
    <pivotField showAll="0">
      <items count="7">
        <item x="5"/>
        <item x="2"/>
        <item x="4"/>
        <item x="3"/>
        <item x="0"/>
        <item x="1"/>
        <item t="default"/>
      </items>
    </pivotField>
    <pivotField showAll="0"/>
    <pivotField showAll="0">
      <items count="6">
        <item x="0"/>
        <item x="4"/>
        <item x="1"/>
        <item x="3"/>
        <item x="2"/>
        <item t="default"/>
      </items>
    </pivotField>
    <pivotField showAll="0">
      <items count="4">
        <item x="1"/>
        <item x="2"/>
        <item x="0"/>
        <item t="default"/>
      </items>
    </pivotField>
    <pivotField showAll="0">
      <items count="3">
        <item x="0"/>
        <item x="1"/>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items count="52">
        <item x="14"/>
        <item x="30"/>
        <item x="36"/>
        <item x="5"/>
        <item x="38"/>
        <item x="8"/>
        <item x="27"/>
        <item x="44"/>
        <item x="34"/>
        <item x="11"/>
        <item x="19"/>
        <item x="49"/>
        <item x="26"/>
        <item x="13"/>
        <item x="15"/>
        <item x="31"/>
        <item x="0"/>
        <item x="25"/>
        <item x="18"/>
        <item x="35"/>
        <item x="32"/>
        <item x="46"/>
        <item x="12"/>
        <item x="3"/>
        <item x="33"/>
        <item x="22"/>
        <item x="24"/>
        <item x="6"/>
        <item x="9"/>
        <item x="20"/>
        <item x="48"/>
        <item x="39"/>
        <item x="28"/>
        <item x="23"/>
        <item x="40"/>
        <item x="29"/>
        <item x="47"/>
        <item x="7"/>
        <item x="50"/>
        <item x="21"/>
        <item x="42"/>
        <item x="43"/>
        <item x="2"/>
        <item x="45"/>
        <item x="17"/>
        <item x="37"/>
        <item x="10"/>
        <item x="4"/>
        <item x="41"/>
        <item x="16"/>
        <item x="1"/>
        <item t="default"/>
      </items>
    </pivotField>
    <pivotField showAll="0"/>
    <pivotField showAll="0"/>
    <pivotField showAll="0"/>
    <pivotField showAll="0">
      <items count="3">
        <item x="1"/>
        <item x="0"/>
        <item t="default"/>
      </items>
    </pivotField>
    <pivotField axis="axisRow" dataField="1" showAll="0">
      <items count="4">
        <item x="0"/>
        <item x="2"/>
        <item x="1"/>
        <item t="default"/>
      </items>
    </pivotField>
    <pivotField showAll="0"/>
  </pivotFields>
  <rowFields count="1">
    <field x="24"/>
  </rowFields>
  <rowItems count="4">
    <i>
      <x/>
    </i>
    <i>
      <x v="1"/>
    </i>
    <i>
      <x v="2"/>
    </i>
    <i t="grand">
      <x/>
    </i>
  </rowItems>
  <colItems count="1">
    <i/>
  </colItems>
  <dataFields count="1">
    <dataField name="Count" fld="24" subtotal="count" baseField="2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EADA61-587C-4985-B8FC-3E9FE657619B}" name="PivotTable3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2:K13" firstHeaderRow="0" firstDataRow="1" firstDataCol="0"/>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Fields count="1">
    <field x="-2"/>
  </colFields>
  <colItems count="2">
    <i>
      <x/>
    </i>
    <i i="1">
      <x v="1"/>
    </i>
  </colItems>
  <dataFields count="2">
    <dataField name="Sum of Training_Hours" fld="22" baseField="0" baseItem="0"/>
    <dataField name="Average of Training_Hours" fld="2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66DF17-0291-4CF1-B00D-89114FE79FAE}" name="PivotTable5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mployment_Status">
  <location ref="E2:F5" firstHeaderRow="1" firstDataRow="1" firstDataCol="1"/>
  <pivotFields count="26">
    <pivotField showAll="0"/>
    <pivotField showAll="0"/>
    <pivotField showAll="0"/>
    <pivotField showAll="0">
      <items count="3">
        <item x="1"/>
        <item h="1" x="0"/>
        <item t="default"/>
      </items>
    </pivotField>
    <pivotField showAll="0"/>
    <pivotField showAll="0">
      <items count="7">
        <item x="5"/>
        <item x="2"/>
        <item x="4"/>
        <item x="3"/>
        <item x="0"/>
        <item x="1"/>
        <item t="default"/>
      </items>
    </pivotField>
    <pivotField showAll="0"/>
    <pivotField showAll="0">
      <items count="6">
        <item x="0"/>
        <item x="4"/>
        <item x="1"/>
        <item x="3"/>
        <item x="2"/>
        <item t="default"/>
      </items>
    </pivotField>
    <pivotField showAll="0">
      <items count="4">
        <item x="1"/>
        <item x="2"/>
        <item x="0"/>
        <item t="default"/>
      </items>
    </pivotField>
    <pivotField showAll="0">
      <items count="3">
        <item x="0"/>
        <item x="1"/>
        <item t="default"/>
      </items>
    </pivotField>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4">
        <item x="0"/>
        <item x="2"/>
        <item x="1"/>
        <item t="default"/>
      </items>
    </pivotField>
    <pivotField showAll="0"/>
  </pivotFields>
  <rowFields count="1">
    <field x="12"/>
  </rowFields>
  <rowItems count="3">
    <i>
      <x/>
    </i>
    <i>
      <x v="1"/>
    </i>
    <i t="grand">
      <x/>
    </i>
  </rowItems>
  <colItems count="1">
    <i/>
  </colItems>
  <dataFields count="1">
    <dataField name="Count" fld="12"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6C7455-247B-4D03-B522-32DC1F38473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F9" firstHeaderRow="1" firstDataRow="1" firstDataCol="0"/>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Average of Performance_Rating" fld="1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3FFC19-107C-451B-BE4F-ADF4EDA2C3C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1:F12" firstHeaderRow="1" firstDataRow="1" firstDataCol="0"/>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Engagement_Score" fld="1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DE38E4-BC13-4DBB-B022-2057A356B3C5}"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Y26:Z29" firstHeaderRow="1" firstDataRow="1" firstDataCol="1"/>
  <pivotFields count="26">
    <pivotField showAll="0"/>
    <pivotField showAll="0"/>
    <pivotField showAll="0"/>
    <pivotField showAll="0">
      <items count="3">
        <item x="1"/>
        <item h="1" x="0"/>
        <item t="default"/>
      </items>
    </pivotField>
    <pivotField showAll="0"/>
    <pivotField showAll="0">
      <items count="7">
        <item x="5"/>
        <item x="2"/>
        <item x="4"/>
        <item x="3"/>
        <item x="0"/>
        <item x="1"/>
        <item t="default"/>
      </items>
    </pivotField>
    <pivotField showAll="0"/>
    <pivotField showAll="0">
      <items count="6">
        <item x="0"/>
        <item x="4"/>
        <item x="1"/>
        <item x="3"/>
        <item x="2"/>
        <item t="default"/>
      </items>
    </pivotField>
    <pivotField showAll="0">
      <items count="4">
        <item x="1"/>
        <item x="2"/>
        <item x="0"/>
        <item t="default"/>
      </items>
    </pivotField>
    <pivotField showAll="0">
      <items count="3">
        <item x="0"/>
        <item x="1"/>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items count="4">
        <item x="0"/>
        <item x="2"/>
        <item x="1"/>
        <item t="default"/>
      </items>
    </pivotField>
    <pivotField showAll="0"/>
  </pivotFields>
  <rowFields count="1">
    <field x="23"/>
  </rowFields>
  <rowItems count="3">
    <i>
      <x/>
    </i>
    <i>
      <x v="1"/>
    </i>
    <i t="grand">
      <x/>
    </i>
  </rowItems>
  <colItems count="1">
    <i/>
  </colItems>
  <dataFields count="1">
    <dataField name="Eligible for Promotion" fld="23" subtotal="count" showDataAs="percentOfTotal" baseField="23"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5A6D88C-EDE0-4265-AC78-7C00709418AA}" name="PivotTable60"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H3:I10" firstHeaderRow="1" firstDataRow="1" firstDataCol="1"/>
  <pivotFields count="26">
    <pivotField dataField="1" showAll="0"/>
    <pivotField showAll="0"/>
    <pivotField showAll="0"/>
    <pivotField showAll="0">
      <items count="3">
        <item x="1"/>
        <item h="1" x="0"/>
        <item t="default"/>
      </items>
    </pivotField>
    <pivotField showAll="0"/>
    <pivotField axis="axisRow" showAll="0">
      <items count="7">
        <item x="5"/>
        <item x="2"/>
        <item x="4"/>
        <item x="3"/>
        <item x="0"/>
        <item x="1"/>
        <item t="default"/>
      </items>
    </pivotField>
    <pivotField showAll="0"/>
    <pivotField showAll="0">
      <items count="6">
        <item x="0"/>
        <item x="4"/>
        <item x="1"/>
        <item x="3"/>
        <item x="2"/>
        <item t="default"/>
      </items>
    </pivotField>
    <pivotField showAll="0">
      <items count="4">
        <item x="1"/>
        <item x="2"/>
        <item x="0"/>
        <item t="default"/>
      </items>
    </pivotField>
    <pivotField showAll="0">
      <items count="3">
        <item x="0"/>
        <item x="1"/>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4">
        <item x="0"/>
        <item x="2"/>
        <item x="1"/>
        <item t="default"/>
      </items>
    </pivotField>
    <pivotField showAll="0"/>
  </pivotFields>
  <rowFields count="1">
    <field x="5"/>
  </rowFields>
  <rowItems count="7">
    <i>
      <x/>
    </i>
    <i>
      <x v="1"/>
    </i>
    <i>
      <x v="2"/>
    </i>
    <i>
      <x v="3"/>
    </i>
    <i>
      <x v="4"/>
    </i>
    <i>
      <x v="5"/>
    </i>
    <i t="grand">
      <x/>
    </i>
  </rowItems>
  <colItems count="1">
    <i/>
  </colItems>
  <dataFields count="1">
    <dataField name="Count of Employee_ID" fld="0" subtotal="count" baseField="0" baseItem="0"/>
  </dataFields>
  <chartFormats count="3">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92E8BDD-1CD6-4991-8B4E-D8A92D99D936}"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3:O15" firstHeaderRow="1" firstDataRow="1" firstDataCol="1"/>
  <pivotFields count="26">
    <pivotField dataField="1" showAll="0"/>
    <pivotField showAll="0"/>
    <pivotField showAll="0"/>
    <pivotField showAll="0">
      <items count="3">
        <item x="1"/>
        <item h="1" x="0"/>
        <item t="default"/>
      </items>
    </pivotField>
    <pivotField showAll="0"/>
    <pivotField showAll="0">
      <items count="7">
        <item x="5"/>
        <item x="2"/>
        <item x="4"/>
        <item x="3"/>
        <item x="0"/>
        <item x="1"/>
        <item t="default"/>
      </items>
    </pivotField>
    <pivotField axis="axisRow" showAll="0">
      <items count="12">
        <item x="8"/>
        <item x="6"/>
        <item x="0"/>
        <item x="9"/>
        <item x="5"/>
        <item x="3"/>
        <item x="2"/>
        <item x="7"/>
        <item x="4"/>
        <item x="1"/>
        <item x="10"/>
        <item t="default"/>
      </items>
    </pivotField>
    <pivotField showAll="0">
      <items count="6">
        <item x="0"/>
        <item x="4"/>
        <item x="1"/>
        <item x="3"/>
        <item x="2"/>
        <item t="default"/>
      </items>
    </pivotField>
    <pivotField showAll="0">
      <items count="4">
        <item x="1"/>
        <item x="2"/>
        <item x="0"/>
        <item t="default"/>
      </items>
    </pivotField>
    <pivotField showAll="0">
      <items count="3">
        <item x="0"/>
        <item x="1"/>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4">
        <item x="0"/>
        <item x="2"/>
        <item x="1"/>
        <item t="default"/>
      </items>
    </pivotField>
    <pivotField showAll="0"/>
  </pivotFields>
  <rowFields count="1">
    <field x="6"/>
  </rowFields>
  <rowItems count="12">
    <i>
      <x/>
    </i>
    <i>
      <x v="1"/>
    </i>
    <i>
      <x v="2"/>
    </i>
    <i>
      <x v="3"/>
    </i>
    <i>
      <x v="4"/>
    </i>
    <i>
      <x v="5"/>
    </i>
    <i>
      <x v="6"/>
    </i>
    <i>
      <x v="7"/>
    </i>
    <i>
      <x v="8"/>
    </i>
    <i>
      <x v="9"/>
    </i>
    <i>
      <x v="10"/>
    </i>
    <i t="grand">
      <x/>
    </i>
  </rowItems>
  <colItems count="1">
    <i/>
  </colItems>
  <dataFields count="1">
    <dataField name="Count of Employee_ID" fld="0" subtotal="count"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82CB4A9-83D7-44EC-8D82-3CA39B69685B}"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T4:U10" firstHeaderRow="1" firstDataRow="1" firstDataCol="1"/>
  <pivotFields count="26">
    <pivotField dataField="1" showAll="0"/>
    <pivotField showAll="0"/>
    <pivotField showAll="0"/>
    <pivotField showAll="0">
      <items count="3">
        <item x="1"/>
        <item h="1" x="0"/>
        <item t="default"/>
      </items>
    </pivotField>
    <pivotField showAll="0"/>
    <pivotField showAll="0">
      <items count="7">
        <item x="5"/>
        <item x="2"/>
        <item x="4"/>
        <item x="3"/>
        <item x="0"/>
        <item x="1"/>
        <item t="default"/>
      </items>
    </pivotField>
    <pivotField showAll="0"/>
    <pivotField axis="axisRow" showAll="0">
      <items count="6">
        <item x="0"/>
        <item x="4"/>
        <item x="1"/>
        <item x="3"/>
        <item x="2"/>
        <item t="default"/>
      </items>
    </pivotField>
    <pivotField showAll="0">
      <items count="4">
        <item x="1"/>
        <item x="2"/>
        <item x="0"/>
        <item t="default"/>
      </items>
    </pivotField>
    <pivotField showAll="0">
      <items count="3">
        <item x="0"/>
        <item x="1"/>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4">
        <item x="0"/>
        <item x="2"/>
        <item x="1"/>
        <item t="default"/>
      </items>
    </pivotField>
    <pivotField showAll="0"/>
  </pivotFields>
  <rowFields count="1">
    <field x="7"/>
  </rowFields>
  <rowItems count="6">
    <i>
      <x/>
    </i>
    <i>
      <x v="1"/>
    </i>
    <i>
      <x v="2"/>
    </i>
    <i>
      <x v="3"/>
    </i>
    <i>
      <x v="4"/>
    </i>
    <i t="grand">
      <x/>
    </i>
  </rowItems>
  <colItems count="1">
    <i/>
  </colItems>
  <dataFields count="1">
    <dataField name="Count of Employee_ID" fld="0" subtotal="count" baseField="0" baseItem="0"/>
  </dataFields>
  <chartFormats count="2">
    <chartFormat chart="0" format="6"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7AF718C-90C7-42A6-8F8F-CF3E2E27F53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3:F11" firstHeaderRow="1" firstDataRow="2" firstDataCol="1"/>
  <pivotFields count="26">
    <pivotField showAll="0"/>
    <pivotField showAll="0"/>
    <pivotField showAll="0"/>
    <pivotField showAll="0">
      <items count="3">
        <item x="1"/>
        <item h="1" x="0"/>
        <item t="default"/>
      </items>
    </pivotField>
    <pivotField showAll="0"/>
    <pivotField axis="axisRow" showAll="0">
      <items count="7">
        <item x="5"/>
        <item x="2"/>
        <item x="4"/>
        <item x="3"/>
        <item x="0"/>
        <item x="1"/>
        <item t="default"/>
      </items>
    </pivotField>
    <pivotField showAll="0"/>
    <pivotField showAll="0">
      <items count="6">
        <item x="0"/>
        <item x="4"/>
        <item x="1"/>
        <item x="3"/>
        <item x="2"/>
        <item t="default"/>
      </items>
    </pivotField>
    <pivotField showAll="0">
      <items count="4">
        <item x="1"/>
        <item x="2"/>
        <item x="0"/>
        <item t="default"/>
      </items>
    </pivotField>
    <pivotField showAll="0">
      <items count="3">
        <item x="0"/>
        <item x="1"/>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axis="axisCol" dataField="1" showAll="0">
      <items count="4">
        <item x="0"/>
        <item x="2"/>
        <item x="1"/>
        <item t="default"/>
      </items>
    </pivotField>
    <pivotField showAll="0"/>
  </pivotFields>
  <rowFields count="1">
    <field x="5"/>
  </rowFields>
  <rowItems count="7">
    <i>
      <x/>
    </i>
    <i>
      <x v="1"/>
    </i>
    <i>
      <x v="2"/>
    </i>
    <i>
      <x v="3"/>
    </i>
    <i>
      <x v="4"/>
    </i>
    <i>
      <x v="5"/>
    </i>
    <i t="grand">
      <x/>
    </i>
  </rowItems>
  <colFields count="1">
    <field x="24"/>
  </colFields>
  <colItems count="4">
    <i>
      <x/>
    </i>
    <i>
      <x v="1"/>
    </i>
    <i>
      <x v="2"/>
    </i>
    <i t="grand">
      <x/>
    </i>
  </colItems>
  <dataFields count="1">
    <dataField name="Count of Attrition_Risk" fld="24" subtotal="count" baseField="0" baseItem="0"/>
  </dataFields>
  <chartFormats count="6">
    <chartFormat chart="6" format="3" series="1">
      <pivotArea type="data" outline="0" fieldPosition="0">
        <references count="2">
          <reference field="4294967294" count="1" selected="0">
            <x v="0"/>
          </reference>
          <reference field="24" count="1" selected="0">
            <x v="0"/>
          </reference>
        </references>
      </pivotArea>
    </chartFormat>
    <chartFormat chart="6" format="4" series="1">
      <pivotArea type="data" outline="0" fieldPosition="0">
        <references count="2">
          <reference field="4294967294" count="1" selected="0">
            <x v="0"/>
          </reference>
          <reference field="24" count="1" selected="0">
            <x v="1"/>
          </reference>
        </references>
      </pivotArea>
    </chartFormat>
    <chartFormat chart="6" format="5" series="1">
      <pivotArea type="data" outline="0" fieldPosition="0">
        <references count="2">
          <reference field="4294967294" count="1" selected="0">
            <x v="0"/>
          </reference>
          <reference field="24" count="1" selected="0">
            <x v="2"/>
          </reference>
        </references>
      </pivotArea>
    </chartFormat>
    <chartFormat chart="7" format="6" series="1">
      <pivotArea type="data" outline="0" fieldPosition="0">
        <references count="2">
          <reference field="4294967294" count="1" selected="0">
            <x v="0"/>
          </reference>
          <reference field="24" count="1" selected="0">
            <x v="0"/>
          </reference>
        </references>
      </pivotArea>
    </chartFormat>
    <chartFormat chart="7" format="7" series="1">
      <pivotArea type="data" outline="0" fieldPosition="0">
        <references count="2">
          <reference field="4294967294" count="1" selected="0">
            <x v="0"/>
          </reference>
          <reference field="24" count="1" selected="0">
            <x v="1"/>
          </reference>
        </references>
      </pivotArea>
    </chartFormat>
    <chartFormat chart="7" format="8" series="1">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9756E67-46C9-44AE-AD9E-9F7CB5B7D76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4:R8" firstHeaderRow="1" firstDataRow="1" firstDataCol="1"/>
  <pivotFields count="26">
    <pivotField dataField="1" showAll="0"/>
    <pivotField showAll="0"/>
    <pivotField showAll="0"/>
    <pivotField showAll="0">
      <items count="3">
        <item x="1"/>
        <item h="1" x="0"/>
        <item t="default"/>
      </items>
    </pivotField>
    <pivotField showAll="0"/>
    <pivotField showAll="0">
      <items count="7">
        <item x="5"/>
        <item x="2"/>
        <item x="4"/>
        <item x="3"/>
        <item x="0"/>
        <item x="1"/>
        <item t="default"/>
      </items>
    </pivotField>
    <pivotField showAll="0"/>
    <pivotField showAll="0">
      <items count="6">
        <item x="0"/>
        <item x="4"/>
        <item x="1"/>
        <item x="3"/>
        <item x="2"/>
        <item t="default"/>
      </items>
    </pivotField>
    <pivotField axis="axisRow" showAll="0">
      <items count="4">
        <item x="1"/>
        <item x="2"/>
        <item x="0"/>
        <item t="default"/>
      </items>
    </pivotField>
    <pivotField showAll="0">
      <items count="3">
        <item x="0"/>
        <item x="1"/>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4">
        <item x="0"/>
        <item x="2"/>
        <item x="1"/>
        <item t="default"/>
      </items>
    </pivotField>
    <pivotField showAll="0"/>
  </pivotFields>
  <rowFields count="1">
    <field x="8"/>
  </rowFields>
  <rowItems count="4">
    <i>
      <x/>
    </i>
    <i>
      <x v="1"/>
    </i>
    <i>
      <x v="2"/>
    </i>
    <i t="grand">
      <x/>
    </i>
  </rowItems>
  <colItems count="1">
    <i/>
  </colItems>
  <dataFields count="1">
    <dataField name="Count of Employee_ID" fld="0" subtotal="count" baseField="0" baseItem="0"/>
  </dataFields>
  <chartFormats count="3">
    <chartFormat chart="3" format="12"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 chart="5"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4F17842-ADB2-4349-934D-9EE2781F6750}" name="PivotTable5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4:L6" firstHeaderRow="1" firstDataRow="1" firstDataCol="1" rowPageCount="1" colPageCount="1"/>
  <pivotFields count="26">
    <pivotField showAll="0"/>
    <pivotField showAll="0"/>
    <pivotField showAll="0"/>
    <pivotField axis="axisRow" dataField="1" showAll="0">
      <items count="3">
        <item x="1"/>
        <item h="1" x="0"/>
        <item t="default"/>
      </items>
    </pivotField>
    <pivotField showAll="0"/>
    <pivotField showAll="0">
      <items count="7">
        <item x="5"/>
        <item x="2"/>
        <item x="4"/>
        <item x="3"/>
        <item x="0"/>
        <item x="1"/>
        <item t="default"/>
      </items>
    </pivotField>
    <pivotField showAll="0"/>
    <pivotField showAll="0">
      <items count="6">
        <item x="0"/>
        <item x="4"/>
        <item x="1"/>
        <item x="3"/>
        <item x="2"/>
        <item t="default"/>
      </items>
    </pivotField>
    <pivotField showAll="0">
      <items count="4">
        <item x="1"/>
        <item x="2"/>
        <item x="0"/>
        <item t="default"/>
      </items>
    </pivotField>
    <pivotField showAll="0">
      <items count="3">
        <item x="0"/>
        <item x="1"/>
        <item t="default"/>
      </items>
    </pivotField>
    <pivotField showAll="0"/>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4">
        <item x="0"/>
        <item x="2"/>
        <item x="1"/>
        <item t="default"/>
      </items>
    </pivotField>
    <pivotField showAll="0"/>
  </pivotFields>
  <rowFields count="1">
    <field x="3"/>
  </rowFields>
  <rowItems count="2">
    <i>
      <x/>
    </i>
    <i t="grand">
      <x/>
    </i>
  </rowItems>
  <colItems count="1">
    <i/>
  </colItems>
  <pageFields count="1">
    <pageField fld="12" hier="-1"/>
  </pageFields>
  <dataFields count="1">
    <dataField name="Count of Gender" fld="3" subtotal="count"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8DFCD01-4E89-448D-9421-8405DD2B46AF}"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1:F33" firstHeaderRow="0" firstDataRow="1" firstDataCol="1"/>
  <pivotFields count="26">
    <pivotField showAll="0"/>
    <pivotField showAll="0"/>
    <pivotField showAll="0"/>
    <pivotField showAll="0">
      <items count="3">
        <item x="1"/>
        <item h="1" x="0"/>
        <item t="default"/>
      </items>
    </pivotField>
    <pivotField showAll="0"/>
    <pivotField showAll="0">
      <items count="7">
        <item x="5"/>
        <item x="2"/>
        <item x="4"/>
        <item x="3"/>
        <item x="0"/>
        <item x="1"/>
        <item t="default"/>
      </items>
    </pivotField>
    <pivotField axis="axisRow" showAll="0">
      <items count="12">
        <item x="8"/>
        <item x="6"/>
        <item x="0"/>
        <item x="9"/>
        <item x="5"/>
        <item x="3"/>
        <item x="2"/>
        <item x="7"/>
        <item x="4"/>
        <item x="1"/>
        <item x="10"/>
        <item t="default"/>
      </items>
    </pivotField>
    <pivotField showAll="0">
      <items count="6">
        <item x="0"/>
        <item x="4"/>
        <item x="1"/>
        <item x="3"/>
        <item x="2"/>
        <item t="default"/>
      </items>
    </pivotField>
    <pivotField showAll="0">
      <items count="4">
        <item x="1"/>
        <item x="2"/>
        <item x="0"/>
        <item t="default"/>
      </items>
    </pivotField>
    <pivotField showAll="0">
      <items count="3">
        <item x="0"/>
        <item x="1"/>
        <item t="default"/>
      </items>
    </pivotField>
    <pivotField showAll="0">
      <items count="877">
        <item x="588"/>
        <item x="741"/>
        <item x="490"/>
        <item x="689"/>
        <item x="265"/>
        <item x="835"/>
        <item x="496"/>
        <item x="227"/>
        <item x="747"/>
        <item x="502"/>
        <item x="179"/>
        <item x="452"/>
        <item x="262"/>
        <item x="472"/>
        <item x="823"/>
        <item x="254"/>
        <item x="654"/>
        <item x="440"/>
        <item x="859"/>
        <item x="564"/>
        <item x="544"/>
        <item x="583"/>
        <item x="174"/>
        <item x="744"/>
        <item x="291"/>
        <item x="705"/>
        <item x="576"/>
        <item x="821"/>
        <item x="832"/>
        <item x="600"/>
        <item x="724"/>
        <item x="790"/>
        <item x="66"/>
        <item x="87"/>
        <item x="870"/>
        <item x="819"/>
        <item x="300"/>
        <item x="343"/>
        <item x="629"/>
        <item x="852"/>
        <item x="129"/>
        <item x="138"/>
        <item x="58"/>
        <item x="682"/>
        <item x="17"/>
        <item x="164"/>
        <item x="586"/>
        <item x="135"/>
        <item x="10"/>
        <item x="788"/>
        <item x="230"/>
        <item x="410"/>
        <item x="336"/>
        <item x="166"/>
        <item x="170"/>
        <item x="667"/>
        <item x="312"/>
        <item x="543"/>
        <item x="669"/>
        <item x="240"/>
        <item x="202"/>
        <item x="96"/>
        <item x="595"/>
        <item x="328"/>
        <item x="557"/>
        <item x="214"/>
        <item x="683"/>
        <item x="344"/>
        <item x="575"/>
        <item x="621"/>
        <item x="26"/>
        <item x="752"/>
        <item x="64"/>
        <item x="128"/>
        <item x="429"/>
        <item x="210"/>
        <item x="88"/>
        <item x="831"/>
        <item x="754"/>
        <item x="551"/>
        <item x="342"/>
        <item x="123"/>
        <item x="599"/>
        <item x="569"/>
        <item x="458"/>
        <item x="246"/>
        <item x="307"/>
        <item x="433"/>
        <item x="809"/>
        <item x="622"/>
        <item x="795"/>
        <item x="36"/>
        <item x="130"/>
        <item x="303"/>
        <item x="233"/>
        <item x="493"/>
        <item x="150"/>
        <item x="404"/>
        <item x="13"/>
        <item x="740"/>
        <item x="867"/>
        <item x="794"/>
        <item x="290"/>
        <item x="649"/>
        <item x="860"/>
        <item x="308"/>
        <item x="165"/>
        <item x="400"/>
        <item x="548"/>
        <item x="792"/>
        <item x="742"/>
        <item x="75"/>
        <item x="71"/>
        <item x="471"/>
        <item x="857"/>
        <item x="286"/>
        <item x="808"/>
        <item x="406"/>
        <item x="186"/>
        <item x="39"/>
        <item x="116"/>
        <item x="212"/>
        <item x="568"/>
        <item x="143"/>
        <item x="526"/>
        <item x="392"/>
        <item x="660"/>
        <item x="338"/>
        <item x="272"/>
        <item x="139"/>
        <item x="144"/>
        <item x="184"/>
        <item x="593"/>
        <item x="866"/>
        <item x="367"/>
        <item x="545"/>
        <item x="720"/>
        <item x="107"/>
        <item x="688"/>
        <item x="299"/>
        <item x="219"/>
        <item x="25"/>
        <item x="700"/>
        <item x="858"/>
        <item x="540"/>
        <item x="341"/>
        <item x="698"/>
        <item x="872"/>
        <item x="27"/>
        <item x="415"/>
        <item x="237"/>
        <item x="805"/>
        <item x="111"/>
        <item x="390"/>
        <item x="100"/>
        <item x="699"/>
        <item x="803"/>
        <item x="269"/>
        <item x="616"/>
        <item x="553"/>
        <item x="624"/>
        <item x="301"/>
        <item x="514"/>
        <item x="736"/>
        <item x="74"/>
        <item x="271"/>
        <item x="247"/>
        <item x="274"/>
        <item x="50"/>
        <item x="33"/>
        <item x="750"/>
        <item x="373"/>
        <item x="181"/>
        <item x="495"/>
        <item x="584"/>
        <item x="112"/>
        <item x="160"/>
        <item x="180"/>
        <item x="518"/>
        <item x="137"/>
        <item x="527"/>
        <item x="109"/>
        <item x="828"/>
        <item x="200"/>
        <item x="430"/>
        <item x="577"/>
        <item x="375"/>
        <item x="190"/>
        <item x="438"/>
        <item x="746"/>
        <item x="846"/>
        <item x="533"/>
        <item x="542"/>
        <item x="332"/>
        <item x="99"/>
        <item x="287"/>
        <item x="520"/>
        <item x="154"/>
        <item x="782"/>
        <item x="334"/>
        <item x="587"/>
        <item x="467"/>
        <item x="56"/>
        <item x="508"/>
        <item x="814"/>
        <item x="608"/>
        <item x="552"/>
        <item x="643"/>
        <item x="671"/>
        <item x="738"/>
        <item x="325"/>
        <item x="337"/>
        <item x="398"/>
        <item x="768"/>
        <item x="757"/>
        <item x="715"/>
        <item x="612"/>
        <item x="745"/>
        <item x="640"/>
        <item x="317"/>
        <item x="53"/>
        <item x="304"/>
        <item x="52"/>
        <item x="267"/>
        <item x="841"/>
        <item x="530"/>
        <item x="443"/>
        <item x="818"/>
        <item x="442"/>
        <item x="55"/>
        <item x="80"/>
        <item x="379"/>
        <item x="606"/>
        <item x="580"/>
        <item x="787"/>
        <item x="856"/>
        <item x="283"/>
        <item x="282"/>
        <item x="222"/>
        <item x="666"/>
        <item x="503"/>
        <item x="733"/>
        <item x="260"/>
        <item x="565"/>
        <item x="423"/>
        <item x="732"/>
        <item x="21"/>
        <item x="873"/>
        <item x="69"/>
        <item x="251"/>
        <item x="515"/>
        <item x="535"/>
        <item x="722"/>
        <item x="310"/>
        <item x="199"/>
        <item x="393"/>
        <item x="51"/>
        <item x="163"/>
        <item x="460"/>
        <item x="709"/>
        <item x="571"/>
        <item x="382"/>
        <item x="256"/>
        <item x="791"/>
        <item x="777"/>
        <item x="320"/>
        <item x="488"/>
        <item x="195"/>
        <item x="614"/>
        <item x="642"/>
        <item x="124"/>
        <item x="806"/>
        <item x="162"/>
        <item x="12"/>
        <item x="16"/>
        <item x="695"/>
        <item x="464"/>
        <item x="208"/>
        <item x="522"/>
        <item x="776"/>
        <item x="59"/>
        <item x="371"/>
        <item x="524"/>
        <item x="764"/>
        <item x="141"/>
        <item x="756"/>
        <item x="664"/>
        <item x="811"/>
        <item x="388"/>
        <item x="798"/>
        <item x="477"/>
        <item x="848"/>
        <item x="696"/>
        <item x="623"/>
        <item x="285"/>
        <item x="311"/>
        <item x="258"/>
        <item x="559"/>
        <item x="23"/>
        <item x="417"/>
        <item x="276"/>
        <item x="435"/>
        <item x="131"/>
        <item x="67"/>
        <item x="478"/>
        <item x="519"/>
        <item x="47"/>
        <item x="656"/>
        <item x="749"/>
        <item x="767"/>
        <item x="105"/>
        <item x="419"/>
        <item x="86"/>
        <item x="94"/>
        <item x="250"/>
        <item x="762"/>
        <item x="22"/>
        <item x="830"/>
        <item x="644"/>
        <item x="405"/>
        <item x="539"/>
        <item x="701"/>
        <item x="345"/>
        <item x="167"/>
        <item x="617"/>
        <item x="800"/>
        <item x="630"/>
        <item x="731"/>
        <item x="187"/>
        <item x="694"/>
        <item x="513"/>
        <item x="346"/>
        <item x="704"/>
        <item x="81"/>
        <item x="637"/>
        <item x="766"/>
        <item x="277"/>
        <item x="541"/>
        <item x="602"/>
        <item x="651"/>
        <item x="145"/>
        <item x="360"/>
        <item x="550"/>
        <item x="329"/>
        <item x="263"/>
        <item x="820"/>
        <item x="255"/>
        <item x="431"/>
        <item x="711"/>
        <item x="815"/>
        <item x="335"/>
        <item x="447"/>
        <item x="157"/>
        <item x="581"/>
        <item x="113"/>
        <item x="620"/>
        <item x="60"/>
        <item x="189"/>
        <item x="850"/>
        <item x="104"/>
        <item x="562"/>
        <item x="57"/>
        <item x="796"/>
        <item x="456"/>
        <item x="314"/>
        <item x="441"/>
        <item x="511"/>
        <item x="253"/>
        <item x="229"/>
        <item x="125"/>
        <item x="702"/>
        <item x="340"/>
        <item x="871"/>
        <item x="383"/>
        <item x="572"/>
        <item x="288"/>
        <item x="789"/>
        <item x="783"/>
        <item x="370"/>
        <item x="605"/>
        <item x="729"/>
        <item x="416"/>
        <item x="63"/>
        <item x="182"/>
        <item x="330"/>
        <item x="44"/>
        <item x="8"/>
        <item x="843"/>
        <item x="183"/>
        <item x="470"/>
        <item x="378"/>
        <item x="459"/>
        <item x="763"/>
        <item x="252"/>
        <item x="6"/>
        <item x="426"/>
        <item x="827"/>
        <item x="213"/>
        <item x="353"/>
        <item x="812"/>
        <item x="313"/>
        <item x="758"/>
        <item x="95"/>
        <item x="238"/>
        <item x="684"/>
        <item x="585"/>
        <item x="412"/>
        <item x="218"/>
        <item x="363"/>
        <item x="399"/>
        <item x="35"/>
        <item x="655"/>
        <item x="680"/>
        <item x="706"/>
        <item x="241"/>
        <item x="348"/>
        <item x="296"/>
        <item x="451"/>
        <item x="79"/>
        <item x="834"/>
        <item x="734"/>
        <item x="687"/>
        <item x="395"/>
        <item x="275"/>
        <item x="220"/>
        <item x="444"/>
        <item x="497"/>
        <item x="869"/>
        <item x="677"/>
        <item x="799"/>
        <item x="78"/>
        <item x="117"/>
        <item x="862"/>
        <item x="4"/>
        <item x="549"/>
        <item x="122"/>
        <item x="801"/>
        <item x="560"/>
        <item x="127"/>
        <item x="528"/>
        <item x="476"/>
        <item x="161"/>
        <item x="594"/>
        <item x="753"/>
        <item x="194"/>
        <item x="855"/>
        <item x="765"/>
        <item x="68"/>
        <item x="175"/>
        <item x="785"/>
        <item x="802"/>
        <item x="77"/>
        <item x="243"/>
        <item x="481"/>
        <item x="54"/>
        <item x="455"/>
        <item x="305"/>
        <item x="842"/>
        <item x="626"/>
        <item x="221"/>
        <item x="450"/>
        <item x="473"/>
        <item x="84"/>
        <item x="668"/>
        <item x="24"/>
        <item x="863"/>
        <item x="316"/>
        <item x="760"/>
        <item x="236"/>
        <item x="172"/>
        <item x="385"/>
        <item x="424"/>
        <item x="865"/>
        <item x="257"/>
        <item x="224"/>
        <item x="34"/>
        <item x="713"/>
        <item x="465"/>
        <item x="231"/>
        <item x="512"/>
        <item x="289"/>
        <item x="875"/>
        <item x="679"/>
        <item x="751"/>
        <item x="361"/>
        <item x="19"/>
        <item x="0"/>
        <item x="192"/>
        <item x="11"/>
        <item x="280"/>
        <item x="413"/>
        <item x="628"/>
        <item x="505"/>
        <item x="140"/>
        <item x="755"/>
        <item x="817"/>
        <item x="159"/>
        <item x="148"/>
        <item x="531"/>
        <item x="730"/>
        <item x="264"/>
        <item x="725"/>
        <item x="710"/>
        <item x="197"/>
        <item x="558"/>
        <item x="499"/>
        <item x="42"/>
        <item x="592"/>
        <item x="319"/>
        <item x="449"/>
        <item x="641"/>
        <item x="279"/>
        <item x="9"/>
        <item x="49"/>
        <item x="534"/>
        <item x="133"/>
        <item x="173"/>
        <item x="487"/>
        <item x="645"/>
        <item x="714"/>
        <item x="500"/>
        <item x="333"/>
        <item x="780"/>
        <item x="83"/>
        <item x="155"/>
        <item x="422"/>
        <item x="151"/>
        <item x="239"/>
        <item x="259"/>
        <item x="90"/>
        <item x="773"/>
        <item x="589"/>
        <item x="158"/>
        <item x="726"/>
        <item x="3"/>
        <item x="97"/>
        <item x="786"/>
        <item x="638"/>
        <item x="686"/>
        <item x="226"/>
        <item x="723"/>
        <item x="364"/>
        <item x="120"/>
        <item x="315"/>
        <item x="188"/>
        <item x="73"/>
        <item x="203"/>
        <item x="356"/>
        <item x="769"/>
        <item x="147"/>
        <item x="658"/>
        <item x="636"/>
        <item x="861"/>
        <item x="625"/>
        <item x="498"/>
        <item x="813"/>
        <item x="357"/>
        <item x="646"/>
        <item x="211"/>
        <item x="779"/>
        <item x="601"/>
        <item x="824"/>
        <item x="358"/>
        <item x="631"/>
        <item x="839"/>
        <item x="793"/>
        <item x="321"/>
        <item x="121"/>
        <item x="292"/>
        <item x="432"/>
        <item x="567"/>
        <item x="479"/>
        <item x="204"/>
        <item x="152"/>
        <item x="386"/>
        <item x="516"/>
        <item x="156"/>
        <item x="387"/>
        <item x="561"/>
        <item x="462"/>
        <item x="691"/>
        <item x="670"/>
        <item x="653"/>
        <item x="85"/>
        <item x="486"/>
        <item x="171"/>
        <item x="339"/>
        <item x="685"/>
        <item x="573"/>
        <item x="604"/>
        <item x="650"/>
        <item x="142"/>
        <item x="632"/>
        <item x="851"/>
        <item x="816"/>
        <item x="563"/>
        <item x="439"/>
        <item x="603"/>
        <item x="448"/>
        <item x="770"/>
        <item x="596"/>
        <item x="242"/>
        <item x="132"/>
        <item x="574"/>
        <item x="690"/>
        <item x="72"/>
        <item x="532"/>
        <item x="453"/>
        <item x="717"/>
        <item x="278"/>
        <item x="209"/>
        <item x="652"/>
        <item x="70"/>
        <item x="797"/>
        <item x="578"/>
        <item x="781"/>
        <item x="92"/>
        <item x="469"/>
        <item x="436"/>
        <item x="492"/>
        <item x="217"/>
        <item x="778"/>
        <item x="216"/>
        <item x="297"/>
        <item x="223"/>
        <item x="434"/>
        <item x="494"/>
        <item x="349"/>
        <item x="407"/>
        <item x="45"/>
        <item x="483"/>
        <item x="463"/>
        <item x="840"/>
        <item x="362"/>
        <item x="507"/>
        <item x="665"/>
        <item x="318"/>
        <item x="322"/>
        <item x="659"/>
        <item x="62"/>
        <item x="854"/>
        <item x="205"/>
        <item x="31"/>
        <item x="420"/>
        <item x="244"/>
        <item x="681"/>
        <item x="771"/>
        <item x="590"/>
        <item x="721"/>
        <item x="347"/>
        <item x="647"/>
        <item x="635"/>
        <item x="374"/>
        <item x="376"/>
        <item x="837"/>
        <item x="284"/>
        <item x="149"/>
        <item x="613"/>
        <item x="268"/>
        <item x="177"/>
        <item x="697"/>
        <item x="207"/>
        <item x="232"/>
        <item x="28"/>
        <item x="506"/>
        <item x="480"/>
        <item x="716"/>
        <item x="234"/>
        <item x="810"/>
        <item x="359"/>
        <item x="693"/>
        <item x="352"/>
        <item x="193"/>
        <item x="206"/>
        <item x="727"/>
        <item x="248"/>
        <item x="48"/>
        <item x="273"/>
        <item x="153"/>
        <item x="196"/>
        <item x="43"/>
        <item x="525"/>
        <item x="491"/>
        <item x="849"/>
        <item x="737"/>
        <item x="294"/>
        <item x="146"/>
        <item x="546"/>
        <item x="302"/>
        <item x="38"/>
        <item x="176"/>
        <item x="40"/>
        <item x="822"/>
        <item x="89"/>
        <item x="607"/>
        <item x="168"/>
        <item x="380"/>
        <item x="707"/>
        <item x="554"/>
        <item x="93"/>
        <item x="556"/>
        <item x="249"/>
        <item x="136"/>
        <item x="555"/>
        <item x="661"/>
        <item x="46"/>
        <item x="18"/>
        <item x="306"/>
        <item x="674"/>
        <item x="384"/>
        <item x="728"/>
        <item x="501"/>
        <item x="215"/>
        <item x="65"/>
        <item x="365"/>
        <item x="5"/>
        <item x="421"/>
        <item x="437"/>
        <item x="676"/>
        <item x="868"/>
        <item x="874"/>
        <item x="475"/>
        <item x="838"/>
        <item x="609"/>
        <item x="389"/>
        <item x="108"/>
        <item x="355"/>
        <item x="804"/>
        <item x="466"/>
        <item x="201"/>
        <item x="110"/>
        <item x="446"/>
        <item x="547"/>
        <item x="20"/>
        <item x="103"/>
        <item x="566"/>
        <item x="536"/>
        <item x="402"/>
        <item x="368"/>
        <item x="474"/>
        <item x="775"/>
        <item x="619"/>
        <item x="657"/>
        <item x="350"/>
        <item x="639"/>
        <item x="648"/>
        <item x="504"/>
        <item x="759"/>
        <item x="829"/>
        <item x="489"/>
        <item x="718"/>
        <item x="618"/>
        <item x="633"/>
        <item x="324"/>
        <item x="298"/>
        <item x="836"/>
        <item x="591"/>
        <item x="428"/>
        <item x="114"/>
        <item x="517"/>
        <item x="708"/>
        <item x="662"/>
        <item x="266"/>
        <item x="712"/>
        <item x="106"/>
        <item x="703"/>
        <item x="774"/>
        <item x="401"/>
        <item x="673"/>
        <item x="772"/>
        <item x="381"/>
        <item x="2"/>
        <item x="634"/>
        <item x="76"/>
        <item x="537"/>
        <item x="847"/>
        <item x="597"/>
        <item x="521"/>
        <item x="91"/>
        <item x="485"/>
        <item x="15"/>
        <item x="611"/>
        <item x="327"/>
        <item x="29"/>
        <item x="118"/>
        <item x="396"/>
        <item x="102"/>
        <item x="864"/>
        <item x="627"/>
        <item x="245"/>
        <item x="418"/>
        <item x="678"/>
        <item x="228"/>
        <item x="323"/>
        <item x="372"/>
        <item x="509"/>
        <item x="225"/>
        <item x="610"/>
        <item x="598"/>
        <item x="735"/>
        <item x="825"/>
        <item x="529"/>
        <item x="615"/>
        <item x="394"/>
        <item x="427"/>
        <item x="326"/>
        <item x="178"/>
        <item x="692"/>
        <item x="663"/>
        <item x="409"/>
        <item x="115"/>
        <item x="37"/>
        <item x="1"/>
        <item x="82"/>
        <item x="185"/>
        <item x="30"/>
        <item x="41"/>
        <item x="169"/>
        <item x="784"/>
        <item x="101"/>
        <item x="807"/>
        <item x="411"/>
        <item x="510"/>
        <item x="7"/>
        <item x="198"/>
        <item x="126"/>
        <item x="761"/>
        <item x="425"/>
        <item x="366"/>
        <item x="457"/>
        <item x="743"/>
        <item x="523"/>
        <item x="414"/>
        <item x="844"/>
        <item x="672"/>
        <item x="281"/>
        <item x="369"/>
        <item x="826"/>
        <item x="461"/>
        <item x="14"/>
        <item x="482"/>
        <item x="391"/>
        <item x="454"/>
        <item x="331"/>
        <item x="309"/>
        <item x="403"/>
        <item x="675"/>
        <item x="739"/>
        <item x="119"/>
        <item x="61"/>
        <item x="845"/>
        <item x="484"/>
        <item x="351"/>
        <item x="134"/>
        <item x="408"/>
        <item x="377"/>
        <item x="270"/>
        <item x="235"/>
        <item x="32"/>
        <item x="570"/>
        <item x="354"/>
        <item x="833"/>
        <item x="295"/>
        <item x="261"/>
        <item x="468"/>
        <item x="748"/>
        <item x="293"/>
        <item x="538"/>
        <item x="582"/>
        <item x="853"/>
        <item x="445"/>
        <item x="397"/>
        <item x="98"/>
        <item x="719"/>
        <item x="191"/>
        <item x="579"/>
        <item t="default"/>
      </items>
    </pivotField>
    <pivotField showAll="0"/>
    <pivotField showAll="0">
      <items count="3">
        <item x="0"/>
        <item x="1"/>
        <item t="default"/>
      </items>
    </pivotField>
    <pivotField showAll="0">
      <items count="81">
        <item x="75"/>
        <item x="20"/>
        <item x="9"/>
        <item x="62"/>
        <item x="67"/>
        <item x="40"/>
        <item x="22"/>
        <item x="0"/>
        <item x="76"/>
        <item x="28"/>
        <item x="1"/>
        <item x="51"/>
        <item x="50"/>
        <item x="30"/>
        <item x="12"/>
        <item x="41"/>
        <item x="4"/>
        <item x="63"/>
        <item x="52"/>
        <item x="66"/>
        <item x="19"/>
        <item x="65"/>
        <item x="79"/>
        <item x="14"/>
        <item x="49"/>
        <item x="25"/>
        <item x="69"/>
        <item x="2"/>
        <item x="38"/>
        <item x="68"/>
        <item x="71"/>
        <item x="32"/>
        <item x="36"/>
        <item x="35"/>
        <item x="3"/>
        <item x="74"/>
        <item x="5"/>
        <item x="7"/>
        <item x="54"/>
        <item x="24"/>
        <item x="77"/>
        <item x="70"/>
        <item x="31"/>
        <item x="72"/>
        <item x="56"/>
        <item x="29"/>
        <item x="44"/>
        <item x="57"/>
        <item x="6"/>
        <item x="47"/>
        <item x="78"/>
        <item x="13"/>
        <item x="55"/>
        <item x="60"/>
        <item x="39"/>
        <item x="15"/>
        <item x="61"/>
        <item x="33"/>
        <item x="43"/>
        <item x="17"/>
        <item x="64"/>
        <item x="42"/>
        <item x="23"/>
        <item x="45"/>
        <item x="21"/>
        <item x="58"/>
        <item x="18"/>
        <item x="26"/>
        <item x="59"/>
        <item x="34"/>
        <item x="8"/>
        <item x="11"/>
        <item x="16"/>
        <item x="73"/>
        <item x="10"/>
        <item x="37"/>
        <item x="27"/>
        <item x="46"/>
        <item x="53"/>
        <item x="48"/>
        <item t="default"/>
      </items>
    </pivotField>
    <pivotField showAll="0"/>
    <pivotField showAll="0"/>
    <pivotField showAll="0"/>
    <pivotField showAll="0"/>
    <pivotField dataField="1" showAll="0"/>
    <pivotField dataField="1" showAll="0"/>
    <pivotField showAll="0"/>
    <pivotField dataField="1" showAll="0"/>
    <pivotField showAll="0"/>
    <pivotField showAll="0">
      <items count="3">
        <item x="1"/>
        <item x="0"/>
        <item t="default"/>
      </items>
    </pivotField>
    <pivotField showAll="0">
      <items count="4">
        <item x="0"/>
        <item x="2"/>
        <item x="1"/>
        <item t="default"/>
      </items>
    </pivotField>
    <pivotField showAll="0"/>
  </pivotFields>
  <rowFields count="1">
    <field x="6"/>
  </rowFields>
  <rowItems count="12">
    <i>
      <x/>
    </i>
    <i>
      <x v="1"/>
    </i>
    <i>
      <x v="2"/>
    </i>
    <i>
      <x v="3"/>
    </i>
    <i>
      <x v="4"/>
    </i>
    <i>
      <x v="5"/>
    </i>
    <i>
      <x v="6"/>
    </i>
    <i>
      <x v="7"/>
    </i>
    <i>
      <x v="8"/>
    </i>
    <i>
      <x v="9"/>
    </i>
    <i>
      <x v="10"/>
    </i>
    <i t="grand">
      <x/>
    </i>
  </rowItems>
  <colFields count="1">
    <field x="-2"/>
  </colFields>
  <colItems count="3">
    <i>
      <x/>
    </i>
    <i i="1">
      <x v="1"/>
    </i>
    <i i="2">
      <x v="2"/>
    </i>
  </colItems>
  <dataFields count="3">
    <dataField name="Average of Overtime_Hours" fld="21" subtotal="average" baseField="6" baseItem="0"/>
    <dataField name="Avg_Performance_Rating_from_10" fld="18" subtotal="average" baseField="6" baseItem="0"/>
    <dataField name="Avg_Engagement_Score_from_100" fld="19" subtotal="average" baseField="6" baseItem="0"/>
  </dataFields>
  <formats count="1">
    <format dxfId="142">
      <pivotArea collapsedLevelsAreSubtotals="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6F6DC19-1EDB-4793-9DAD-D8C6EE479510}" name="PivotTable5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Job_Title">
  <location ref="F5:G17" firstHeaderRow="1" firstDataRow="1" firstDataCol="1"/>
  <pivotFields count="26">
    <pivotField showAll="0"/>
    <pivotField showAll="0"/>
    <pivotField showAll="0"/>
    <pivotField showAll="0">
      <items count="3">
        <item x="1"/>
        <item h="1" x="0"/>
        <item t="default"/>
      </items>
    </pivotField>
    <pivotField showAll="0"/>
    <pivotField showAll="0">
      <items count="7">
        <item x="5"/>
        <item x="2"/>
        <item x="4"/>
        <item x="3"/>
        <item x="0"/>
        <item x="1"/>
        <item t="default"/>
      </items>
    </pivotField>
    <pivotField axis="axisRow" showAll="0">
      <items count="12">
        <item x="8"/>
        <item x="6"/>
        <item x="0"/>
        <item x="9"/>
        <item x="5"/>
        <item x="3"/>
        <item x="2"/>
        <item x="7"/>
        <item x="4"/>
        <item x="1"/>
        <item x="10"/>
        <item t="default"/>
      </items>
    </pivotField>
    <pivotField showAll="0">
      <items count="6">
        <item x="0"/>
        <item x="4"/>
        <item x="1"/>
        <item x="3"/>
        <item x="2"/>
        <item t="default"/>
      </items>
    </pivotField>
    <pivotField showAll="0">
      <items count="4">
        <item x="1"/>
        <item x="2"/>
        <item x="0"/>
        <item t="default"/>
      </items>
    </pivotField>
    <pivotField showAll="0">
      <items count="3">
        <item x="0"/>
        <item x="1"/>
        <item t="default"/>
      </items>
    </pivotField>
    <pivotField showAll="0"/>
    <pivotField showAll="0"/>
    <pivotField showAll="0">
      <items count="3">
        <item x="0"/>
        <item x="1"/>
        <item t="default"/>
      </items>
    </pivotField>
    <pivotField showAll="0"/>
    <pivotField showAll="0"/>
    <pivotField showAll="0"/>
    <pivotField showAll="0"/>
    <pivotField dataField="1" showAll="0">
      <items count="22">
        <item x="6"/>
        <item x="12"/>
        <item x="9"/>
        <item x="4"/>
        <item x="18"/>
        <item x="14"/>
        <item x="19"/>
        <item x="1"/>
        <item x="15"/>
        <item x="20"/>
        <item x="16"/>
        <item x="0"/>
        <item x="7"/>
        <item x="10"/>
        <item x="2"/>
        <item x="17"/>
        <item x="13"/>
        <item x="8"/>
        <item x="3"/>
        <item x="11"/>
        <item x="5"/>
        <item t="default"/>
      </items>
    </pivotField>
    <pivotField showAll="0"/>
    <pivotField showAll="0"/>
    <pivotField showAll="0"/>
    <pivotField showAll="0"/>
    <pivotField showAll="0"/>
    <pivotField showAll="0">
      <items count="3">
        <item x="1"/>
        <item x="0"/>
        <item t="default"/>
      </items>
    </pivotField>
    <pivotField showAll="0">
      <items count="4">
        <item x="0"/>
        <item x="2"/>
        <item x="1"/>
        <item t="default"/>
      </items>
    </pivotField>
    <pivotField showAll="0"/>
  </pivotFields>
  <rowFields count="1">
    <field x="6"/>
  </rowFields>
  <rowItems count="12">
    <i>
      <x/>
    </i>
    <i>
      <x v="1"/>
    </i>
    <i>
      <x v="2"/>
    </i>
    <i>
      <x v="3"/>
    </i>
    <i>
      <x v="4"/>
    </i>
    <i>
      <x v="5"/>
    </i>
    <i>
      <x v="6"/>
    </i>
    <i>
      <x v="7"/>
    </i>
    <i>
      <x v="8"/>
    </i>
    <i>
      <x v="9"/>
    </i>
    <i>
      <x v="10"/>
    </i>
    <i t="grand">
      <x/>
    </i>
  </rowItems>
  <colItems count="1">
    <i/>
  </colItems>
  <dataFields count="1">
    <dataField name="Average of Bonus_%" fld="17" subtotal="average" baseField="6" baseItem="5"/>
  </dataFields>
  <formats count="1">
    <format dxfId="143">
      <pivotArea collapsedLevelsAreSubtotals="1" fieldPosition="0">
        <references count="1">
          <reference field="6" count="0"/>
        </references>
      </pivotArea>
    </format>
  </formats>
  <chartFormats count="9">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84B1B7C-6B7D-4E0F-B22D-0FC9F716F2DE}" name="PivotTable5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6:C9" firstHeaderRow="1" firstDataRow="1" firstDataCol="1" rowPageCount="1" colPageCount="1"/>
  <pivotFields count="26">
    <pivotField showAll="0"/>
    <pivotField showAll="0"/>
    <pivotField showAll="0"/>
    <pivotField showAll="0">
      <items count="3">
        <item x="1"/>
        <item h="1" x="0"/>
        <item t="default"/>
      </items>
    </pivotField>
    <pivotField showAll="0"/>
    <pivotField showAll="0">
      <items count="7">
        <item x="5"/>
        <item x="2"/>
        <item x="4"/>
        <item x="3"/>
        <item x="0"/>
        <item x="1"/>
        <item t="default"/>
      </items>
    </pivotField>
    <pivotField showAll="0">
      <items count="12">
        <item x="8"/>
        <item x="6"/>
        <item x="0"/>
        <item x="9"/>
        <item x="5"/>
        <item x="3"/>
        <item x="2"/>
        <item x="7"/>
        <item x="4"/>
        <item x="1"/>
        <item x="10"/>
        <item t="default"/>
      </items>
    </pivotField>
    <pivotField showAll="0">
      <items count="6">
        <item x="0"/>
        <item x="4"/>
        <item x="1"/>
        <item x="3"/>
        <item x="2"/>
        <item t="default"/>
      </items>
    </pivotField>
    <pivotField showAll="0">
      <items count="4">
        <item x="1"/>
        <item x="2"/>
        <item x="0"/>
        <item t="default"/>
      </items>
    </pivotField>
    <pivotField axis="axisRow" dataField="1" showAll="0">
      <items count="3">
        <item x="0"/>
        <item x="1"/>
        <item t="default"/>
      </items>
    </pivotField>
    <pivotField showAll="0"/>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4">
        <item x="0"/>
        <item x="2"/>
        <item x="1"/>
        <item t="default"/>
      </items>
    </pivotField>
    <pivotField showAll="0"/>
  </pivotFields>
  <rowFields count="1">
    <field x="9"/>
  </rowFields>
  <rowItems count="3">
    <i>
      <x/>
    </i>
    <i>
      <x v="1"/>
    </i>
    <i t="grand">
      <x/>
    </i>
  </rowItems>
  <colItems count="1">
    <i/>
  </colItems>
  <pageFields count="1">
    <pageField fld="12" hier="-1"/>
  </pageFields>
  <dataFields count="1">
    <dataField name="Count of Employment_Type" fld="9" subtotal="count" baseField="0" baseItem="0"/>
  </dataFields>
  <chartFormats count="1">
    <chartFormat chart="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775DDF4-B5ED-440E-B70C-042901E0B80B}"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9" firstHeaderRow="1" firstDataRow="1" firstDataCol="1"/>
  <pivotFields count="26">
    <pivotField showAll="0"/>
    <pivotField showAll="0"/>
    <pivotField showAll="0"/>
    <pivotField showAll="0">
      <items count="3">
        <item x="1"/>
        <item h="1" x="0"/>
        <item t="default"/>
      </items>
    </pivotField>
    <pivotField showAll="0"/>
    <pivotField showAll="0">
      <items count="7">
        <item x="5"/>
        <item x="2"/>
        <item x="4"/>
        <item x="3"/>
        <item x="0"/>
        <item x="1"/>
        <item t="default"/>
      </items>
    </pivotField>
    <pivotField showAll="0"/>
    <pivotField axis="axisRow" showAll="0">
      <items count="6">
        <item x="0"/>
        <item x="4"/>
        <item x="1"/>
        <item x="3"/>
        <item x="2"/>
        <item t="default"/>
      </items>
    </pivotField>
    <pivotField showAll="0">
      <items count="4">
        <item x="1"/>
        <item x="2"/>
        <item x="0"/>
        <item t="default"/>
      </items>
    </pivotField>
    <pivotField showAll="0">
      <items count="3">
        <item x="0"/>
        <item x="1"/>
        <item t="default"/>
      </items>
    </pivotField>
    <pivotField showAll="0"/>
    <pivotField showAll="0"/>
    <pivotField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pivotField showAll="0">
      <items count="3">
        <item x="1"/>
        <item x="0"/>
        <item t="default"/>
      </items>
    </pivotField>
    <pivotField showAll="0">
      <items count="4">
        <item x="0"/>
        <item x="2"/>
        <item x="1"/>
        <item t="default"/>
      </items>
    </pivotField>
    <pivotField showAll="0"/>
  </pivotFields>
  <rowFields count="1">
    <field x="7"/>
  </rowFields>
  <rowItems count="6">
    <i>
      <x/>
    </i>
    <i>
      <x v="1"/>
    </i>
    <i>
      <x v="2"/>
    </i>
    <i>
      <x v="3"/>
    </i>
    <i>
      <x v="4"/>
    </i>
    <i t="grand">
      <x/>
    </i>
  </rowItems>
  <colItems count="1">
    <i/>
  </colItems>
  <dataFields count="1">
    <dataField name="Average of Performance_Rating" fld="18" subtotal="average" baseField="7" baseItem="1"/>
  </dataFields>
  <formats count="1">
    <format dxfId="137">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BD95CC5-FBEA-4855-A23F-A8396869C086}"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C25" firstHeaderRow="1" firstDataRow="1" firstDataCol="1"/>
  <pivotFields count="26">
    <pivotField showAll="0"/>
    <pivotField showAll="0"/>
    <pivotField showAll="0"/>
    <pivotField showAll="0">
      <items count="3">
        <item x="1"/>
        <item h="1" x="0"/>
        <item t="default"/>
      </items>
    </pivotField>
    <pivotField showAll="0"/>
    <pivotField showAll="0">
      <items count="7">
        <item x="5"/>
        <item x="2"/>
        <item x="4"/>
        <item x="3"/>
        <item x="0"/>
        <item x="1"/>
        <item t="default"/>
      </items>
    </pivotField>
    <pivotField axis="axisRow" showAll="0">
      <items count="12">
        <item x="8"/>
        <item x="6"/>
        <item x="0"/>
        <item x="9"/>
        <item x="5"/>
        <item x="3"/>
        <item x="2"/>
        <item x="7"/>
        <item x="4"/>
        <item x="1"/>
        <item x="10"/>
        <item t="default"/>
      </items>
    </pivotField>
    <pivotField showAll="0">
      <items count="6">
        <item x="0"/>
        <item x="4"/>
        <item x="1"/>
        <item x="3"/>
        <item x="2"/>
        <item t="default"/>
      </items>
    </pivotField>
    <pivotField showAll="0">
      <items count="4">
        <item x="1"/>
        <item x="2"/>
        <item x="0"/>
        <item t="default"/>
      </items>
    </pivotField>
    <pivotField showAll="0">
      <items count="3">
        <item x="0"/>
        <item x="1"/>
        <item t="default"/>
      </items>
    </pivotField>
    <pivotField showAll="0"/>
    <pivotField showAll="0"/>
    <pivotField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pivotField showAll="0">
      <items count="3">
        <item x="1"/>
        <item x="0"/>
        <item t="default"/>
      </items>
    </pivotField>
    <pivotField showAll="0">
      <items count="4">
        <item x="0"/>
        <item x="2"/>
        <item x="1"/>
        <item t="default"/>
      </items>
    </pivotField>
    <pivotField showAll="0"/>
  </pivotFields>
  <rowFields count="1">
    <field x="6"/>
  </rowFields>
  <rowItems count="12">
    <i>
      <x/>
    </i>
    <i>
      <x v="1"/>
    </i>
    <i>
      <x v="2"/>
    </i>
    <i>
      <x v="3"/>
    </i>
    <i>
      <x v="4"/>
    </i>
    <i>
      <x v="5"/>
    </i>
    <i>
      <x v="6"/>
    </i>
    <i>
      <x v="7"/>
    </i>
    <i>
      <x v="8"/>
    </i>
    <i>
      <x v="9"/>
    </i>
    <i>
      <x v="10"/>
    </i>
    <i t="grand">
      <x/>
    </i>
  </rowItems>
  <colItems count="1">
    <i/>
  </colItems>
  <dataFields count="1">
    <dataField name="Average of Performance_Rating" fld="18" subtotal="average" baseField="6" baseItem="0"/>
  </dataFields>
  <formats count="1">
    <format dxfId="138">
      <pivotArea collapsedLevelsAreSubtotals="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8CF0325-4936-4311-ACD9-6EDCFA679449}"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10" firstHeaderRow="1" firstDataRow="1" firstDataCol="1"/>
  <pivotFields count="26">
    <pivotField showAll="0"/>
    <pivotField showAll="0"/>
    <pivotField showAll="0"/>
    <pivotField showAll="0">
      <items count="3">
        <item x="1"/>
        <item h="1" x="0"/>
        <item t="default"/>
      </items>
    </pivotField>
    <pivotField showAll="0"/>
    <pivotField axis="axisRow" showAll="0">
      <items count="7">
        <item x="5"/>
        <item x="2"/>
        <item x="4"/>
        <item x="3"/>
        <item x="0"/>
        <item x="1"/>
        <item t="default"/>
      </items>
    </pivotField>
    <pivotField showAll="0"/>
    <pivotField showAll="0">
      <items count="6">
        <item x="0"/>
        <item x="4"/>
        <item x="1"/>
        <item x="3"/>
        <item x="2"/>
        <item t="default"/>
      </items>
    </pivotField>
    <pivotField showAll="0">
      <items count="4">
        <item x="1"/>
        <item x="2"/>
        <item x="0"/>
        <item t="default"/>
      </items>
    </pivotField>
    <pivotField showAll="0">
      <items count="3">
        <item x="0"/>
        <item x="1"/>
        <item t="default"/>
      </items>
    </pivotField>
    <pivotField showAll="0"/>
    <pivotField showAll="0"/>
    <pivotField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pivotField showAll="0">
      <items count="3">
        <item x="1"/>
        <item x="0"/>
        <item t="default"/>
      </items>
    </pivotField>
    <pivotField showAll="0">
      <items count="4">
        <item x="0"/>
        <item x="2"/>
        <item x="1"/>
        <item t="default"/>
      </items>
    </pivotField>
    <pivotField showAll="0"/>
  </pivotFields>
  <rowFields count="1">
    <field x="5"/>
  </rowFields>
  <rowItems count="7">
    <i>
      <x/>
    </i>
    <i>
      <x v="1"/>
    </i>
    <i>
      <x v="2"/>
    </i>
    <i>
      <x v="3"/>
    </i>
    <i>
      <x v="4"/>
    </i>
    <i>
      <x v="5"/>
    </i>
    <i t="grand">
      <x/>
    </i>
  </rowItems>
  <colItems count="1">
    <i/>
  </colItems>
  <dataFields count="1">
    <dataField name="Average of Performance_Rating" fld="18" subtotal="average" baseField="5" baseItem="0"/>
  </dataFields>
  <formats count="1">
    <format dxfId="139">
      <pivotArea collapsedLevelsAreSubtotals="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B434335-7C7F-4188-A887-4384D7291842}"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20:F47" firstHeaderRow="1" firstDataRow="1" firstDataCol="1"/>
  <pivotFields count="26">
    <pivotField dataField="1" showAll="0"/>
    <pivotField showAll="0"/>
    <pivotField showAll="0"/>
    <pivotField showAll="0">
      <items count="3">
        <item x="1"/>
        <item h="1" x="0"/>
        <item t="default"/>
      </items>
    </pivotField>
    <pivotField showAll="0"/>
    <pivotField showAll="0">
      <items count="7">
        <item x="5"/>
        <item x="2"/>
        <item x="4"/>
        <item x="3"/>
        <item x="0"/>
        <item x="1"/>
        <item t="default"/>
      </items>
    </pivotField>
    <pivotField showAll="0"/>
    <pivotField showAll="0">
      <items count="6">
        <item x="0"/>
        <item x="4"/>
        <item x="1"/>
        <item x="3"/>
        <item x="2"/>
        <item t="default"/>
      </items>
    </pivotField>
    <pivotField showAll="0">
      <items count="4">
        <item x="1"/>
        <item x="2"/>
        <item x="0"/>
        <item t="default"/>
      </items>
    </pivotField>
    <pivotField showAll="0">
      <items count="3">
        <item x="0"/>
        <item x="1"/>
        <item t="default"/>
      </items>
    </pivotField>
    <pivotField showAll="0"/>
    <pivotField showAll="0"/>
    <pivotField showAll="0">
      <items count="3">
        <item x="0"/>
        <item x="1"/>
        <item t="default"/>
      </items>
    </pivotField>
    <pivotField showAll="0"/>
    <pivotField showAll="0"/>
    <pivotField showAll="0"/>
    <pivotField showAll="0"/>
    <pivotField showAll="0"/>
    <pivotField axis="axisRow" showAll="0">
      <items count="27">
        <item x="24"/>
        <item x="25"/>
        <item x="20"/>
        <item x="12"/>
        <item x="4"/>
        <item x="7"/>
        <item x="1"/>
        <item x="8"/>
        <item x="19"/>
        <item x="6"/>
        <item x="22"/>
        <item x="16"/>
        <item x="9"/>
        <item x="2"/>
        <item x="0"/>
        <item x="23"/>
        <item x="14"/>
        <item x="15"/>
        <item x="10"/>
        <item x="17"/>
        <item x="18"/>
        <item x="11"/>
        <item x="21"/>
        <item x="3"/>
        <item x="5"/>
        <item x="13"/>
        <item t="default"/>
      </items>
    </pivotField>
    <pivotField showAll="0"/>
    <pivotField showAll="0"/>
    <pivotField showAll="0"/>
    <pivotField showAll="0"/>
    <pivotField showAll="0">
      <items count="3">
        <item x="1"/>
        <item x="0"/>
        <item t="default"/>
      </items>
    </pivotField>
    <pivotField showAll="0">
      <items count="4">
        <item x="0"/>
        <item x="2"/>
        <item x="1"/>
        <item t="default"/>
      </items>
    </pivotField>
    <pivotField showAll="0"/>
  </pivotFields>
  <rowFields count="1">
    <field x="18"/>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Count of Employee_ID" fld="0" subtotal="count" baseField="0" baseItem="0"/>
  </dataField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31ED2DA-DAAD-4F05-9ED5-E3D4983F45E8}"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0:M22" firstHeaderRow="0" firstDataRow="1" firstDataCol="1"/>
  <pivotFields count="26">
    <pivotField showAll="0"/>
    <pivotField showAll="0"/>
    <pivotField showAll="0"/>
    <pivotField showAll="0">
      <items count="3">
        <item x="1"/>
        <item h="1" x="0"/>
        <item t="default"/>
      </items>
    </pivotField>
    <pivotField showAll="0"/>
    <pivotField showAll="0">
      <items count="7">
        <item x="5"/>
        <item x="2"/>
        <item x="4"/>
        <item x="3"/>
        <item x="0"/>
        <item x="1"/>
        <item t="default"/>
      </items>
    </pivotField>
    <pivotField axis="axisRow" dataField="1" showAll="0">
      <items count="12">
        <item x="8"/>
        <item x="6"/>
        <item x="0"/>
        <item x="9"/>
        <item x="5"/>
        <item x="3"/>
        <item x="2"/>
        <item x="7"/>
        <item x="4"/>
        <item x="1"/>
        <item x="10"/>
        <item t="default"/>
      </items>
    </pivotField>
    <pivotField showAll="0">
      <items count="6">
        <item x="0"/>
        <item x="4"/>
        <item x="1"/>
        <item x="3"/>
        <item x="2"/>
        <item t="default"/>
      </items>
    </pivotField>
    <pivotField showAll="0">
      <items count="4">
        <item x="1"/>
        <item x="2"/>
        <item x="0"/>
        <item t="default"/>
      </items>
    </pivotField>
    <pivotField showAll="0">
      <items count="3">
        <item x="0"/>
        <item x="1"/>
        <item t="default"/>
      </items>
    </pivotField>
    <pivotField showAll="0"/>
    <pivotField showAll="0"/>
    <pivotField showAll="0">
      <items count="3">
        <item x="0"/>
        <item x="1"/>
        <item t="default"/>
      </items>
    </pivotField>
    <pivotField showAll="0"/>
    <pivotField showAll="0"/>
    <pivotField showAll="0"/>
    <pivotField dataField="1" showAll="0"/>
    <pivotField showAll="0"/>
    <pivotField dataField="1" showAll="0">
      <items count="27">
        <item x="24"/>
        <item x="25"/>
        <item x="20"/>
        <item x="12"/>
        <item x="4"/>
        <item x="7"/>
        <item x="1"/>
        <item x="8"/>
        <item x="19"/>
        <item x="6"/>
        <item x="22"/>
        <item x="16"/>
        <item x="9"/>
        <item x="2"/>
        <item x="0"/>
        <item x="23"/>
        <item x="14"/>
        <item x="15"/>
        <item x="10"/>
        <item x="17"/>
        <item x="18"/>
        <item x="11"/>
        <item x="21"/>
        <item x="3"/>
        <item x="5"/>
        <item x="13"/>
        <item t="default"/>
      </items>
    </pivotField>
    <pivotField showAll="0"/>
    <pivotField showAll="0"/>
    <pivotField showAll="0"/>
    <pivotField showAll="0"/>
    <pivotField showAll="0">
      <items count="3">
        <item x="1"/>
        <item x="0"/>
        <item t="default"/>
      </items>
    </pivotField>
    <pivotField showAll="0">
      <items count="4">
        <item x="0"/>
        <item x="2"/>
        <item x="1"/>
        <item t="default"/>
      </items>
    </pivotField>
    <pivotField showAll="0"/>
  </pivotFields>
  <rowFields count="1">
    <field x="6"/>
  </rowFields>
  <rowItems count="12">
    <i>
      <x/>
    </i>
    <i>
      <x v="1"/>
    </i>
    <i>
      <x v="2"/>
    </i>
    <i>
      <x v="3"/>
    </i>
    <i>
      <x v="4"/>
    </i>
    <i>
      <x v="5"/>
    </i>
    <i>
      <x v="6"/>
    </i>
    <i>
      <x v="7"/>
    </i>
    <i>
      <x v="8"/>
    </i>
    <i>
      <x v="9"/>
    </i>
    <i>
      <x v="10"/>
    </i>
    <i t="grand">
      <x/>
    </i>
  </rowItems>
  <colFields count="1">
    <field x="-2"/>
  </colFields>
  <colItems count="3">
    <i>
      <x/>
    </i>
    <i i="1">
      <x v="1"/>
    </i>
    <i i="2">
      <x v="2"/>
    </i>
  </colItems>
  <dataFields count="3">
    <dataField name="Count of Job_Title" fld="6" subtotal="count" baseField="0" baseItem="0"/>
    <dataField name="Average of Salary_USD" fld="16" subtotal="average" baseField="6" baseItem="0"/>
    <dataField name="Average of Performance_Rating" fld="18" subtotal="average" baseField="6" baseItem="0"/>
  </dataFields>
  <formats count="2">
    <format dxfId="141">
      <pivotArea collapsedLevelsAreSubtotals="1" fieldPosition="0">
        <references count="2">
          <reference field="4294967294" count="1" selected="0">
            <x v="1"/>
          </reference>
          <reference field="6" count="0"/>
        </references>
      </pivotArea>
    </format>
    <format dxfId="140">
      <pivotArea collapsedLevelsAreSubtotals="1" fieldPosition="0">
        <references count="2">
          <reference field="4294967294" count="1" selected="0">
            <x v="2"/>
          </reference>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4CEE177-092C-4C73-80DE-3BAD880E95EF}"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3:F16" firstHeaderRow="1" firstDataRow="1" firstDataCol="1"/>
  <pivotFields count="26">
    <pivotField showAll="0"/>
    <pivotField showAll="0"/>
    <pivotField showAll="0"/>
    <pivotField showAll="0">
      <items count="3">
        <item x="1"/>
        <item h="1" x="0"/>
        <item t="default"/>
      </items>
    </pivotField>
    <pivotField showAll="0"/>
    <pivotField showAll="0">
      <items count="7">
        <item x="5"/>
        <item x="2"/>
        <item x="4"/>
        <item x="3"/>
        <item x="0"/>
        <item x="1"/>
        <item t="default"/>
      </items>
    </pivotField>
    <pivotField showAll="0"/>
    <pivotField showAll="0">
      <items count="6">
        <item x="0"/>
        <item x="4"/>
        <item x="1"/>
        <item x="3"/>
        <item x="2"/>
        <item t="default"/>
      </items>
    </pivotField>
    <pivotField showAll="0">
      <items count="4">
        <item x="1"/>
        <item x="2"/>
        <item x="0"/>
        <item t="default"/>
      </items>
    </pivotField>
    <pivotField axis="axisRow" showAll="0">
      <items count="3">
        <item x="0"/>
        <item x="1"/>
        <item t="default"/>
      </items>
    </pivotField>
    <pivotField showAll="0"/>
    <pivotField showAll="0"/>
    <pivotField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pivotField showAll="0">
      <items count="3">
        <item x="1"/>
        <item x="0"/>
        <item t="default"/>
      </items>
    </pivotField>
    <pivotField showAll="0">
      <items count="4">
        <item x="0"/>
        <item x="2"/>
        <item x="1"/>
        <item t="default"/>
      </items>
    </pivotField>
    <pivotField showAll="0"/>
  </pivotFields>
  <rowFields count="1">
    <field x="9"/>
  </rowFields>
  <rowItems count="3">
    <i>
      <x/>
    </i>
    <i>
      <x v="1"/>
    </i>
    <i t="grand">
      <x/>
    </i>
  </rowItems>
  <colItems count="1">
    <i/>
  </colItems>
  <dataFields count="1">
    <dataField name="Average of Performance_Rating" fld="18" subtotal="average"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16A4F3E-14A0-4F71-A6F1-2A16DDE712EE}"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2:C9" firstHeaderRow="1" firstDataRow="1" firstDataCol="1"/>
  <pivotFields count="26">
    <pivotField showAll="0"/>
    <pivotField showAll="0"/>
    <pivotField showAll="0"/>
    <pivotField showAll="0">
      <items count="3">
        <item x="1"/>
        <item h="1" x="0"/>
        <item t="default"/>
      </items>
    </pivotField>
    <pivotField showAll="0"/>
    <pivotField axis="axisRow" showAll="0">
      <items count="7">
        <item x="5"/>
        <item x="2"/>
        <item x="4"/>
        <item x="3"/>
        <item x="0"/>
        <item x="1"/>
        <item t="default"/>
      </items>
    </pivotField>
    <pivotField showAll="0"/>
    <pivotField showAll="0">
      <items count="6">
        <item x="0"/>
        <item x="4"/>
        <item x="1"/>
        <item x="3"/>
        <item x="2"/>
        <item t="default"/>
      </items>
    </pivotField>
    <pivotField showAll="0">
      <items count="4">
        <item x="1"/>
        <item x="2"/>
        <item x="0"/>
        <item t="default"/>
      </items>
    </pivotField>
    <pivotField showAll="0">
      <items count="3">
        <item x="0"/>
        <item x="1"/>
        <item t="default"/>
      </items>
    </pivotField>
    <pivotField showAll="0"/>
    <pivotField showAll="0"/>
    <pivotField showAll="0">
      <items count="3">
        <item x="0"/>
        <item x="1"/>
        <item t="default"/>
      </items>
    </pivotField>
    <pivotField showAll="0"/>
    <pivotField showAll="0"/>
    <pivotField showAll="0"/>
    <pivotField dataField="1" showAll="0"/>
    <pivotField showAll="0"/>
    <pivotField showAll="0"/>
    <pivotField showAll="0"/>
    <pivotField showAll="0"/>
    <pivotField showAll="0"/>
    <pivotField showAll="0"/>
    <pivotField showAll="0">
      <items count="3">
        <item x="1"/>
        <item x="0"/>
        <item t="default"/>
      </items>
    </pivotField>
    <pivotField showAll="0">
      <items count="4">
        <item x="0"/>
        <item x="2"/>
        <item x="1"/>
        <item t="default"/>
      </items>
    </pivotField>
    <pivotField showAll="0"/>
  </pivotFields>
  <rowFields count="1">
    <field x="5"/>
  </rowFields>
  <rowItems count="7">
    <i>
      <x/>
    </i>
    <i>
      <x v="1"/>
    </i>
    <i>
      <x v="2"/>
    </i>
    <i>
      <x v="3"/>
    </i>
    <i>
      <x v="4"/>
    </i>
    <i>
      <x v="5"/>
    </i>
    <i t="grand">
      <x/>
    </i>
  </rowItems>
  <colItems count="1">
    <i/>
  </colItems>
  <dataFields count="1">
    <dataField name="Sum of Salary_USD" fld="1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1480A017-C0FD-4DC6-B5E0-95FE62527416}"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15:V27" firstHeaderRow="0" firstDataRow="1" firstDataCol="1"/>
  <pivotFields count="26">
    <pivotField showAll="0"/>
    <pivotField showAll="0"/>
    <pivotField showAll="0"/>
    <pivotField showAll="0">
      <items count="3">
        <item x="1"/>
        <item h="1" x="0"/>
        <item t="default"/>
      </items>
    </pivotField>
    <pivotField showAll="0"/>
    <pivotField showAll="0">
      <items count="7">
        <item x="5"/>
        <item x="2"/>
        <item x="4"/>
        <item x="3"/>
        <item x="0"/>
        <item x="1"/>
        <item t="default"/>
      </items>
    </pivotField>
    <pivotField axis="axisRow" dataField="1" showAll="0">
      <items count="12">
        <item x="8"/>
        <item x="6"/>
        <item x="0"/>
        <item x="9"/>
        <item x="5"/>
        <item x="3"/>
        <item x="2"/>
        <item x="7"/>
        <item x="4"/>
        <item x="1"/>
        <item x="10"/>
        <item t="default"/>
      </items>
    </pivotField>
    <pivotField showAll="0">
      <items count="6">
        <item x="0"/>
        <item x="4"/>
        <item x="1"/>
        <item x="3"/>
        <item x="2"/>
        <item t="default"/>
      </items>
    </pivotField>
    <pivotField showAll="0">
      <items count="4">
        <item x="1"/>
        <item x="2"/>
        <item x="0"/>
        <item t="default"/>
      </items>
    </pivotField>
    <pivotField showAll="0">
      <items count="3">
        <item x="0"/>
        <item x="1"/>
        <item t="default"/>
      </items>
    </pivotField>
    <pivotField showAll="0"/>
    <pivotField showAll="0"/>
    <pivotField showAll="0">
      <items count="3">
        <item x="0"/>
        <item x="1"/>
        <item t="default"/>
      </items>
    </pivotField>
    <pivotField showAll="0"/>
    <pivotField showAll="0"/>
    <pivotField showAll="0"/>
    <pivotField dataField="1" showAll="0"/>
    <pivotField showAll="0"/>
    <pivotField dataField="1" showAll="0">
      <items count="27">
        <item x="24"/>
        <item x="25"/>
        <item x="20"/>
        <item x="12"/>
        <item x="4"/>
        <item x="7"/>
        <item x="1"/>
        <item x="8"/>
        <item x="19"/>
        <item x="6"/>
        <item x="22"/>
        <item x="16"/>
        <item x="9"/>
        <item x="2"/>
        <item x="0"/>
        <item x="23"/>
        <item x="14"/>
        <item x="15"/>
        <item x="10"/>
        <item x="17"/>
        <item x="18"/>
        <item x="11"/>
        <item x="21"/>
        <item x="3"/>
        <item x="5"/>
        <item x="13"/>
        <item t="default"/>
      </items>
    </pivotField>
    <pivotField showAll="0"/>
    <pivotField showAll="0"/>
    <pivotField showAll="0"/>
    <pivotField showAll="0"/>
    <pivotField showAll="0">
      <items count="3">
        <item x="1"/>
        <item x="0"/>
        <item t="default"/>
      </items>
    </pivotField>
    <pivotField showAll="0">
      <items count="4">
        <item x="0"/>
        <item x="2"/>
        <item x="1"/>
        <item t="default"/>
      </items>
    </pivotField>
    <pivotField showAll="0"/>
  </pivotFields>
  <rowFields count="1">
    <field x="6"/>
  </rowFields>
  <rowItems count="12">
    <i>
      <x/>
    </i>
    <i>
      <x v="1"/>
    </i>
    <i>
      <x v="2"/>
    </i>
    <i>
      <x v="3"/>
    </i>
    <i>
      <x v="4"/>
    </i>
    <i>
      <x v="5"/>
    </i>
    <i>
      <x v="6"/>
    </i>
    <i>
      <x v="7"/>
    </i>
    <i>
      <x v="8"/>
    </i>
    <i>
      <x v="9"/>
    </i>
    <i>
      <x v="10"/>
    </i>
    <i t="grand">
      <x/>
    </i>
  </rowItems>
  <colFields count="1">
    <field x="-2"/>
  </colFields>
  <colItems count="3">
    <i>
      <x/>
    </i>
    <i i="1">
      <x v="1"/>
    </i>
    <i i="2">
      <x v="2"/>
    </i>
  </colItems>
  <dataFields count="3">
    <dataField name="Count of Job_Title" fld="6" subtotal="count" baseField="0" baseItem="0"/>
    <dataField name="Average of Salary_USD" fld="16" subtotal="average" baseField="6" baseItem="0"/>
    <dataField name="Average of Performance_Rating" fld="18" subtotal="average" baseField="6" baseItem="0"/>
  </dataFields>
  <formats count="2">
    <format dxfId="136">
      <pivotArea collapsedLevelsAreSubtotals="1" fieldPosition="0">
        <references count="2">
          <reference field="4294967294" count="1" selected="0">
            <x v="1"/>
          </reference>
          <reference field="6" count="0"/>
        </references>
      </pivotArea>
    </format>
    <format dxfId="135">
      <pivotArea collapsedLevelsAreSubtotals="1" fieldPosition="0">
        <references count="2">
          <reference field="4294967294" count="1" selected="0">
            <x v="2"/>
          </reference>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B9C64C20-41E0-4BF4-AD8B-5E04FF24367F}"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Job_Title">
  <location ref="B18:C30" firstHeaderRow="1" firstDataRow="1" firstDataCol="1"/>
  <pivotFields count="26">
    <pivotField showAll="0"/>
    <pivotField showAll="0"/>
    <pivotField showAll="0"/>
    <pivotField showAll="0">
      <items count="3">
        <item x="1"/>
        <item h="1" x="0"/>
        <item t="default"/>
      </items>
    </pivotField>
    <pivotField showAll="0"/>
    <pivotField showAll="0">
      <items count="7">
        <item x="5"/>
        <item x="2"/>
        <item x="4"/>
        <item x="3"/>
        <item x="0"/>
        <item x="1"/>
        <item t="default"/>
      </items>
    </pivotField>
    <pivotField axis="axisRow" showAll="0">
      <items count="12">
        <item x="8"/>
        <item x="6"/>
        <item x="0"/>
        <item x="9"/>
        <item x="5"/>
        <item x="3"/>
        <item x="2"/>
        <item x="7"/>
        <item x="4"/>
        <item x="1"/>
        <item x="10"/>
        <item t="default"/>
      </items>
    </pivotField>
    <pivotField showAll="0">
      <items count="6">
        <item x="0"/>
        <item x="4"/>
        <item x="1"/>
        <item x="3"/>
        <item x="2"/>
        <item t="default"/>
      </items>
    </pivotField>
    <pivotField showAll="0">
      <items count="4">
        <item x="1"/>
        <item x="2"/>
        <item x="0"/>
        <item t="default"/>
      </items>
    </pivotField>
    <pivotField showAll="0">
      <items count="3">
        <item x="0"/>
        <item x="1"/>
        <item t="default"/>
      </items>
    </pivotField>
    <pivotField showAll="0"/>
    <pivotField showAll="0"/>
    <pivotField showAll="0">
      <items count="3">
        <item x="0"/>
        <item x="1"/>
        <item t="default"/>
      </items>
    </pivotField>
    <pivotField showAll="0"/>
    <pivotField showAll="0"/>
    <pivotField showAll="0"/>
    <pivotField dataField="1" showAll="0"/>
    <pivotField showAll="0"/>
    <pivotField showAll="0"/>
    <pivotField showAll="0"/>
    <pivotField showAll="0"/>
    <pivotField showAll="0"/>
    <pivotField showAll="0"/>
    <pivotField showAll="0">
      <items count="3">
        <item x="1"/>
        <item x="0"/>
        <item t="default"/>
      </items>
    </pivotField>
    <pivotField showAll="0">
      <items count="4">
        <item x="0"/>
        <item x="2"/>
        <item x="1"/>
        <item t="default"/>
      </items>
    </pivotField>
    <pivotField showAll="0"/>
  </pivotFields>
  <rowFields count="1">
    <field x="6"/>
  </rowFields>
  <rowItems count="12">
    <i>
      <x/>
    </i>
    <i>
      <x v="1"/>
    </i>
    <i>
      <x v="2"/>
    </i>
    <i>
      <x v="3"/>
    </i>
    <i>
      <x v="4"/>
    </i>
    <i>
      <x v="5"/>
    </i>
    <i>
      <x v="6"/>
    </i>
    <i>
      <x v="7"/>
    </i>
    <i>
      <x v="8"/>
    </i>
    <i>
      <x v="9"/>
    </i>
    <i>
      <x v="10"/>
    </i>
    <i t="grand">
      <x/>
    </i>
  </rowItems>
  <colItems count="1">
    <i/>
  </colItems>
  <dataFields count="1">
    <dataField name="Average of Salary_USD" fld="16" subtotal="average" baseField="6" baseItem="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96AC4F7-A9CA-41FB-9A9E-CED043998890}" sourceName="Department">
  <pivotTables>
    <pivotTable tabId="4" name="PivotTable17"/>
    <pivotTable tabId="4" name="PivotTable1"/>
    <pivotTable tabId="4" name="PivotTable10"/>
    <pivotTable tabId="4" name="PivotTable2"/>
    <pivotTable tabId="4" name="PivotTable59"/>
    <pivotTable tabId="4" name="PivotTable60"/>
    <pivotTable tabId="6" name="PivotTable13"/>
    <pivotTable tabId="6" name="PivotTable14"/>
    <pivotTable tabId="6" name="PivotTable15"/>
    <pivotTable tabId="8" name="PivotTable12"/>
    <pivotTable tabId="8" name="PivotTable51"/>
    <pivotTable tabId="8" name="PivotTable52"/>
    <pivotTable tabId="3" name="PivotTable12"/>
    <pivotTable tabId="5" name="PivotTable13"/>
    <pivotTable tabId="5" name="PivotTable16"/>
    <pivotTable tabId="5" name="PivotTable17"/>
    <pivotTable tabId="5" name="PivotTable18"/>
    <pivotTable tabId="5" name="PivotTable19"/>
    <pivotTable tabId="5" name="PivotTable20"/>
    <pivotTable tabId="12" name="PivotTable3"/>
    <pivotTable tabId="12" name="PivotTable57"/>
    <pivotTable tabId="12" name="PivotTable58"/>
  </pivotTables>
  <data>
    <tabular pivotCacheId="1529118972">
      <items count="6">
        <i x="5" s="1"/>
        <i x="2" s="1"/>
        <i x="4"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93F6107-3FDA-44B8-9DEE-B3B50A2F3770}" sourceName="Gender">
  <pivotTables>
    <pivotTable tabId="4" name="PivotTable17"/>
    <pivotTable tabId="4" name="PivotTable1"/>
    <pivotTable tabId="4" name="PivotTable10"/>
    <pivotTable tabId="4" name="PivotTable2"/>
    <pivotTable tabId="4" name="PivotTable59"/>
    <pivotTable tabId="4" name="PivotTable60"/>
    <pivotTable tabId="6" name="PivotTable13"/>
    <pivotTable tabId="6" name="PivotTable14"/>
    <pivotTable tabId="6" name="PivotTable15"/>
    <pivotTable tabId="8" name="PivotTable12"/>
    <pivotTable tabId="8" name="PivotTable51"/>
    <pivotTable tabId="8" name="PivotTable52"/>
    <pivotTable tabId="3" name="PivotTable12"/>
    <pivotTable tabId="5" name="PivotTable13"/>
    <pivotTable tabId="5" name="PivotTable16"/>
    <pivotTable tabId="5" name="PivotTable17"/>
    <pivotTable tabId="5" name="PivotTable18"/>
    <pivotTable tabId="5" name="PivotTable19"/>
    <pivotTable tabId="5" name="PivotTable20"/>
    <pivotTable tabId="12" name="PivotTable3"/>
    <pivotTable tabId="12" name="PivotTable57"/>
    <pivotTable tabId="12" name="PivotTable58"/>
  </pivotTables>
  <data>
    <tabular pivotCacheId="1529118972">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17CD44A1-BEA8-4D8B-B540-0513E63159B7}" sourceName="Location">
  <pivotTables>
    <pivotTable tabId="4" name="PivotTable17"/>
    <pivotTable tabId="4" name="PivotTable1"/>
    <pivotTable tabId="4" name="PivotTable10"/>
    <pivotTable tabId="4" name="PivotTable2"/>
    <pivotTable tabId="4" name="PivotTable59"/>
    <pivotTable tabId="4" name="PivotTable60"/>
    <pivotTable tabId="6" name="PivotTable13"/>
    <pivotTable tabId="6" name="PivotTable14"/>
    <pivotTable tabId="6" name="PivotTable15"/>
    <pivotTable tabId="8" name="PivotTable12"/>
    <pivotTable tabId="8" name="PivotTable51"/>
    <pivotTable tabId="8" name="PivotTable52"/>
    <pivotTable tabId="3" name="PivotTable12"/>
    <pivotTable tabId="5" name="PivotTable13"/>
    <pivotTable tabId="5" name="PivotTable16"/>
    <pivotTable tabId="5" name="PivotTable17"/>
    <pivotTable tabId="5" name="PivotTable18"/>
    <pivotTable tabId="5" name="PivotTable19"/>
    <pivotTable tabId="5" name="PivotTable20"/>
    <pivotTable tabId="12" name="PivotTable3"/>
    <pivotTable tabId="12" name="PivotTable57"/>
    <pivotTable tabId="12" name="PivotTable58"/>
  </pivotTables>
  <data>
    <tabular pivotCacheId="1529118972">
      <items count="5">
        <i x="0" s="1"/>
        <i x="4"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_Risk1" xr10:uid="{39C7CE30-00AA-481D-810B-3B264CAEDE12}" sourceName="Attrition_Risk">
  <pivotTables>
    <pivotTable tabId="4" name="PivotTable17"/>
    <pivotTable tabId="4" name="PivotTable1"/>
    <pivotTable tabId="4" name="PivotTable10"/>
    <pivotTable tabId="4" name="PivotTable2"/>
    <pivotTable tabId="4" name="PivotTable59"/>
    <pivotTable tabId="4" name="PivotTable60"/>
    <pivotTable tabId="6" name="PivotTable13"/>
    <pivotTable tabId="6" name="PivotTable14"/>
    <pivotTable tabId="6" name="PivotTable15"/>
    <pivotTable tabId="8" name="PivotTable12"/>
    <pivotTable tabId="8" name="PivotTable51"/>
    <pivotTable tabId="8" name="PivotTable52"/>
    <pivotTable tabId="3" name="PivotTable12"/>
    <pivotTable tabId="5" name="PivotTable13"/>
    <pivotTable tabId="5" name="PivotTable16"/>
    <pivotTable tabId="5" name="PivotTable17"/>
    <pivotTable tabId="5" name="PivotTable18"/>
    <pivotTable tabId="5" name="PivotTable19"/>
    <pivotTable tabId="5" name="PivotTable20"/>
    <pivotTable tabId="12" name="PivotTable3"/>
    <pivotTable tabId="12" name="PivotTable57"/>
    <pivotTable tabId="12" name="PivotTable58"/>
  </pivotTables>
  <data>
    <tabular pivotCacheId="1529118972">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1" xr10:uid="{89BD203D-5AAF-4EE4-BCB0-6178EF88B040}" sourceName="Employment_Type">
  <pivotTables>
    <pivotTable tabId="4" name="PivotTable17"/>
    <pivotTable tabId="4" name="PivotTable1"/>
    <pivotTable tabId="4" name="PivotTable10"/>
    <pivotTable tabId="4" name="PivotTable2"/>
    <pivotTable tabId="4" name="PivotTable59"/>
    <pivotTable tabId="4" name="PivotTable60"/>
    <pivotTable tabId="6" name="PivotTable13"/>
    <pivotTable tabId="6" name="PivotTable14"/>
    <pivotTable tabId="6" name="PivotTable15"/>
    <pivotTable tabId="8" name="PivotTable12"/>
    <pivotTable tabId="8" name="PivotTable51"/>
    <pivotTable tabId="8" name="PivotTable52"/>
    <pivotTable tabId="3" name="PivotTable12"/>
    <pivotTable tabId="5" name="PivotTable13"/>
    <pivotTable tabId="5" name="PivotTable16"/>
    <pivotTable tabId="5" name="PivotTable17"/>
    <pivotTable tabId="5" name="PivotTable18"/>
    <pivotTable tabId="5" name="PivotTable19"/>
    <pivotTable tabId="5" name="PivotTable20"/>
    <pivotTable tabId="12" name="PivotTable3"/>
    <pivotTable tabId="12" name="PivotTable57"/>
    <pivotTable tabId="12" name="PivotTable58"/>
  </pivotTables>
  <data>
    <tabular pivotCacheId="1529118972">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1" xr10:uid="{78689B91-0742-4172-9729-156DF6989FF3}" sourceName="Employment_Status">
  <pivotTables>
    <pivotTable tabId="4" name="PivotTable17"/>
    <pivotTable tabId="4" name="PivotTable1"/>
    <pivotTable tabId="4" name="PivotTable10"/>
    <pivotTable tabId="4" name="PivotTable2"/>
    <pivotTable tabId="4" name="PivotTable59"/>
    <pivotTable tabId="4" name="PivotTable60"/>
    <pivotTable tabId="6" name="PivotTable13"/>
    <pivotTable tabId="6" name="PivotTable14"/>
    <pivotTable tabId="6" name="PivotTable15"/>
    <pivotTable tabId="8" name="PivotTable12"/>
    <pivotTable tabId="8" name="PivotTable51"/>
    <pivotTable tabId="8" name="PivotTable52"/>
    <pivotTable tabId="3" name="PivotTable12"/>
    <pivotTable tabId="5" name="PivotTable13"/>
    <pivotTable tabId="5" name="PivotTable16"/>
    <pivotTable tabId="5" name="PivotTable17"/>
    <pivotTable tabId="5" name="PivotTable18"/>
    <pivotTable tabId="5" name="PivotTable19"/>
    <pivotTable tabId="5" name="PivotTable20"/>
    <pivotTable tabId="12" name="PivotTable3"/>
    <pivotTable tabId="12" name="PivotTable57"/>
    <pivotTable tabId="12" name="PivotTable58"/>
  </pivotTables>
  <data>
    <tabular pivotCacheId="1529118972">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_Eligible1" xr10:uid="{5B8EBB6F-AD38-4CBD-80EF-8F4FAE061D43}" sourceName="Promotion_Eligible">
  <pivotTables>
    <pivotTable tabId="4" name="PivotTable17"/>
    <pivotTable tabId="4" name="PivotTable1"/>
    <pivotTable tabId="4" name="PivotTable10"/>
    <pivotTable tabId="4" name="PivotTable2"/>
    <pivotTable tabId="4" name="PivotTable59"/>
    <pivotTable tabId="4" name="PivotTable60"/>
    <pivotTable tabId="6" name="PivotTable13"/>
    <pivotTable tabId="6" name="PivotTable14"/>
    <pivotTable tabId="6" name="PivotTable15"/>
    <pivotTable tabId="8" name="PivotTable12"/>
    <pivotTable tabId="8" name="PivotTable51"/>
    <pivotTable tabId="8" name="PivotTable52"/>
    <pivotTable tabId="3" name="PivotTable12"/>
    <pivotTable tabId="5" name="PivotTable13"/>
    <pivotTable tabId="5" name="PivotTable16"/>
    <pivotTable tabId="5" name="PivotTable17"/>
    <pivotTable tabId="5" name="PivotTable18"/>
    <pivotTable tabId="5" name="PivotTable19"/>
    <pivotTable tabId="5" name="PivotTable20"/>
    <pivotTable tabId="12" name="PivotTable3"/>
    <pivotTable tabId="12" name="PivotTable57"/>
    <pivotTable tabId="12" name="PivotTable58"/>
  </pivotTables>
  <data>
    <tabular pivotCacheId="1529118972">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Unit1" xr10:uid="{F226CE7E-8911-4EC0-9EDA-4C9F63E0824B}" sourceName="Business_Unit">
  <pivotTables>
    <pivotTable tabId="4" name="PivotTable17"/>
    <pivotTable tabId="4" name="PivotTable1"/>
    <pivotTable tabId="4" name="PivotTable10"/>
    <pivotTable tabId="4" name="PivotTable2"/>
    <pivotTable tabId="4" name="PivotTable59"/>
    <pivotTable tabId="4" name="PivotTable60"/>
    <pivotTable tabId="6" name="PivotTable13"/>
    <pivotTable tabId="6" name="PivotTable14"/>
    <pivotTable tabId="6" name="PivotTable15"/>
    <pivotTable tabId="8" name="PivotTable12"/>
    <pivotTable tabId="8" name="PivotTable51"/>
    <pivotTable tabId="8" name="PivotTable52"/>
    <pivotTable tabId="3" name="PivotTable12"/>
    <pivotTable tabId="5" name="PivotTable13"/>
    <pivotTable tabId="5" name="PivotTable16"/>
    <pivotTable tabId="5" name="PivotTable17"/>
    <pivotTable tabId="5" name="PivotTable18"/>
    <pivotTable tabId="5" name="PivotTable19"/>
    <pivotTable tabId="5" name="PivotTable20"/>
    <pivotTable tabId="12" name="PivotTable3"/>
    <pivotTable tabId="12" name="PivotTable57"/>
    <pivotTable tabId="12" name="PivotTable58"/>
  </pivotTables>
  <data>
    <tabular pivotCacheId="1529118972">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16D44074-1E74-4DD6-A5EC-11DEFB0BC9E5}" cache="Slicer_Department" caption="Department" rowHeight="222250"/>
  <slicer name="Gender" xr10:uid="{0A57408B-1C65-4D21-81C3-0F54506F5CC5}" cache="Slicer_Gender" caption="Gender" rowHeight="222250"/>
  <slicer name="Location" xr10:uid="{2F025C00-7DCE-4BA0-AD32-D89209951FFD}" cache="Slicer_Location" caption="Location" rowHeight="222250"/>
  <slicer name="Attrition_Risk 1" xr10:uid="{E02CBF2E-61A2-42DD-A64A-46562520D68B}" cache="Slicer_Attrition_Risk1" caption="Attrition_Risk" columnCount="3" rowHeight="222250"/>
  <slicer name="Employment_Type" xr10:uid="{4A835022-D7F6-4EFA-A623-57C50424AF5A}" cache="Slicer_Employment_Type1" caption="Employment_Type" rowHeight="222250"/>
  <slicer name="Employment_Status 1" xr10:uid="{3541BA98-72F6-4AE7-A1C1-E92AA0DAAF12}" cache="Slicer_Employment_Status1" caption="Employment_Status" columnCount="2" rowHeight="222250"/>
  <slicer name="Promotion_Eligible" xr10:uid="{E540B3BE-FAB4-477B-9148-9393010E36B2}" cache="Slicer_Promotion_Eligible1" caption="Promotion_Eligible" columnCount="2" rowHeight="222250"/>
  <slicer name="Business_Unit 1" xr10:uid="{F0776B22-B869-41F4-8313-3D32F5D14040}" cache="Slicer_Business_Unit1" caption="Business_Unit"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4C6481-5CC2-43AF-BD06-14422769CE91}" name="Table1" displayName="Table1" ref="A1:AB1001" totalsRowShown="0">
  <autoFilter ref="A1:AB1001" xr:uid="{224C6481-5CC2-43AF-BD06-14422769CE91}"/>
  <tableColumns count="28">
    <tableColumn id="1" xr3:uid="{739447CF-C491-4D10-930C-C0AC55E1A671}" name="Employee_ID"/>
    <tableColumn id="2" xr3:uid="{F8A634EF-7D16-4046-B530-2CD94F993C06}" name="First_Name" dataDxfId="164"/>
    <tableColumn id="3" xr3:uid="{60CA3AE8-6414-4AB5-B41E-FD72D7466001}" name="Last_Name" dataDxfId="163"/>
    <tableColumn id="4" xr3:uid="{AA1CDFEF-DAA8-4254-B4A2-F83D27106046}" name="Gender"/>
    <tableColumn id="5" xr3:uid="{12751982-C397-402A-BAA8-ECA120B52AA2}" name="Age" dataDxfId="162"/>
    <tableColumn id="6" xr3:uid="{931A4A80-8154-4171-B66C-56D2059E6B94}" name="Department" dataDxfId="161"/>
    <tableColumn id="7" xr3:uid="{E5F5C6FA-671C-4CBA-B143-E640D4FCACC1}" name="Job_Title" dataDxfId="160"/>
    <tableColumn id="8" xr3:uid="{CC93D217-46DF-4813-A504-BE1BBA51831A}" name="Location" dataDxfId="159"/>
    <tableColumn id="9" xr3:uid="{C7685351-4BF2-41C6-8399-182E242EC300}" name="Business_Unit" dataDxfId="158"/>
    <tableColumn id="10" xr3:uid="{0517DFDA-0BBF-4829-88AF-0804CBC50BB4}" name="Employment_Type" dataDxfId="157"/>
    <tableColumn id="11" xr3:uid="{08E672FB-84FF-4D19-A973-5ED48897F311}" name="Hire_Date" dataDxfId="156"/>
    <tableColumn id="12" xr3:uid="{63B4BBF5-78A3-4F4F-A454-2F22DEB41E77}" name="Termination_Date" dataDxfId="155"/>
    <tableColumn id="13" xr3:uid="{B67A9744-9A90-4C51-B116-55D7DAC9E2D6}" name="Employment_Status"/>
    <tableColumn id="14" xr3:uid="{39D3466D-3522-4268-9259-2C22D1D152E7}" name="Manager"/>
    <tableColumn id="15" xr3:uid="{79AA38C5-7D2F-4CF2-9F6F-00F20E2303E9}" name="Education"/>
    <tableColumn id="16" xr3:uid="{04FD15C1-3FF5-4789-A11B-F695BB8EEECC}" name="Experience_Years" dataDxfId="154"/>
    <tableColumn id="17" xr3:uid="{5919252D-5E33-4026-A917-53E7A4FE7CC4}" name="Salary_USD" dataDxfId="153" dataCellStyle="Currency"/>
    <tableColumn id="18" xr3:uid="{EE4B0B1B-F85C-48BB-9AB6-E0A4CC0AFDB4}" name="Bonus_%" dataDxfId="152"/>
    <tableColumn id="19" xr3:uid="{B9EBB0E7-37B3-43FD-8FFF-3EF7839EEDBD}" name="Performance_Rating" dataDxfId="151"/>
    <tableColumn id="20" xr3:uid="{A5433E0B-93EE-47CE-90C3-32FB18329305}" name="Engagement_Score" dataDxfId="150"/>
    <tableColumn id="21" xr3:uid="{63F6C72D-4093-4DE5-9481-A07D93D68456}" name="Absences" dataDxfId="149"/>
    <tableColumn id="22" xr3:uid="{1C1F854D-E4B1-4D9F-AD2D-B80ED4BB4066}" name="Overtime_Hours" dataDxfId="148"/>
    <tableColumn id="23" xr3:uid="{B0D03748-E785-4E1A-9C60-5E26820FAE26}" name="Training_Hours" dataDxfId="147"/>
    <tableColumn id="24" xr3:uid="{8B99E954-3F4B-4478-95D7-6FEDE5C27339}" name="Promotion_Eligible"/>
    <tableColumn id="25" xr3:uid="{820D8D6E-B46D-4DAB-A7D3-5B19E9C89722}" name="Attrition_Risk"/>
    <tableColumn id="26" xr3:uid="{B53FD67E-F8AE-48BA-9F25-3929C7ACC0EA}" name="Tenure_Years" dataDxfId="146"/>
    <tableColumn id="27" xr3:uid="{B387905B-F20C-421B-810E-5CFCED31F7B4}" name="Year_of_Joining" dataDxfId="145">
      <calculatedColumnFormula>YEAR(Table1[Hire_Date])</calculatedColumnFormula>
    </tableColumn>
    <tableColumn id="28" xr3:uid="{6EE58D6C-FC56-4FAF-897D-964489BB2E62}" name="Stability" dataDxfId="144">
      <calculatedColumnFormula>IF(DATEDIF(Table1[[#This Row],[Hire_Date]],TODAY(),"Y")&gt;=10, "10+ Years", IF(DATEDIF(Table1[[#This Row],[Hire_Date]],TODAY(),"Y")&gt;=8, "8+ Years", IF(DATEDIF(Table1[[#This Row],[Hire_Date]],TODAY(),"Y")&gt;=6, "6+ Years", IF(DATEDIF(Table1[[#This Row],[Hire_Date]],TODAY(),"Y")&gt;=4, "4+ Years", IF(DATEDIF(Table1[[#This Row],[Hire_Date]],TODAY(),"Y")&gt;=2, "2+ Years", "&lt;2 Years")))))</calculatedColumnFormula>
    </tableColumn>
  </tableColumns>
  <tableStyleInfo name="TableStyleMedium11"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2.xml"/><Relationship Id="rId7" Type="http://schemas.openxmlformats.org/officeDocument/2006/relationships/drawing" Target="../drawings/drawing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21.xml"/><Relationship Id="rId7" Type="http://schemas.openxmlformats.org/officeDocument/2006/relationships/drawing" Target="../drawings/drawing4.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pivotTable" Target="../pivotTables/pivotTable24.xml"/><Relationship Id="rId5" Type="http://schemas.openxmlformats.org/officeDocument/2006/relationships/pivotTable" Target="../pivotTables/pivotTable23.xml"/><Relationship Id="rId4" Type="http://schemas.openxmlformats.org/officeDocument/2006/relationships/pivotTable" Target="../pivotTables/pivotTable2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27.xml"/><Relationship Id="rId2" Type="http://schemas.openxmlformats.org/officeDocument/2006/relationships/pivotTable" Target="../pivotTables/pivotTable26.xml"/><Relationship Id="rId1" Type="http://schemas.openxmlformats.org/officeDocument/2006/relationships/pivotTable" Target="../pivotTables/pivotTable25.xml"/><Relationship Id="rId4"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1"/>
  <sheetViews>
    <sheetView topLeftCell="P2" zoomScale="92" zoomScaleNormal="92" workbookViewId="0">
      <selection activeCell="AB3" sqref="AB3"/>
    </sheetView>
  </sheetViews>
  <sheetFormatPr defaultRowHeight="13.8" x14ac:dyDescent="0.25"/>
  <cols>
    <col min="1" max="1" width="13.8984375" customWidth="1"/>
    <col min="2" max="2" width="12.296875" style="16" customWidth="1"/>
    <col min="3" max="3" width="12.09765625" style="16" customWidth="1"/>
    <col min="4" max="4" width="8.8984375" customWidth="1"/>
    <col min="5" max="5" width="8.796875" style="15"/>
    <col min="6" max="6" width="12.8984375" style="16" customWidth="1"/>
    <col min="7" max="7" width="10.296875" style="16" customWidth="1"/>
    <col min="8" max="8" width="10" style="16" customWidth="1"/>
    <col min="9" max="9" width="14.5" style="16" customWidth="1"/>
    <col min="10" max="10" width="18.69921875" style="16" customWidth="1"/>
    <col min="11" max="11" width="11" style="17" customWidth="1"/>
    <col min="12" max="12" width="17.8984375" style="17" customWidth="1"/>
    <col min="13" max="13" width="19.796875" customWidth="1"/>
    <col min="14" max="14" width="10.3984375" customWidth="1"/>
    <col min="15" max="15" width="11.296875" customWidth="1"/>
    <col min="16" max="16" width="17.3984375" customWidth="1"/>
    <col min="17" max="17" width="12.5" style="18" customWidth="1"/>
    <col min="18" max="18" width="10.5" style="19" customWidth="1"/>
    <col min="19" max="19" width="20" style="14" customWidth="1"/>
    <col min="20" max="20" width="19" style="7" customWidth="1"/>
    <col min="21" max="21" width="10.69921875" style="15" customWidth="1"/>
    <col min="22" max="22" width="16.5" style="15" customWidth="1"/>
    <col min="23" max="23" width="15.5" style="15" customWidth="1"/>
    <col min="24" max="24" width="18.69921875" customWidth="1"/>
    <col min="25" max="25" width="14.09765625" customWidth="1"/>
    <col min="26" max="26" width="14.09765625" style="14" customWidth="1"/>
    <col min="27" max="27" width="15.796875" customWidth="1"/>
    <col min="28" max="28" width="12" customWidth="1"/>
  </cols>
  <sheetData>
    <row r="1" spans="1:28" x14ac:dyDescent="0.25">
      <c r="A1" t="s">
        <v>0</v>
      </c>
      <c r="B1" s="16" t="s">
        <v>1</v>
      </c>
      <c r="C1" s="16" t="s">
        <v>2</v>
      </c>
      <c r="D1" t="s">
        <v>3</v>
      </c>
      <c r="E1" s="15" t="s">
        <v>4</v>
      </c>
      <c r="F1" s="16" t="s">
        <v>5</v>
      </c>
      <c r="G1" s="16" t="s">
        <v>6</v>
      </c>
      <c r="H1" s="16" t="s">
        <v>7</v>
      </c>
      <c r="I1" s="16" t="s">
        <v>8</v>
      </c>
      <c r="J1" s="16" t="s">
        <v>9</v>
      </c>
      <c r="K1" s="17" t="s">
        <v>10</v>
      </c>
      <c r="L1" s="17" t="s">
        <v>11</v>
      </c>
      <c r="M1" t="s">
        <v>12</v>
      </c>
      <c r="N1" t="s">
        <v>13</v>
      </c>
      <c r="O1" t="s">
        <v>14</v>
      </c>
      <c r="P1" t="s">
        <v>15</v>
      </c>
      <c r="Q1" s="18" t="s">
        <v>16</v>
      </c>
      <c r="R1" s="19" t="s">
        <v>17</v>
      </c>
      <c r="S1" s="14" t="s">
        <v>18</v>
      </c>
      <c r="T1" s="7" t="s">
        <v>19</v>
      </c>
      <c r="U1" s="15" t="s">
        <v>20</v>
      </c>
      <c r="V1" s="15" t="s">
        <v>21</v>
      </c>
      <c r="W1" s="15" t="s">
        <v>22</v>
      </c>
      <c r="X1" t="s">
        <v>23</v>
      </c>
      <c r="Y1" t="s">
        <v>24</v>
      </c>
      <c r="Z1" s="14" t="s">
        <v>25</v>
      </c>
      <c r="AA1" s="13" t="s">
        <v>4183</v>
      </c>
      <c r="AB1" s="13" t="s">
        <v>4184</v>
      </c>
    </row>
    <row r="2" spans="1:28" x14ac:dyDescent="0.25">
      <c r="A2" t="s">
        <v>26</v>
      </c>
      <c r="B2" s="16" t="s">
        <v>27</v>
      </c>
      <c r="C2" s="16" t="s">
        <v>28</v>
      </c>
      <c r="D2" t="s">
        <v>29</v>
      </c>
      <c r="E2" s="15">
        <v>52</v>
      </c>
      <c r="F2" s="16" t="s">
        <v>30</v>
      </c>
      <c r="G2" s="16" t="s">
        <v>31</v>
      </c>
      <c r="H2" s="16" t="s">
        <v>32</v>
      </c>
      <c r="I2" s="16" t="s">
        <v>33</v>
      </c>
      <c r="J2" s="16" t="s">
        <v>34</v>
      </c>
      <c r="K2" s="17" t="s">
        <v>35</v>
      </c>
      <c r="M2" t="s">
        <v>36</v>
      </c>
      <c r="N2" t="s">
        <v>37</v>
      </c>
      <c r="O2" t="s">
        <v>38</v>
      </c>
      <c r="P2" s="15">
        <v>21</v>
      </c>
      <c r="Q2" s="18">
        <v>118808</v>
      </c>
      <c r="R2" s="19">
        <v>16</v>
      </c>
      <c r="S2" s="14">
        <v>3.9</v>
      </c>
      <c r="T2" s="7">
        <v>66</v>
      </c>
      <c r="U2" s="15">
        <v>8</v>
      </c>
      <c r="V2" s="15">
        <v>45</v>
      </c>
      <c r="W2" s="15">
        <v>35</v>
      </c>
      <c r="X2" t="s">
        <v>39</v>
      </c>
      <c r="Y2" t="s">
        <v>40</v>
      </c>
      <c r="Z2" s="14">
        <v>4.8</v>
      </c>
      <c r="AA2" s="12">
        <f>YEAR(Table1[Hire_Date])</f>
        <v>2021</v>
      </c>
      <c r="AB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3" spans="1:28" x14ac:dyDescent="0.25">
      <c r="A3" t="s">
        <v>41</v>
      </c>
      <c r="B3" s="16" t="s">
        <v>42</v>
      </c>
      <c r="C3" s="16" t="s">
        <v>43</v>
      </c>
      <c r="D3" t="s">
        <v>44</v>
      </c>
      <c r="E3" s="15">
        <v>24</v>
      </c>
      <c r="F3" s="16" t="s">
        <v>45</v>
      </c>
      <c r="G3" s="16" t="s">
        <v>46</v>
      </c>
      <c r="H3" s="16" t="s">
        <v>47</v>
      </c>
      <c r="I3" s="16" t="s">
        <v>48</v>
      </c>
      <c r="J3" s="16" t="s">
        <v>49</v>
      </c>
      <c r="K3" s="17" t="s">
        <v>50</v>
      </c>
      <c r="M3" t="s">
        <v>36</v>
      </c>
      <c r="N3" t="s">
        <v>51</v>
      </c>
      <c r="O3" t="s">
        <v>52</v>
      </c>
      <c r="P3" s="15">
        <v>9</v>
      </c>
      <c r="Q3" s="18">
        <v>71860</v>
      </c>
      <c r="R3" s="19">
        <v>12</v>
      </c>
      <c r="S3" s="14">
        <v>3.1</v>
      </c>
      <c r="T3" s="7">
        <v>100</v>
      </c>
      <c r="U3" s="15">
        <v>20</v>
      </c>
      <c r="V3" s="15">
        <v>50</v>
      </c>
      <c r="W3" s="15">
        <v>52</v>
      </c>
      <c r="X3" t="s">
        <v>39</v>
      </c>
      <c r="Y3" t="s">
        <v>40</v>
      </c>
      <c r="Z3" s="14">
        <v>1</v>
      </c>
      <c r="AA3" s="12">
        <f>YEAR(Table1[Hire_Date])</f>
        <v>2025</v>
      </c>
      <c r="AB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4" spans="1:28" x14ac:dyDescent="0.25">
      <c r="A4" t="s">
        <v>53</v>
      </c>
      <c r="B4" s="16" t="s">
        <v>54</v>
      </c>
      <c r="C4" s="16" t="s">
        <v>55</v>
      </c>
      <c r="D4" t="s">
        <v>29</v>
      </c>
      <c r="E4" s="15">
        <v>59</v>
      </c>
      <c r="F4" s="16" t="s">
        <v>30</v>
      </c>
      <c r="G4" s="16" t="s">
        <v>13</v>
      </c>
      <c r="H4" s="16" t="s">
        <v>56</v>
      </c>
      <c r="I4" s="16" t="s">
        <v>57</v>
      </c>
      <c r="J4" s="16" t="s">
        <v>49</v>
      </c>
      <c r="K4" s="17" t="s">
        <v>58</v>
      </c>
      <c r="M4" t="s">
        <v>36</v>
      </c>
      <c r="N4" t="s">
        <v>59</v>
      </c>
      <c r="O4" t="s">
        <v>60</v>
      </c>
      <c r="P4" s="15">
        <v>31</v>
      </c>
      <c r="Q4" s="18">
        <v>63154</v>
      </c>
      <c r="R4" s="19">
        <v>19</v>
      </c>
      <c r="S4" s="14">
        <v>3.1</v>
      </c>
      <c r="T4" s="7">
        <v>92</v>
      </c>
      <c r="U4" s="15">
        <v>3</v>
      </c>
      <c r="V4" s="15">
        <v>49</v>
      </c>
      <c r="W4" s="15">
        <v>46</v>
      </c>
      <c r="X4" t="s">
        <v>61</v>
      </c>
      <c r="Y4" t="s">
        <v>62</v>
      </c>
      <c r="Z4" s="14">
        <v>1.4</v>
      </c>
      <c r="AA4" s="12">
        <f>YEAR(Table1[Hire_Date])</f>
        <v>2025</v>
      </c>
      <c r="AB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5" spans="1:28" x14ac:dyDescent="0.25">
      <c r="A5" t="s">
        <v>63</v>
      </c>
      <c r="B5" s="16" t="s">
        <v>64</v>
      </c>
      <c r="C5" s="16" t="s">
        <v>65</v>
      </c>
      <c r="D5" t="s">
        <v>44</v>
      </c>
      <c r="E5" s="15">
        <v>55</v>
      </c>
      <c r="F5" s="16" t="s">
        <v>30</v>
      </c>
      <c r="G5" s="16" t="s">
        <v>31</v>
      </c>
      <c r="H5" s="16" t="s">
        <v>66</v>
      </c>
      <c r="I5" s="16" t="s">
        <v>33</v>
      </c>
      <c r="J5" s="16" t="s">
        <v>34</v>
      </c>
      <c r="K5" s="17" t="s">
        <v>67</v>
      </c>
      <c r="M5" t="s">
        <v>36</v>
      </c>
      <c r="N5" t="s">
        <v>68</v>
      </c>
      <c r="O5" t="s">
        <v>52</v>
      </c>
      <c r="P5" s="15">
        <v>8</v>
      </c>
      <c r="Q5" s="18">
        <v>80425</v>
      </c>
      <c r="R5" s="19">
        <v>12</v>
      </c>
      <c r="S5" s="14">
        <v>3.8</v>
      </c>
      <c r="T5" s="7">
        <v>73</v>
      </c>
      <c r="U5" s="15">
        <v>6</v>
      </c>
      <c r="V5" s="15">
        <v>25</v>
      </c>
      <c r="W5" s="15">
        <v>12</v>
      </c>
      <c r="X5" t="s">
        <v>61</v>
      </c>
      <c r="Y5" t="s">
        <v>40</v>
      </c>
      <c r="Z5" s="14">
        <v>4.3</v>
      </c>
      <c r="AA5" s="12">
        <f>YEAR(Table1[Hire_Date])</f>
        <v>2022</v>
      </c>
      <c r="AB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6" spans="1:28" x14ac:dyDescent="0.25">
      <c r="A6" t="s">
        <v>69</v>
      </c>
      <c r="B6" s="16" t="s">
        <v>70</v>
      </c>
      <c r="C6" s="16" t="s">
        <v>71</v>
      </c>
      <c r="D6" t="s">
        <v>44</v>
      </c>
      <c r="E6" s="15">
        <v>33</v>
      </c>
      <c r="F6" s="16" t="s">
        <v>72</v>
      </c>
      <c r="G6" s="16" t="s">
        <v>73</v>
      </c>
      <c r="H6" s="16" t="s">
        <v>47</v>
      </c>
      <c r="I6" s="16" t="s">
        <v>57</v>
      </c>
      <c r="J6" s="16" t="s">
        <v>34</v>
      </c>
      <c r="K6" s="17" t="s">
        <v>74</v>
      </c>
      <c r="L6" s="17" t="s">
        <v>75</v>
      </c>
      <c r="M6" t="s">
        <v>76</v>
      </c>
      <c r="N6" t="s">
        <v>77</v>
      </c>
      <c r="O6" t="s">
        <v>38</v>
      </c>
      <c r="P6" s="15">
        <v>27</v>
      </c>
      <c r="Q6" s="18">
        <v>174254</v>
      </c>
      <c r="R6" s="19">
        <v>19</v>
      </c>
      <c r="S6" s="14">
        <v>4.8</v>
      </c>
      <c r="T6" s="7">
        <v>97</v>
      </c>
      <c r="U6" s="15">
        <v>18</v>
      </c>
      <c r="V6" s="15">
        <v>37</v>
      </c>
      <c r="W6" s="15">
        <v>66</v>
      </c>
      <c r="X6" t="s">
        <v>61</v>
      </c>
      <c r="Y6" t="s">
        <v>78</v>
      </c>
      <c r="Z6" s="14">
        <v>5.3</v>
      </c>
      <c r="AA6" s="12">
        <f>YEAR(Table1[Hire_Date])</f>
        <v>2021</v>
      </c>
      <c r="AB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7" spans="1:28" x14ac:dyDescent="0.25">
      <c r="A7" t="s">
        <v>79</v>
      </c>
      <c r="B7" s="16" t="s">
        <v>80</v>
      </c>
      <c r="C7" s="16" t="s">
        <v>81</v>
      </c>
      <c r="D7" t="s">
        <v>44</v>
      </c>
      <c r="E7" s="15">
        <v>57</v>
      </c>
      <c r="F7" s="16" t="s">
        <v>45</v>
      </c>
      <c r="G7" s="16" t="s">
        <v>82</v>
      </c>
      <c r="H7" s="16" t="s">
        <v>83</v>
      </c>
      <c r="I7" s="16" t="s">
        <v>33</v>
      </c>
      <c r="J7" s="16" t="s">
        <v>34</v>
      </c>
      <c r="K7" s="17" t="s">
        <v>84</v>
      </c>
      <c r="L7" s="17" t="s">
        <v>85</v>
      </c>
      <c r="M7" t="s">
        <v>76</v>
      </c>
      <c r="N7" t="s">
        <v>86</v>
      </c>
      <c r="O7" t="s">
        <v>38</v>
      </c>
      <c r="P7" s="15">
        <v>6</v>
      </c>
      <c r="Q7" s="18">
        <v>149920</v>
      </c>
      <c r="R7" s="19">
        <v>19</v>
      </c>
      <c r="S7" s="14">
        <v>2.9</v>
      </c>
      <c r="T7" s="7">
        <v>53</v>
      </c>
      <c r="U7" s="15">
        <v>13</v>
      </c>
      <c r="V7" s="15">
        <v>5</v>
      </c>
      <c r="W7" s="15">
        <v>32</v>
      </c>
      <c r="X7" t="s">
        <v>61</v>
      </c>
      <c r="Y7" t="s">
        <v>62</v>
      </c>
      <c r="Z7" s="14">
        <v>2.2000000000000002</v>
      </c>
      <c r="AA7" s="12">
        <f>YEAR(Table1[Hire_Date])</f>
        <v>2024</v>
      </c>
      <c r="AB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8" spans="1:28" x14ac:dyDescent="0.25">
      <c r="A8" t="s">
        <v>87</v>
      </c>
      <c r="B8" s="16" t="s">
        <v>88</v>
      </c>
      <c r="C8" s="16" t="s">
        <v>89</v>
      </c>
      <c r="D8" t="s">
        <v>44</v>
      </c>
      <c r="E8" s="15">
        <v>49</v>
      </c>
      <c r="F8" s="16" t="s">
        <v>90</v>
      </c>
      <c r="G8" s="16" t="s">
        <v>13</v>
      </c>
      <c r="H8" s="16" t="s">
        <v>32</v>
      </c>
      <c r="I8" s="16" t="s">
        <v>48</v>
      </c>
      <c r="J8" s="16" t="s">
        <v>49</v>
      </c>
      <c r="K8" s="17" t="s">
        <v>91</v>
      </c>
      <c r="L8" s="17" t="s">
        <v>92</v>
      </c>
      <c r="M8" t="s">
        <v>76</v>
      </c>
      <c r="N8" t="s">
        <v>93</v>
      </c>
      <c r="O8" t="s">
        <v>38</v>
      </c>
      <c r="P8" s="15">
        <v>19</v>
      </c>
      <c r="Q8" s="18">
        <v>163556</v>
      </c>
      <c r="R8" s="19">
        <v>23</v>
      </c>
      <c r="S8" s="14">
        <v>2.9</v>
      </c>
      <c r="T8" s="7">
        <v>53</v>
      </c>
      <c r="U8" s="15">
        <v>5</v>
      </c>
      <c r="V8" s="15">
        <v>15</v>
      </c>
      <c r="W8" s="15">
        <v>31</v>
      </c>
      <c r="X8" t="s">
        <v>39</v>
      </c>
      <c r="Y8" t="s">
        <v>40</v>
      </c>
      <c r="Z8" s="14">
        <v>5.9</v>
      </c>
      <c r="AA8" s="12">
        <f>YEAR(Table1[Hire_Date])</f>
        <v>2020</v>
      </c>
      <c r="AB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9" spans="1:28" x14ac:dyDescent="0.25">
      <c r="A9" t="s">
        <v>94</v>
      </c>
      <c r="B9" s="16" t="s">
        <v>95</v>
      </c>
      <c r="C9" s="16" t="s">
        <v>96</v>
      </c>
      <c r="D9" t="s">
        <v>44</v>
      </c>
      <c r="E9" s="15">
        <v>49</v>
      </c>
      <c r="F9" s="16" t="s">
        <v>72</v>
      </c>
      <c r="G9" s="16" t="s">
        <v>97</v>
      </c>
      <c r="H9" s="16" t="s">
        <v>32</v>
      </c>
      <c r="I9" s="16" t="s">
        <v>48</v>
      </c>
      <c r="J9" s="16" t="s">
        <v>49</v>
      </c>
      <c r="K9" s="17" t="s">
        <v>98</v>
      </c>
      <c r="M9" t="s">
        <v>36</v>
      </c>
      <c r="N9" t="s">
        <v>99</v>
      </c>
      <c r="O9" t="s">
        <v>60</v>
      </c>
      <c r="P9" s="15">
        <v>23</v>
      </c>
      <c r="Q9" s="18">
        <v>164177</v>
      </c>
      <c r="R9" s="19">
        <v>8</v>
      </c>
      <c r="S9" s="14">
        <v>3.8</v>
      </c>
      <c r="T9" s="7">
        <v>77</v>
      </c>
      <c r="U9" s="15">
        <v>2</v>
      </c>
      <c r="V9" s="15">
        <v>56</v>
      </c>
      <c r="W9" s="15">
        <v>72</v>
      </c>
      <c r="X9" t="s">
        <v>39</v>
      </c>
      <c r="Y9" t="s">
        <v>62</v>
      </c>
      <c r="Z9" s="14">
        <v>0.8</v>
      </c>
      <c r="AA9" s="12">
        <f>YEAR(Table1[Hire_Date])</f>
        <v>2025</v>
      </c>
      <c r="AB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10" spans="1:28" x14ac:dyDescent="0.25">
      <c r="A10" t="s">
        <v>100</v>
      </c>
      <c r="B10" s="16" t="s">
        <v>101</v>
      </c>
      <c r="C10" s="16" t="s">
        <v>102</v>
      </c>
      <c r="D10" t="s">
        <v>44</v>
      </c>
      <c r="E10" s="15">
        <v>28</v>
      </c>
      <c r="F10" s="16" t="s">
        <v>103</v>
      </c>
      <c r="G10" s="16" t="s">
        <v>104</v>
      </c>
      <c r="H10" s="16" t="s">
        <v>47</v>
      </c>
      <c r="I10" s="16" t="s">
        <v>48</v>
      </c>
      <c r="J10" s="16" t="s">
        <v>34</v>
      </c>
      <c r="K10" s="17" t="s">
        <v>105</v>
      </c>
      <c r="M10" t="s">
        <v>36</v>
      </c>
      <c r="N10" t="s">
        <v>106</v>
      </c>
      <c r="O10" t="s">
        <v>52</v>
      </c>
      <c r="P10" s="15">
        <v>14</v>
      </c>
      <c r="Q10" s="18">
        <v>95051</v>
      </c>
      <c r="R10" s="19">
        <v>23</v>
      </c>
      <c r="S10" s="14">
        <v>4.9000000000000004</v>
      </c>
      <c r="T10" s="7">
        <v>87</v>
      </c>
      <c r="U10" s="15">
        <v>1</v>
      </c>
      <c r="V10" s="15">
        <v>29</v>
      </c>
      <c r="W10" s="15">
        <v>47</v>
      </c>
      <c r="X10" t="s">
        <v>39</v>
      </c>
      <c r="Y10" t="s">
        <v>40</v>
      </c>
      <c r="Z10" s="14">
        <v>6</v>
      </c>
      <c r="AA10" s="12">
        <f>YEAR(Table1[Hire_Date])</f>
        <v>2020</v>
      </c>
      <c r="AB1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11" spans="1:28" x14ac:dyDescent="0.25">
      <c r="A11" t="s">
        <v>107</v>
      </c>
      <c r="B11" s="16" t="s">
        <v>108</v>
      </c>
      <c r="C11" s="16" t="s">
        <v>109</v>
      </c>
      <c r="D11" t="s">
        <v>29</v>
      </c>
      <c r="E11" s="15">
        <v>44</v>
      </c>
      <c r="F11" s="16" t="s">
        <v>103</v>
      </c>
      <c r="G11" s="16" t="s">
        <v>13</v>
      </c>
      <c r="H11" s="16" t="s">
        <v>83</v>
      </c>
      <c r="I11" s="16" t="s">
        <v>48</v>
      </c>
      <c r="J11" s="16" t="s">
        <v>34</v>
      </c>
      <c r="K11" s="17" t="s">
        <v>110</v>
      </c>
      <c r="M11" t="s">
        <v>36</v>
      </c>
      <c r="N11" t="s">
        <v>111</v>
      </c>
      <c r="O11" t="s">
        <v>60</v>
      </c>
      <c r="P11" s="15">
        <v>7</v>
      </c>
      <c r="Q11" s="18">
        <v>80971</v>
      </c>
      <c r="R11" s="19">
        <v>16</v>
      </c>
      <c r="S11" s="14">
        <v>3.4</v>
      </c>
      <c r="T11" s="7">
        <v>55</v>
      </c>
      <c r="U11" s="15">
        <v>2</v>
      </c>
      <c r="V11" s="15">
        <v>35</v>
      </c>
      <c r="W11" s="15">
        <v>19</v>
      </c>
      <c r="X11" t="s">
        <v>61</v>
      </c>
      <c r="Y11" t="s">
        <v>40</v>
      </c>
      <c r="Z11" s="14">
        <v>4.5999999999999996</v>
      </c>
      <c r="AA11" s="12">
        <f>YEAR(Table1[Hire_Date])</f>
        <v>2022</v>
      </c>
      <c r="AB1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12" spans="1:28" x14ac:dyDescent="0.25">
      <c r="A12" t="s">
        <v>112</v>
      </c>
      <c r="B12" s="16" t="s">
        <v>113</v>
      </c>
      <c r="C12" s="16" t="s">
        <v>114</v>
      </c>
      <c r="D12" t="s">
        <v>44</v>
      </c>
      <c r="E12" s="15">
        <v>41</v>
      </c>
      <c r="F12" s="16" t="s">
        <v>72</v>
      </c>
      <c r="G12" s="16" t="s">
        <v>73</v>
      </c>
      <c r="H12" s="16" t="s">
        <v>83</v>
      </c>
      <c r="I12" s="16" t="s">
        <v>48</v>
      </c>
      <c r="J12" s="16" t="s">
        <v>34</v>
      </c>
      <c r="K12" s="17" t="s">
        <v>115</v>
      </c>
      <c r="M12" t="s">
        <v>36</v>
      </c>
      <c r="N12" t="s">
        <v>68</v>
      </c>
      <c r="O12" t="s">
        <v>60</v>
      </c>
      <c r="P12" s="15">
        <v>10</v>
      </c>
      <c r="Q12" s="18">
        <v>79334</v>
      </c>
      <c r="R12" s="19">
        <v>12</v>
      </c>
      <c r="S12" s="14">
        <v>3</v>
      </c>
      <c r="T12" s="7">
        <v>87</v>
      </c>
      <c r="U12" s="15">
        <v>20</v>
      </c>
      <c r="V12" s="15">
        <v>15</v>
      </c>
      <c r="W12" s="15">
        <v>8</v>
      </c>
      <c r="X12" t="s">
        <v>39</v>
      </c>
      <c r="Y12" t="s">
        <v>62</v>
      </c>
      <c r="Z12" s="14">
        <v>10</v>
      </c>
      <c r="AA12" s="12">
        <f>YEAR(Table1[Hire_Date])</f>
        <v>2016</v>
      </c>
      <c r="AB1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13" spans="1:28" x14ac:dyDescent="0.25">
      <c r="A13" t="s">
        <v>116</v>
      </c>
      <c r="B13" s="16" t="s">
        <v>117</v>
      </c>
      <c r="C13" s="16" t="s">
        <v>118</v>
      </c>
      <c r="D13" t="s">
        <v>29</v>
      </c>
      <c r="E13" s="15">
        <v>55</v>
      </c>
      <c r="F13" s="16" t="s">
        <v>30</v>
      </c>
      <c r="G13" s="16" t="s">
        <v>31</v>
      </c>
      <c r="H13" s="16" t="s">
        <v>47</v>
      </c>
      <c r="I13" s="16" t="s">
        <v>57</v>
      </c>
      <c r="J13" s="16" t="s">
        <v>49</v>
      </c>
      <c r="K13" s="17" t="s">
        <v>119</v>
      </c>
      <c r="M13" t="s">
        <v>36</v>
      </c>
      <c r="N13" t="s">
        <v>120</v>
      </c>
      <c r="O13" t="s">
        <v>60</v>
      </c>
      <c r="P13" s="15">
        <v>33</v>
      </c>
      <c r="Q13" s="18">
        <v>54114</v>
      </c>
      <c r="R13" s="19">
        <v>25</v>
      </c>
      <c r="S13" s="14">
        <v>3.4</v>
      </c>
      <c r="T13" s="7">
        <v>78</v>
      </c>
      <c r="U13" s="15">
        <v>15</v>
      </c>
      <c r="V13" s="15">
        <v>49</v>
      </c>
      <c r="W13" s="15">
        <v>15</v>
      </c>
      <c r="X13" t="s">
        <v>61</v>
      </c>
      <c r="Y13" t="s">
        <v>62</v>
      </c>
      <c r="Z13" s="14">
        <v>4.8</v>
      </c>
      <c r="AA13" s="12">
        <f>YEAR(Table1[Hire_Date])</f>
        <v>2021</v>
      </c>
      <c r="AB1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14" spans="1:28" x14ac:dyDescent="0.25">
      <c r="A14" t="s">
        <v>121</v>
      </c>
      <c r="B14" s="16" t="s">
        <v>122</v>
      </c>
      <c r="C14" s="16" t="s">
        <v>123</v>
      </c>
      <c r="D14" t="s">
        <v>44</v>
      </c>
      <c r="E14" s="15">
        <v>35</v>
      </c>
      <c r="F14" s="16" t="s">
        <v>124</v>
      </c>
      <c r="G14" s="16" t="s">
        <v>13</v>
      </c>
      <c r="H14" s="16" t="s">
        <v>83</v>
      </c>
      <c r="I14" s="16" t="s">
        <v>57</v>
      </c>
      <c r="J14" s="16" t="s">
        <v>34</v>
      </c>
      <c r="K14" s="17" t="s">
        <v>125</v>
      </c>
      <c r="M14" t="s">
        <v>36</v>
      </c>
      <c r="N14" t="s">
        <v>126</v>
      </c>
      <c r="O14" t="s">
        <v>38</v>
      </c>
      <c r="P14" s="15">
        <v>33</v>
      </c>
      <c r="Q14" s="18">
        <v>96554</v>
      </c>
      <c r="R14" s="19">
        <v>5</v>
      </c>
      <c r="S14" s="14">
        <v>3.2</v>
      </c>
      <c r="T14" s="7">
        <v>96</v>
      </c>
      <c r="U14" s="15">
        <v>10</v>
      </c>
      <c r="V14" s="15">
        <v>28</v>
      </c>
      <c r="W14" s="15">
        <v>36</v>
      </c>
      <c r="X14" t="s">
        <v>39</v>
      </c>
      <c r="Y14" t="s">
        <v>40</v>
      </c>
      <c r="Z14" s="14">
        <v>7.4</v>
      </c>
      <c r="AA14" s="12">
        <f>YEAR(Table1[Hire_Date])</f>
        <v>2019</v>
      </c>
      <c r="AB1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15" spans="1:28" x14ac:dyDescent="0.25">
      <c r="A15" t="s">
        <v>127</v>
      </c>
      <c r="B15" s="16" t="s">
        <v>128</v>
      </c>
      <c r="C15" s="16" t="s">
        <v>129</v>
      </c>
      <c r="D15" t="s">
        <v>44</v>
      </c>
      <c r="E15" s="15">
        <v>34</v>
      </c>
      <c r="F15" s="16" t="s">
        <v>45</v>
      </c>
      <c r="G15" s="16" t="s">
        <v>82</v>
      </c>
      <c r="H15" s="16" t="s">
        <v>47</v>
      </c>
      <c r="I15" s="16" t="s">
        <v>57</v>
      </c>
      <c r="J15" s="16" t="s">
        <v>34</v>
      </c>
      <c r="K15" s="17" t="s">
        <v>130</v>
      </c>
      <c r="M15" t="s">
        <v>36</v>
      </c>
      <c r="N15" t="s">
        <v>131</v>
      </c>
      <c r="O15" t="s">
        <v>38</v>
      </c>
      <c r="P15" s="15">
        <v>18</v>
      </c>
      <c r="Q15" s="18">
        <v>49646</v>
      </c>
      <c r="R15" s="19">
        <v>23</v>
      </c>
      <c r="S15" s="14">
        <v>3.7</v>
      </c>
      <c r="T15" s="7">
        <v>59</v>
      </c>
      <c r="U15" s="15">
        <v>0</v>
      </c>
      <c r="V15" s="15">
        <v>19</v>
      </c>
      <c r="W15" s="15">
        <v>45</v>
      </c>
      <c r="X15" t="s">
        <v>61</v>
      </c>
      <c r="Y15" t="s">
        <v>40</v>
      </c>
      <c r="Z15" s="14">
        <v>9.3000000000000007</v>
      </c>
      <c r="AA15" s="12">
        <f>YEAR(Table1[Hire_Date])</f>
        <v>2017</v>
      </c>
      <c r="AB1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16" spans="1:28" x14ac:dyDescent="0.25">
      <c r="A16" t="s">
        <v>132</v>
      </c>
      <c r="B16" s="16" t="s">
        <v>133</v>
      </c>
      <c r="C16" s="16" t="s">
        <v>134</v>
      </c>
      <c r="D16" t="s">
        <v>29</v>
      </c>
      <c r="E16" s="15">
        <v>27</v>
      </c>
      <c r="F16" s="16" t="s">
        <v>72</v>
      </c>
      <c r="G16" s="16" t="s">
        <v>135</v>
      </c>
      <c r="H16" s="16" t="s">
        <v>47</v>
      </c>
      <c r="I16" s="16" t="s">
        <v>57</v>
      </c>
      <c r="J16" s="16" t="s">
        <v>49</v>
      </c>
      <c r="K16" s="17" t="s">
        <v>136</v>
      </c>
      <c r="M16" t="s">
        <v>36</v>
      </c>
      <c r="N16" t="s">
        <v>137</v>
      </c>
      <c r="O16" t="s">
        <v>52</v>
      </c>
      <c r="P16" s="15">
        <v>16</v>
      </c>
      <c r="Q16" s="18">
        <v>108457</v>
      </c>
      <c r="R16" s="19">
        <v>23</v>
      </c>
      <c r="S16" s="14">
        <v>4.3</v>
      </c>
      <c r="T16" s="7">
        <v>72</v>
      </c>
      <c r="U16" s="15">
        <v>13</v>
      </c>
      <c r="V16" s="15">
        <v>58</v>
      </c>
      <c r="W16" s="15">
        <v>18</v>
      </c>
      <c r="X16" t="s">
        <v>39</v>
      </c>
      <c r="Y16" t="s">
        <v>62</v>
      </c>
      <c r="Z16" s="14">
        <v>0.5</v>
      </c>
      <c r="AA16" s="12">
        <f>YEAR(Table1[Hire_Date])</f>
        <v>2026</v>
      </c>
      <c r="AB1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17" spans="1:28" x14ac:dyDescent="0.25">
      <c r="A17" t="s">
        <v>138</v>
      </c>
      <c r="B17" s="16" t="s">
        <v>139</v>
      </c>
      <c r="C17" s="16" t="s">
        <v>140</v>
      </c>
      <c r="D17" t="s">
        <v>29</v>
      </c>
      <c r="E17" s="15">
        <v>43</v>
      </c>
      <c r="F17" s="16" t="s">
        <v>124</v>
      </c>
      <c r="G17" s="16" t="s">
        <v>141</v>
      </c>
      <c r="H17" s="16" t="s">
        <v>66</v>
      </c>
      <c r="I17" s="16" t="s">
        <v>57</v>
      </c>
      <c r="J17" s="16" t="s">
        <v>34</v>
      </c>
      <c r="K17" s="17" t="s">
        <v>142</v>
      </c>
      <c r="M17" t="s">
        <v>36</v>
      </c>
      <c r="N17" t="s">
        <v>143</v>
      </c>
      <c r="O17" t="s">
        <v>60</v>
      </c>
      <c r="P17" s="15">
        <v>29</v>
      </c>
      <c r="Q17" s="18">
        <v>155394</v>
      </c>
      <c r="R17" s="19">
        <v>17</v>
      </c>
      <c r="S17" s="14">
        <v>4.5999999999999996</v>
      </c>
      <c r="T17" s="7">
        <v>63</v>
      </c>
      <c r="U17" s="15">
        <v>7</v>
      </c>
      <c r="V17" s="15">
        <v>7</v>
      </c>
      <c r="W17" s="15">
        <v>77</v>
      </c>
      <c r="X17" t="s">
        <v>61</v>
      </c>
      <c r="Y17" t="s">
        <v>40</v>
      </c>
      <c r="Z17" s="14">
        <v>1.3</v>
      </c>
      <c r="AA17" s="12">
        <f>YEAR(Table1[Hire_Date])</f>
        <v>2025</v>
      </c>
      <c r="AB1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18" spans="1:28" x14ac:dyDescent="0.25">
      <c r="A18" t="s">
        <v>144</v>
      </c>
      <c r="B18" s="16" t="s">
        <v>145</v>
      </c>
      <c r="C18" s="16" t="s">
        <v>146</v>
      </c>
      <c r="D18" t="s">
        <v>29</v>
      </c>
      <c r="E18" s="15">
        <v>55</v>
      </c>
      <c r="F18" s="16" t="s">
        <v>103</v>
      </c>
      <c r="G18" s="16" t="s">
        <v>147</v>
      </c>
      <c r="H18" s="16" t="s">
        <v>83</v>
      </c>
      <c r="I18" s="16" t="s">
        <v>57</v>
      </c>
      <c r="J18" s="16" t="s">
        <v>49</v>
      </c>
      <c r="K18" s="17" t="s">
        <v>148</v>
      </c>
      <c r="M18" t="s">
        <v>36</v>
      </c>
      <c r="N18" t="s">
        <v>149</v>
      </c>
      <c r="O18" t="s">
        <v>52</v>
      </c>
      <c r="P18" s="15">
        <v>29</v>
      </c>
      <c r="Q18" s="18">
        <v>150830</v>
      </c>
      <c r="R18" s="19">
        <v>23</v>
      </c>
      <c r="S18" s="14">
        <v>3.1</v>
      </c>
      <c r="T18" s="7">
        <v>50</v>
      </c>
      <c r="U18" s="15">
        <v>1</v>
      </c>
      <c r="V18" s="15">
        <v>47</v>
      </c>
      <c r="W18" s="15">
        <v>12</v>
      </c>
      <c r="X18" t="s">
        <v>39</v>
      </c>
      <c r="Y18" t="s">
        <v>62</v>
      </c>
      <c r="Z18" s="14">
        <v>7.4</v>
      </c>
      <c r="AA18" s="12">
        <f>YEAR(Table1[Hire_Date])</f>
        <v>2019</v>
      </c>
      <c r="AB1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19" spans="1:28" x14ac:dyDescent="0.25">
      <c r="A19" t="s">
        <v>150</v>
      </c>
      <c r="B19" s="16" t="s">
        <v>151</v>
      </c>
      <c r="C19" s="16" t="s">
        <v>152</v>
      </c>
      <c r="D19" t="s">
        <v>29</v>
      </c>
      <c r="E19" s="15">
        <v>44</v>
      </c>
      <c r="F19" s="16" t="s">
        <v>72</v>
      </c>
      <c r="G19" s="16" t="s">
        <v>135</v>
      </c>
      <c r="H19" s="16" t="s">
        <v>66</v>
      </c>
      <c r="I19" s="16" t="s">
        <v>57</v>
      </c>
      <c r="J19" s="16" t="s">
        <v>49</v>
      </c>
      <c r="K19" s="17" t="s">
        <v>153</v>
      </c>
      <c r="L19" s="17" t="s">
        <v>154</v>
      </c>
      <c r="M19" t="s">
        <v>76</v>
      </c>
      <c r="N19" t="s">
        <v>155</v>
      </c>
      <c r="O19" t="s">
        <v>60</v>
      </c>
      <c r="P19" s="15">
        <v>7</v>
      </c>
      <c r="Q19" s="18">
        <v>111389</v>
      </c>
      <c r="R19" s="19">
        <v>5</v>
      </c>
      <c r="S19" s="14">
        <v>2.8</v>
      </c>
      <c r="T19" s="7">
        <v>64</v>
      </c>
      <c r="U19" s="15">
        <v>13</v>
      </c>
      <c r="V19" s="15">
        <v>58</v>
      </c>
      <c r="W19" s="15">
        <v>75</v>
      </c>
      <c r="X19" t="s">
        <v>61</v>
      </c>
      <c r="Y19" t="s">
        <v>40</v>
      </c>
      <c r="Z19" s="14">
        <v>10</v>
      </c>
      <c r="AA19" s="12">
        <f>YEAR(Table1[Hire_Date])</f>
        <v>2016</v>
      </c>
      <c r="AB1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20" spans="1:28" x14ac:dyDescent="0.25">
      <c r="A20" t="s">
        <v>156</v>
      </c>
      <c r="B20" s="16" t="s">
        <v>157</v>
      </c>
      <c r="C20" s="16" t="s">
        <v>158</v>
      </c>
      <c r="D20" t="s">
        <v>44</v>
      </c>
      <c r="E20" s="15">
        <v>34</v>
      </c>
      <c r="F20" s="16" t="s">
        <v>124</v>
      </c>
      <c r="G20" s="16" t="s">
        <v>141</v>
      </c>
      <c r="H20" s="16" t="s">
        <v>66</v>
      </c>
      <c r="I20" s="16" t="s">
        <v>57</v>
      </c>
      <c r="J20" s="16" t="s">
        <v>34</v>
      </c>
      <c r="K20" s="17" t="s">
        <v>159</v>
      </c>
      <c r="M20" t="s">
        <v>36</v>
      </c>
      <c r="N20" t="s">
        <v>77</v>
      </c>
      <c r="O20" t="s">
        <v>52</v>
      </c>
      <c r="P20" s="15">
        <v>33</v>
      </c>
      <c r="Q20" s="18">
        <v>88194</v>
      </c>
      <c r="R20" s="19">
        <v>22</v>
      </c>
      <c r="S20" s="14">
        <v>2.9</v>
      </c>
      <c r="T20" s="7">
        <v>96</v>
      </c>
      <c r="U20" s="15">
        <v>15</v>
      </c>
      <c r="V20" s="15">
        <v>51</v>
      </c>
      <c r="W20" s="15">
        <v>59</v>
      </c>
      <c r="X20" t="s">
        <v>39</v>
      </c>
      <c r="Y20" t="s">
        <v>62</v>
      </c>
      <c r="Z20" s="14">
        <v>2.2000000000000002</v>
      </c>
      <c r="AA20" s="12">
        <f>YEAR(Table1[Hire_Date])</f>
        <v>2024</v>
      </c>
      <c r="AB2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21" spans="1:28" x14ac:dyDescent="0.25">
      <c r="A21" t="s">
        <v>160</v>
      </c>
      <c r="B21" s="16" t="s">
        <v>161</v>
      </c>
      <c r="C21" s="16" t="s">
        <v>162</v>
      </c>
      <c r="D21" t="s">
        <v>29</v>
      </c>
      <c r="E21" s="15">
        <v>43</v>
      </c>
      <c r="F21" s="16" t="s">
        <v>72</v>
      </c>
      <c r="G21" s="16" t="s">
        <v>135</v>
      </c>
      <c r="H21" s="16" t="s">
        <v>56</v>
      </c>
      <c r="I21" s="16" t="s">
        <v>57</v>
      </c>
      <c r="J21" s="16" t="s">
        <v>49</v>
      </c>
      <c r="K21" s="17" t="s">
        <v>163</v>
      </c>
      <c r="L21" s="17" t="s">
        <v>164</v>
      </c>
      <c r="M21" t="s">
        <v>76</v>
      </c>
      <c r="N21" t="s">
        <v>165</v>
      </c>
      <c r="O21" t="s">
        <v>38</v>
      </c>
      <c r="P21" s="15">
        <v>5</v>
      </c>
      <c r="Q21" s="18">
        <v>144840</v>
      </c>
      <c r="R21" s="19">
        <v>7</v>
      </c>
      <c r="S21" s="14">
        <v>5</v>
      </c>
      <c r="T21" s="7">
        <v>77</v>
      </c>
      <c r="U21" s="15">
        <v>17</v>
      </c>
      <c r="V21" s="15">
        <v>20</v>
      </c>
      <c r="W21" s="15">
        <v>56</v>
      </c>
      <c r="X21" t="s">
        <v>39</v>
      </c>
      <c r="Y21" t="s">
        <v>40</v>
      </c>
      <c r="Z21" s="14">
        <v>4.8</v>
      </c>
      <c r="AA21" s="12">
        <f>YEAR(Table1[Hire_Date])</f>
        <v>2021</v>
      </c>
      <c r="AB2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22" spans="1:28" x14ac:dyDescent="0.25">
      <c r="A22" t="s">
        <v>166</v>
      </c>
      <c r="B22" s="16" t="s">
        <v>167</v>
      </c>
      <c r="C22" s="16" t="s">
        <v>168</v>
      </c>
      <c r="D22" t="s">
        <v>29</v>
      </c>
      <c r="E22" s="15">
        <v>37</v>
      </c>
      <c r="F22" s="16" t="s">
        <v>45</v>
      </c>
      <c r="G22" s="16" t="s">
        <v>46</v>
      </c>
      <c r="H22" s="16" t="s">
        <v>32</v>
      </c>
      <c r="I22" s="16" t="s">
        <v>33</v>
      </c>
      <c r="J22" s="16" t="s">
        <v>34</v>
      </c>
      <c r="K22" s="17" t="s">
        <v>169</v>
      </c>
      <c r="M22" t="s">
        <v>36</v>
      </c>
      <c r="N22" t="s">
        <v>170</v>
      </c>
      <c r="O22" t="s">
        <v>38</v>
      </c>
      <c r="P22" s="15">
        <v>10</v>
      </c>
      <c r="Q22" s="18">
        <v>101298</v>
      </c>
      <c r="R22" s="19">
        <v>23</v>
      </c>
      <c r="S22" s="14">
        <v>3.1</v>
      </c>
      <c r="T22" s="7">
        <v>87</v>
      </c>
      <c r="U22" s="15">
        <v>9</v>
      </c>
      <c r="V22" s="15">
        <v>2</v>
      </c>
      <c r="W22" s="15">
        <v>62</v>
      </c>
      <c r="X22" t="s">
        <v>61</v>
      </c>
      <c r="Y22" t="s">
        <v>40</v>
      </c>
      <c r="Z22" s="14">
        <v>1.8</v>
      </c>
      <c r="AA22" s="12">
        <f>YEAR(Table1[Hire_Date])</f>
        <v>2024</v>
      </c>
      <c r="AB2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23" spans="1:28" x14ac:dyDescent="0.25">
      <c r="A23" t="s">
        <v>171</v>
      </c>
      <c r="B23" s="16" t="s">
        <v>172</v>
      </c>
      <c r="C23" s="16" t="s">
        <v>173</v>
      </c>
      <c r="D23" t="s">
        <v>29</v>
      </c>
      <c r="E23" s="15">
        <v>37</v>
      </c>
      <c r="F23" s="16" t="s">
        <v>72</v>
      </c>
      <c r="G23" s="16" t="s">
        <v>97</v>
      </c>
      <c r="H23" s="16" t="s">
        <v>66</v>
      </c>
      <c r="I23" s="16" t="s">
        <v>33</v>
      </c>
      <c r="J23" s="16" t="s">
        <v>49</v>
      </c>
      <c r="K23" s="17" t="s">
        <v>174</v>
      </c>
      <c r="M23" t="s">
        <v>36</v>
      </c>
      <c r="N23" t="s">
        <v>175</v>
      </c>
      <c r="O23" t="s">
        <v>38</v>
      </c>
      <c r="P23" s="15">
        <v>34</v>
      </c>
      <c r="Q23" s="18">
        <v>111643</v>
      </c>
      <c r="R23" s="19">
        <v>18</v>
      </c>
      <c r="S23" s="14">
        <v>4.0999999999999996</v>
      </c>
      <c r="T23" s="7">
        <v>99</v>
      </c>
      <c r="U23" s="15">
        <v>13</v>
      </c>
      <c r="V23" s="15">
        <v>45</v>
      </c>
      <c r="W23" s="15">
        <v>26</v>
      </c>
      <c r="X23" t="s">
        <v>39</v>
      </c>
      <c r="Y23" t="s">
        <v>62</v>
      </c>
      <c r="Z23" s="14">
        <v>7.6</v>
      </c>
      <c r="AA23" s="12">
        <f>YEAR(Table1[Hire_Date])</f>
        <v>2018</v>
      </c>
      <c r="AB2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24" spans="1:28" x14ac:dyDescent="0.25">
      <c r="A24" t="s">
        <v>176</v>
      </c>
      <c r="B24" s="16" t="s">
        <v>177</v>
      </c>
      <c r="C24" s="16" t="s">
        <v>178</v>
      </c>
      <c r="D24" t="s">
        <v>29</v>
      </c>
      <c r="E24" s="15">
        <v>29</v>
      </c>
      <c r="F24" s="16" t="s">
        <v>45</v>
      </c>
      <c r="G24" s="16" t="s">
        <v>82</v>
      </c>
      <c r="H24" s="16" t="s">
        <v>66</v>
      </c>
      <c r="I24" s="16" t="s">
        <v>48</v>
      </c>
      <c r="J24" s="16" t="s">
        <v>49</v>
      </c>
      <c r="K24" s="17" t="s">
        <v>179</v>
      </c>
      <c r="M24" t="s">
        <v>36</v>
      </c>
      <c r="N24" t="s">
        <v>180</v>
      </c>
      <c r="O24" t="s">
        <v>52</v>
      </c>
      <c r="P24" s="15">
        <v>8</v>
      </c>
      <c r="Q24" s="18">
        <v>112822</v>
      </c>
      <c r="R24" s="19">
        <v>24</v>
      </c>
      <c r="S24" s="14">
        <v>4.5999999999999996</v>
      </c>
      <c r="T24" s="7">
        <v>63</v>
      </c>
      <c r="U24" s="15">
        <v>4</v>
      </c>
      <c r="V24" s="15">
        <v>26</v>
      </c>
      <c r="W24" s="15">
        <v>33</v>
      </c>
      <c r="X24" t="s">
        <v>39</v>
      </c>
      <c r="Y24" t="s">
        <v>62</v>
      </c>
      <c r="Z24" s="14">
        <v>6.8</v>
      </c>
      <c r="AA24" s="12">
        <f>YEAR(Table1[Hire_Date])</f>
        <v>2019</v>
      </c>
      <c r="AB2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25" spans="1:28" x14ac:dyDescent="0.25">
      <c r="A25" t="s">
        <v>181</v>
      </c>
      <c r="B25" s="16" t="s">
        <v>182</v>
      </c>
      <c r="C25" s="16" t="s">
        <v>183</v>
      </c>
      <c r="D25" t="s">
        <v>44</v>
      </c>
      <c r="E25" s="15">
        <v>42</v>
      </c>
      <c r="F25" s="16" t="s">
        <v>72</v>
      </c>
      <c r="G25" s="16" t="s">
        <v>73</v>
      </c>
      <c r="H25" s="16" t="s">
        <v>83</v>
      </c>
      <c r="I25" s="16" t="s">
        <v>48</v>
      </c>
      <c r="J25" s="16" t="s">
        <v>34</v>
      </c>
      <c r="K25" s="17" t="s">
        <v>184</v>
      </c>
      <c r="M25" t="s">
        <v>36</v>
      </c>
      <c r="N25" t="s">
        <v>86</v>
      </c>
      <c r="O25" t="s">
        <v>38</v>
      </c>
      <c r="P25" s="15">
        <v>3</v>
      </c>
      <c r="Q25" s="18">
        <v>71920</v>
      </c>
      <c r="R25" s="19">
        <v>25</v>
      </c>
      <c r="S25" s="14">
        <v>3.2</v>
      </c>
      <c r="T25" s="7">
        <v>63</v>
      </c>
      <c r="U25" s="15">
        <v>3</v>
      </c>
      <c r="V25" s="15">
        <v>35</v>
      </c>
      <c r="W25" s="15">
        <v>24</v>
      </c>
      <c r="X25" t="s">
        <v>61</v>
      </c>
      <c r="Y25" t="s">
        <v>78</v>
      </c>
      <c r="Z25" s="14">
        <v>7</v>
      </c>
      <c r="AA25" s="12">
        <f>YEAR(Table1[Hire_Date])</f>
        <v>2019</v>
      </c>
      <c r="AB2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26" spans="1:28" x14ac:dyDescent="0.25">
      <c r="A26" t="s">
        <v>185</v>
      </c>
      <c r="B26" s="16" t="s">
        <v>186</v>
      </c>
      <c r="C26" s="16" t="s">
        <v>187</v>
      </c>
      <c r="D26" t="s">
        <v>44</v>
      </c>
      <c r="E26" s="15">
        <v>60</v>
      </c>
      <c r="F26" s="16" t="s">
        <v>45</v>
      </c>
      <c r="G26" s="16" t="s">
        <v>82</v>
      </c>
      <c r="H26" s="16" t="s">
        <v>66</v>
      </c>
      <c r="I26" s="16" t="s">
        <v>33</v>
      </c>
      <c r="J26" s="16" t="s">
        <v>34</v>
      </c>
      <c r="K26" s="17" t="s">
        <v>188</v>
      </c>
      <c r="M26" t="s">
        <v>36</v>
      </c>
      <c r="N26" t="s">
        <v>189</v>
      </c>
      <c r="O26" t="s">
        <v>52</v>
      </c>
      <c r="P26" s="15">
        <v>32</v>
      </c>
      <c r="Q26" s="18">
        <v>61594</v>
      </c>
      <c r="R26" s="19">
        <v>23</v>
      </c>
      <c r="S26" s="14">
        <v>4.2</v>
      </c>
      <c r="T26" s="7">
        <v>94</v>
      </c>
      <c r="U26" s="15">
        <v>18</v>
      </c>
      <c r="V26" s="15">
        <v>31</v>
      </c>
      <c r="W26" s="15">
        <v>38</v>
      </c>
      <c r="X26" t="s">
        <v>39</v>
      </c>
      <c r="Y26" t="s">
        <v>78</v>
      </c>
      <c r="Z26" s="14">
        <v>5</v>
      </c>
      <c r="AA26" s="12">
        <f>YEAR(Table1[Hire_Date])</f>
        <v>2021</v>
      </c>
      <c r="AB2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27" spans="1:28" x14ac:dyDescent="0.25">
      <c r="A27" t="s">
        <v>190</v>
      </c>
      <c r="B27" s="16" t="s">
        <v>191</v>
      </c>
      <c r="C27" s="16" t="s">
        <v>192</v>
      </c>
      <c r="D27" t="s">
        <v>44</v>
      </c>
      <c r="E27" s="15">
        <v>26</v>
      </c>
      <c r="F27" s="16" t="s">
        <v>103</v>
      </c>
      <c r="G27" s="16" t="s">
        <v>13</v>
      </c>
      <c r="H27" s="16" t="s">
        <v>56</v>
      </c>
      <c r="I27" s="16" t="s">
        <v>57</v>
      </c>
      <c r="J27" s="16" t="s">
        <v>34</v>
      </c>
      <c r="K27" s="17" t="s">
        <v>193</v>
      </c>
      <c r="M27" t="s">
        <v>36</v>
      </c>
      <c r="N27" t="s">
        <v>194</v>
      </c>
      <c r="O27" t="s">
        <v>52</v>
      </c>
      <c r="P27" s="15">
        <v>7</v>
      </c>
      <c r="Q27" s="18">
        <v>136872</v>
      </c>
      <c r="R27" s="19">
        <v>22</v>
      </c>
      <c r="S27" s="14">
        <v>3.7</v>
      </c>
      <c r="T27" s="7">
        <v>59</v>
      </c>
      <c r="U27" s="15">
        <v>13</v>
      </c>
      <c r="V27" s="15">
        <v>60</v>
      </c>
      <c r="W27" s="15">
        <v>71</v>
      </c>
      <c r="X27" t="s">
        <v>61</v>
      </c>
      <c r="Y27" t="s">
        <v>62</v>
      </c>
      <c r="Z27" s="14">
        <v>8.9</v>
      </c>
      <c r="AA27" s="12">
        <f>YEAR(Table1[Hire_Date])</f>
        <v>2017</v>
      </c>
      <c r="AB2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28" spans="1:28" x14ac:dyDescent="0.25">
      <c r="A28" t="s">
        <v>195</v>
      </c>
      <c r="B28" s="16" t="s">
        <v>196</v>
      </c>
      <c r="C28" s="16" t="s">
        <v>197</v>
      </c>
      <c r="D28" t="s">
        <v>44</v>
      </c>
      <c r="E28" s="15">
        <v>21</v>
      </c>
      <c r="F28" s="16" t="s">
        <v>45</v>
      </c>
      <c r="G28" s="16" t="s">
        <v>46</v>
      </c>
      <c r="H28" s="16" t="s">
        <v>32</v>
      </c>
      <c r="I28" s="16" t="s">
        <v>48</v>
      </c>
      <c r="J28" s="16" t="s">
        <v>34</v>
      </c>
      <c r="K28" s="17" t="s">
        <v>198</v>
      </c>
      <c r="M28" t="s">
        <v>36</v>
      </c>
      <c r="N28" t="s">
        <v>199</v>
      </c>
      <c r="O28" t="s">
        <v>60</v>
      </c>
      <c r="P28" s="15">
        <v>27</v>
      </c>
      <c r="Q28" s="18">
        <v>76726</v>
      </c>
      <c r="R28" s="19">
        <v>6</v>
      </c>
      <c r="S28" s="14">
        <v>3.1</v>
      </c>
      <c r="T28" s="7">
        <v>92</v>
      </c>
      <c r="U28" s="15">
        <v>6</v>
      </c>
      <c r="V28" s="15">
        <v>17</v>
      </c>
      <c r="W28" s="15">
        <v>65</v>
      </c>
      <c r="X28" t="s">
        <v>61</v>
      </c>
      <c r="Y28" t="s">
        <v>78</v>
      </c>
      <c r="Z28" s="14">
        <v>9.6999999999999993</v>
      </c>
      <c r="AA28" s="12">
        <f>YEAR(Table1[Hire_Date])</f>
        <v>2016</v>
      </c>
      <c r="AB2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29" spans="1:28" x14ac:dyDescent="0.25">
      <c r="A29" t="s">
        <v>200</v>
      </c>
      <c r="B29" s="16" t="s">
        <v>201</v>
      </c>
      <c r="C29" s="16" t="s">
        <v>202</v>
      </c>
      <c r="D29" t="s">
        <v>44</v>
      </c>
      <c r="E29" s="15">
        <v>23</v>
      </c>
      <c r="F29" s="16" t="s">
        <v>103</v>
      </c>
      <c r="G29" s="16" t="s">
        <v>13</v>
      </c>
      <c r="H29" s="16" t="s">
        <v>47</v>
      </c>
      <c r="I29" s="16" t="s">
        <v>57</v>
      </c>
      <c r="J29" s="16" t="s">
        <v>49</v>
      </c>
      <c r="K29" s="17" t="s">
        <v>203</v>
      </c>
      <c r="M29" t="s">
        <v>36</v>
      </c>
      <c r="N29" t="s">
        <v>204</v>
      </c>
      <c r="O29" t="s">
        <v>38</v>
      </c>
      <c r="P29" s="15">
        <v>27</v>
      </c>
      <c r="Q29" s="18">
        <v>156168</v>
      </c>
      <c r="R29" s="19">
        <v>8</v>
      </c>
      <c r="S29" s="14">
        <v>3.8</v>
      </c>
      <c r="T29" s="7">
        <v>96</v>
      </c>
      <c r="U29" s="15">
        <v>13</v>
      </c>
      <c r="V29" s="15">
        <v>16</v>
      </c>
      <c r="W29" s="15">
        <v>61</v>
      </c>
      <c r="X29" t="s">
        <v>39</v>
      </c>
      <c r="Y29" t="s">
        <v>62</v>
      </c>
      <c r="Z29" s="14">
        <v>8.6999999999999993</v>
      </c>
      <c r="AA29" s="12">
        <f>YEAR(Table1[Hire_Date])</f>
        <v>2017</v>
      </c>
      <c r="AB2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30" spans="1:28" x14ac:dyDescent="0.25">
      <c r="A30" t="s">
        <v>205</v>
      </c>
      <c r="B30" s="16" t="s">
        <v>206</v>
      </c>
      <c r="C30" s="16" t="s">
        <v>207</v>
      </c>
      <c r="D30" t="s">
        <v>44</v>
      </c>
      <c r="E30" s="15">
        <v>42</v>
      </c>
      <c r="F30" s="16" t="s">
        <v>45</v>
      </c>
      <c r="G30" s="16" t="s">
        <v>82</v>
      </c>
      <c r="H30" s="16" t="s">
        <v>56</v>
      </c>
      <c r="I30" s="16" t="s">
        <v>33</v>
      </c>
      <c r="J30" s="16" t="s">
        <v>49</v>
      </c>
      <c r="K30" s="17" t="s">
        <v>208</v>
      </c>
      <c r="M30" t="s">
        <v>36</v>
      </c>
      <c r="N30" t="s">
        <v>209</v>
      </c>
      <c r="O30" t="s">
        <v>38</v>
      </c>
      <c r="P30" s="15">
        <v>23</v>
      </c>
      <c r="Q30" s="18">
        <v>144008</v>
      </c>
      <c r="R30" s="19">
        <v>22</v>
      </c>
      <c r="S30" s="14">
        <v>3</v>
      </c>
      <c r="T30" s="7">
        <v>68</v>
      </c>
      <c r="U30" s="15">
        <v>7</v>
      </c>
      <c r="V30" s="15">
        <v>34</v>
      </c>
      <c r="W30" s="15">
        <v>64</v>
      </c>
      <c r="X30" t="s">
        <v>39</v>
      </c>
      <c r="Y30" t="s">
        <v>78</v>
      </c>
      <c r="Z30" s="14">
        <v>2.7</v>
      </c>
      <c r="AA30" s="12">
        <f>YEAR(Table1[Hire_Date])</f>
        <v>2023</v>
      </c>
      <c r="AB3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31" spans="1:28" x14ac:dyDescent="0.25">
      <c r="A31" t="s">
        <v>210</v>
      </c>
      <c r="B31" s="16" t="s">
        <v>211</v>
      </c>
      <c r="C31" s="16" t="s">
        <v>212</v>
      </c>
      <c r="D31" t="s">
        <v>44</v>
      </c>
      <c r="E31" s="15">
        <v>33</v>
      </c>
      <c r="F31" s="16" t="s">
        <v>72</v>
      </c>
      <c r="G31" s="16" t="s">
        <v>135</v>
      </c>
      <c r="H31" s="16" t="s">
        <v>83</v>
      </c>
      <c r="I31" s="16" t="s">
        <v>57</v>
      </c>
      <c r="J31" s="16" t="s">
        <v>49</v>
      </c>
      <c r="K31" s="17" t="s">
        <v>213</v>
      </c>
      <c r="M31" t="s">
        <v>36</v>
      </c>
      <c r="N31" t="s">
        <v>214</v>
      </c>
      <c r="O31" t="s">
        <v>52</v>
      </c>
      <c r="P31" s="15">
        <v>23</v>
      </c>
      <c r="Q31" s="18">
        <v>159451</v>
      </c>
      <c r="R31" s="19">
        <v>18</v>
      </c>
      <c r="S31" s="14">
        <v>3.6</v>
      </c>
      <c r="T31" s="7">
        <v>92</v>
      </c>
      <c r="U31" s="15">
        <v>18</v>
      </c>
      <c r="V31" s="15">
        <v>53</v>
      </c>
      <c r="W31" s="15">
        <v>78</v>
      </c>
      <c r="X31" t="s">
        <v>61</v>
      </c>
      <c r="Y31" t="s">
        <v>78</v>
      </c>
      <c r="Z31" s="14">
        <v>1.3</v>
      </c>
      <c r="AA31" s="12">
        <f>YEAR(Table1[Hire_Date])</f>
        <v>2025</v>
      </c>
      <c r="AB3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32" spans="1:28" x14ac:dyDescent="0.25">
      <c r="A32" t="s">
        <v>215</v>
      </c>
      <c r="B32" s="16" t="s">
        <v>216</v>
      </c>
      <c r="C32" s="16" t="s">
        <v>217</v>
      </c>
      <c r="D32" t="s">
        <v>29</v>
      </c>
      <c r="E32" s="15">
        <v>38</v>
      </c>
      <c r="F32" s="16" t="s">
        <v>90</v>
      </c>
      <c r="G32" s="16" t="s">
        <v>13</v>
      </c>
      <c r="H32" s="16" t="s">
        <v>56</v>
      </c>
      <c r="I32" s="16" t="s">
        <v>48</v>
      </c>
      <c r="J32" s="16" t="s">
        <v>49</v>
      </c>
      <c r="K32" s="17" t="s">
        <v>218</v>
      </c>
      <c r="M32" t="s">
        <v>36</v>
      </c>
      <c r="N32" t="s">
        <v>219</v>
      </c>
      <c r="O32" t="s">
        <v>52</v>
      </c>
      <c r="P32" s="15">
        <v>26</v>
      </c>
      <c r="Q32" s="18">
        <v>148132</v>
      </c>
      <c r="R32" s="19">
        <v>23</v>
      </c>
      <c r="S32" s="14">
        <v>4.0999999999999996</v>
      </c>
      <c r="T32" s="7">
        <v>60</v>
      </c>
      <c r="U32" s="15">
        <v>14</v>
      </c>
      <c r="V32" s="15">
        <v>11</v>
      </c>
      <c r="W32" s="15">
        <v>1</v>
      </c>
      <c r="X32" t="s">
        <v>61</v>
      </c>
      <c r="Y32" t="s">
        <v>62</v>
      </c>
      <c r="Z32" s="14">
        <v>0.9</v>
      </c>
      <c r="AA32" s="12">
        <f>YEAR(Table1[Hire_Date])</f>
        <v>2025</v>
      </c>
      <c r="AB3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33" spans="1:28" x14ac:dyDescent="0.25">
      <c r="A33" t="s">
        <v>220</v>
      </c>
      <c r="B33" s="16" t="s">
        <v>221</v>
      </c>
      <c r="C33" s="16" t="s">
        <v>222</v>
      </c>
      <c r="D33" t="s">
        <v>29</v>
      </c>
      <c r="E33" s="15">
        <v>29</v>
      </c>
      <c r="F33" s="16" t="s">
        <v>103</v>
      </c>
      <c r="G33" s="16" t="s">
        <v>104</v>
      </c>
      <c r="H33" s="16" t="s">
        <v>66</v>
      </c>
      <c r="I33" s="16" t="s">
        <v>33</v>
      </c>
      <c r="J33" s="16" t="s">
        <v>49</v>
      </c>
      <c r="K33" s="17" t="s">
        <v>223</v>
      </c>
      <c r="M33" t="s">
        <v>36</v>
      </c>
      <c r="N33" t="s">
        <v>224</v>
      </c>
      <c r="O33" t="s">
        <v>60</v>
      </c>
      <c r="P33" s="15">
        <v>12</v>
      </c>
      <c r="Q33" s="18">
        <v>42731</v>
      </c>
      <c r="R33" s="19">
        <v>19</v>
      </c>
      <c r="S33" s="14">
        <v>2.8</v>
      </c>
      <c r="T33" s="7">
        <v>79</v>
      </c>
      <c r="U33" s="15">
        <v>11</v>
      </c>
      <c r="V33" s="15">
        <v>16</v>
      </c>
      <c r="W33" s="15">
        <v>77</v>
      </c>
      <c r="X33" t="s">
        <v>61</v>
      </c>
      <c r="Y33" t="s">
        <v>40</v>
      </c>
      <c r="Z33" s="14">
        <v>2.9</v>
      </c>
      <c r="AA33" s="12">
        <f>YEAR(Table1[Hire_Date])</f>
        <v>2023</v>
      </c>
      <c r="AB3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34" spans="1:28" x14ac:dyDescent="0.25">
      <c r="A34" t="s">
        <v>225</v>
      </c>
      <c r="B34" s="16" t="s">
        <v>226</v>
      </c>
      <c r="C34" s="16" t="s">
        <v>227</v>
      </c>
      <c r="D34" t="s">
        <v>29</v>
      </c>
      <c r="E34" s="15">
        <v>43</v>
      </c>
      <c r="F34" s="16" t="s">
        <v>124</v>
      </c>
      <c r="G34" s="16" t="s">
        <v>141</v>
      </c>
      <c r="H34" s="16" t="s">
        <v>56</v>
      </c>
      <c r="I34" s="16" t="s">
        <v>57</v>
      </c>
      <c r="J34" s="16" t="s">
        <v>34</v>
      </c>
      <c r="K34" s="17" t="s">
        <v>228</v>
      </c>
      <c r="M34" t="s">
        <v>36</v>
      </c>
      <c r="N34" t="s">
        <v>229</v>
      </c>
      <c r="O34" t="s">
        <v>52</v>
      </c>
      <c r="P34" s="15">
        <v>33</v>
      </c>
      <c r="Q34" s="18">
        <v>113173</v>
      </c>
      <c r="R34" s="19">
        <v>21</v>
      </c>
      <c r="S34" s="14">
        <v>4.2</v>
      </c>
      <c r="T34" s="7">
        <v>89</v>
      </c>
      <c r="U34" s="15">
        <v>10</v>
      </c>
      <c r="V34" s="15">
        <v>18</v>
      </c>
      <c r="W34" s="15">
        <v>36</v>
      </c>
      <c r="X34" t="s">
        <v>39</v>
      </c>
      <c r="Y34" t="s">
        <v>62</v>
      </c>
      <c r="Z34" s="14">
        <v>0.3</v>
      </c>
      <c r="AA34" s="12">
        <f>YEAR(Table1[Hire_Date])</f>
        <v>2026</v>
      </c>
      <c r="AB3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35" spans="1:28" x14ac:dyDescent="0.25">
      <c r="A35" t="s">
        <v>230</v>
      </c>
      <c r="B35" s="16" t="s">
        <v>231</v>
      </c>
      <c r="C35" s="16" t="s">
        <v>232</v>
      </c>
      <c r="D35" t="s">
        <v>44</v>
      </c>
      <c r="E35" s="15">
        <v>56</v>
      </c>
      <c r="F35" s="16" t="s">
        <v>124</v>
      </c>
      <c r="G35" s="16" t="s">
        <v>141</v>
      </c>
      <c r="H35" s="16" t="s">
        <v>56</v>
      </c>
      <c r="I35" s="16" t="s">
        <v>57</v>
      </c>
      <c r="J35" s="16" t="s">
        <v>49</v>
      </c>
      <c r="K35" s="17" t="s">
        <v>233</v>
      </c>
      <c r="M35" t="s">
        <v>36</v>
      </c>
      <c r="N35" t="s">
        <v>234</v>
      </c>
      <c r="O35" t="s">
        <v>38</v>
      </c>
      <c r="P35" s="15">
        <v>32</v>
      </c>
      <c r="Q35" s="18">
        <v>46855</v>
      </c>
      <c r="R35" s="19">
        <v>10</v>
      </c>
      <c r="S35" s="14">
        <v>4.4000000000000004</v>
      </c>
      <c r="T35" s="7">
        <v>63</v>
      </c>
      <c r="U35" s="15">
        <v>17</v>
      </c>
      <c r="V35" s="15">
        <v>1</v>
      </c>
      <c r="W35" s="15">
        <v>13</v>
      </c>
      <c r="X35" t="s">
        <v>39</v>
      </c>
      <c r="Y35" t="s">
        <v>78</v>
      </c>
      <c r="Z35" s="14">
        <v>8.5</v>
      </c>
      <c r="AA35" s="12">
        <f>YEAR(Table1[Hire_Date])</f>
        <v>2018</v>
      </c>
      <c r="AB3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36" spans="1:28" x14ac:dyDescent="0.25">
      <c r="A36" t="s">
        <v>235</v>
      </c>
      <c r="B36" s="16" t="s">
        <v>236</v>
      </c>
      <c r="C36" s="16" t="s">
        <v>237</v>
      </c>
      <c r="D36" t="s">
        <v>44</v>
      </c>
      <c r="E36" s="15">
        <v>41</v>
      </c>
      <c r="F36" s="16" t="s">
        <v>72</v>
      </c>
      <c r="G36" s="16" t="s">
        <v>97</v>
      </c>
      <c r="H36" s="16" t="s">
        <v>47</v>
      </c>
      <c r="I36" s="16" t="s">
        <v>48</v>
      </c>
      <c r="J36" s="16" t="s">
        <v>49</v>
      </c>
      <c r="K36" s="17" t="s">
        <v>238</v>
      </c>
      <c r="M36" t="s">
        <v>36</v>
      </c>
      <c r="N36" t="s">
        <v>59</v>
      </c>
      <c r="O36" t="s">
        <v>38</v>
      </c>
      <c r="P36" s="15">
        <v>19</v>
      </c>
      <c r="Q36" s="18">
        <v>170354</v>
      </c>
      <c r="R36" s="19">
        <v>13</v>
      </c>
      <c r="S36" s="14">
        <v>3.2</v>
      </c>
      <c r="T36" s="7">
        <v>75</v>
      </c>
      <c r="U36" s="15">
        <v>5</v>
      </c>
      <c r="V36" s="15">
        <v>26</v>
      </c>
      <c r="W36" s="15">
        <v>60</v>
      </c>
      <c r="X36" t="s">
        <v>39</v>
      </c>
      <c r="Y36" t="s">
        <v>78</v>
      </c>
      <c r="Z36" s="14">
        <v>4.9000000000000004</v>
      </c>
      <c r="AA36" s="12">
        <f>YEAR(Table1[Hire_Date])</f>
        <v>2021</v>
      </c>
      <c r="AB3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37" spans="1:28" x14ac:dyDescent="0.25">
      <c r="A37" t="s">
        <v>239</v>
      </c>
      <c r="B37" s="16" t="s">
        <v>240</v>
      </c>
      <c r="C37" s="16" t="s">
        <v>241</v>
      </c>
      <c r="D37" t="s">
        <v>29</v>
      </c>
      <c r="E37" s="15">
        <v>33</v>
      </c>
      <c r="F37" s="16" t="s">
        <v>90</v>
      </c>
      <c r="G37" s="16" t="s">
        <v>13</v>
      </c>
      <c r="H37" s="16" t="s">
        <v>83</v>
      </c>
      <c r="I37" s="16" t="s">
        <v>33</v>
      </c>
      <c r="J37" s="16" t="s">
        <v>49</v>
      </c>
      <c r="K37" s="17" t="s">
        <v>242</v>
      </c>
      <c r="M37" t="s">
        <v>36</v>
      </c>
      <c r="N37" t="s">
        <v>243</v>
      </c>
      <c r="O37" t="s">
        <v>60</v>
      </c>
      <c r="P37" s="15">
        <v>26</v>
      </c>
      <c r="Q37" s="18">
        <v>145892</v>
      </c>
      <c r="R37" s="19">
        <v>15</v>
      </c>
      <c r="S37" s="14">
        <v>4.5</v>
      </c>
      <c r="T37" s="7">
        <v>94</v>
      </c>
      <c r="U37" s="15">
        <v>17</v>
      </c>
      <c r="V37" s="15">
        <v>46</v>
      </c>
      <c r="W37" s="15">
        <v>61</v>
      </c>
      <c r="X37" t="s">
        <v>61</v>
      </c>
      <c r="Y37" t="s">
        <v>62</v>
      </c>
      <c r="Z37" s="14">
        <v>5.7</v>
      </c>
      <c r="AA37" s="12">
        <f>YEAR(Table1[Hire_Date])</f>
        <v>2020</v>
      </c>
      <c r="AB3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38" spans="1:28" x14ac:dyDescent="0.25">
      <c r="A38" t="s">
        <v>244</v>
      </c>
      <c r="B38" s="16" t="s">
        <v>245</v>
      </c>
      <c r="C38" s="16" t="s">
        <v>246</v>
      </c>
      <c r="D38" t="s">
        <v>44</v>
      </c>
      <c r="E38" s="15">
        <v>57</v>
      </c>
      <c r="F38" s="16" t="s">
        <v>90</v>
      </c>
      <c r="G38" s="16" t="s">
        <v>13</v>
      </c>
      <c r="H38" s="16" t="s">
        <v>47</v>
      </c>
      <c r="I38" s="16" t="s">
        <v>57</v>
      </c>
      <c r="J38" s="16" t="s">
        <v>34</v>
      </c>
      <c r="K38" s="17" t="s">
        <v>247</v>
      </c>
      <c r="M38" t="s">
        <v>36</v>
      </c>
      <c r="N38" t="s">
        <v>248</v>
      </c>
      <c r="O38" t="s">
        <v>52</v>
      </c>
      <c r="P38" s="15">
        <v>10</v>
      </c>
      <c r="Q38" s="18">
        <v>40519</v>
      </c>
      <c r="R38" s="19">
        <v>13</v>
      </c>
      <c r="S38" s="14">
        <v>3.7</v>
      </c>
      <c r="T38" s="7">
        <v>83</v>
      </c>
      <c r="U38" s="15">
        <v>19</v>
      </c>
      <c r="V38" s="15">
        <v>50</v>
      </c>
      <c r="W38" s="15">
        <v>73</v>
      </c>
      <c r="X38" t="s">
        <v>39</v>
      </c>
      <c r="Y38" t="s">
        <v>78</v>
      </c>
      <c r="Z38" s="14">
        <v>9.4</v>
      </c>
      <c r="AA38" s="12">
        <f>YEAR(Table1[Hire_Date])</f>
        <v>2017</v>
      </c>
      <c r="AB3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39" spans="1:28" x14ac:dyDescent="0.25">
      <c r="A39" t="s">
        <v>249</v>
      </c>
      <c r="B39" s="16" t="s">
        <v>250</v>
      </c>
      <c r="C39" s="16" t="s">
        <v>251</v>
      </c>
      <c r="D39" t="s">
        <v>44</v>
      </c>
      <c r="E39" s="15">
        <v>55</v>
      </c>
      <c r="F39" s="16" t="s">
        <v>45</v>
      </c>
      <c r="G39" s="16" t="s">
        <v>82</v>
      </c>
      <c r="H39" s="16" t="s">
        <v>56</v>
      </c>
      <c r="I39" s="16" t="s">
        <v>48</v>
      </c>
      <c r="J39" s="16" t="s">
        <v>49</v>
      </c>
      <c r="K39" s="17" t="s">
        <v>252</v>
      </c>
      <c r="M39" t="s">
        <v>36</v>
      </c>
      <c r="N39" t="s">
        <v>253</v>
      </c>
      <c r="O39" t="s">
        <v>60</v>
      </c>
      <c r="P39" s="15">
        <v>16</v>
      </c>
      <c r="Q39" s="18">
        <v>59440</v>
      </c>
      <c r="R39" s="19">
        <v>16</v>
      </c>
      <c r="S39" s="14">
        <v>3.3</v>
      </c>
      <c r="T39" s="7">
        <v>77</v>
      </c>
      <c r="U39" s="15">
        <v>12</v>
      </c>
      <c r="V39" s="15">
        <v>18</v>
      </c>
      <c r="W39" s="15">
        <v>2</v>
      </c>
      <c r="X39" t="s">
        <v>39</v>
      </c>
      <c r="Y39" t="s">
        <v>62</v>
      </c>
      <c r="Z39" s="14">
        <v>1</v>
      </c>
      <c r="AA39" s="12">
        <f>YEAR(Table1[Hire_Date])</f>
        <v>2025</v>
      </c>
      <c r="AB3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40" spans="1:28" x14ac:dyDescent="0.25">
      <c r="A40" t="s">
        <v>254</v>
      </c>
      <c r="B40" s="16" t="s">
        <v>255</v>
      </c>
      <c r="C40" s="16" t="s">
        <v>256</v>
      </c>
      <c r="D40" t="s">
        <v>44</v>
      </c>
      <c r="E40" s="15">
        <v>54</v>
      </c>
      <c r="F40" s="16" t="s">
        <v>124</v>
      </c>
      <c r="G40" s="16" t="s">
        <v>13</v>
      </c>
      <c r="H40" s="16" t="s">
        <v>83</v>
      </c>
      <c r="I40" s="16" t="s">
        <v>48</v>
      </c>
      <c r="J40" s="16" t="s">
        <v>49</v>
      </c>
      <c r="K40" s="17" t="s">
        <v>257</v>
      </c>
      <c r="M40" t="s">
        <v>36</v>
      </c>
      <c r="N40" t="s">
        <v>258</v>
      </c>
      <c r="O40" t="s">
        <v>38</v>
      </c>
      <c r="P40" s="15">
        <v>35</v>
      </c>
      <c r="Q40" s="18">
        <v>88461</v>
      </c>
      <c r="R40" s="19">
        <v>20</v>
      </c>
      <c r="S40" s="14">
        <v>3.8</v>
      </c>
      <c r="T40" s="7">
        <v>76</v>
      </c>
      <c r="U40" s="15">
        <v>8</v>
      </c>
      <c r="V40" s="15">
        <v>46</v>
      </c>
      <c r="W40" s="15">
        <v>29</v>
      </c>
      <c r="X40" t="s">
        <v>61</v>
      </c>
      <c r="Y40" t="s">
        <v>62</v>
      </c>
      <c r="Z40" s="14">
        <v>2.4</v>
      </c>
      <c r="AA40" s="12">
        <f>YEAR(Table1[Hire_Date])</f>
        <v>2024</v>
      </c>
      <c r="AB4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41" spans="1:28" x14ac:dyDescent="0.25">
      <c r="A41" t="s">
        <v>259</v>
      </c>
      <c r="B41" s="16" t="s">
        <v>260</v>
      </c>
      <c r="C41" s="16" t="s">
        <v>261</v>
      </c>
      <c r="D41" t="s">
        <v>44</v>
      </c>
      <c r="E41" s="15">
        <v>38</v>
      </c>
      <c r="F41" s="16" t="s">
        <v>124</v>
      </c>
      <c r="G41" s="16" t="s">
        <v>141</v>
      </c>
      <c r="H41" s="16" t="s">
        <v>83</v>
      </c>
      <c r="I41" s="16" t="s">
        <v>33</v>
      </c>
      <c r="J41" s="16" t="s">
        <v>34</v>
      </c>
      <c r="K41" s="17" t="s">
        <v>262</v>
      </c>
      <c r="M41" t="s">
        <v>36</v>
      </c>
      <c r="N41" t="s">
        <v>263</v>
      </c>
      <c r="O41" t="s">
        <v>60</v>
      </c>
      <c r="P41" s="15">
        <v>12</v>
      </c>
      <c r="Q41" s="18">
        <v>119960</v>
      </c>
      <c r="R41" s="19">
        <v>10</v>
      </c>
      <c r="S41" s="14">
        <v>3.2</v>
      </c>
      <c r="T41" s="7">
        <v>67</v>
      </c>
      <c r="U41" s="15">
        <v>9</v>
      </c>
      <c r="V41" s="15">
        <v>30</v>
      </c>
      <c r="W41" s="15">
        <v>5</v>
      </c>
      <c r="X41" t="s">
        <v>61</v>
      </c>
      <c r="Y41" t="s">
        <v>78</v>
      </c>
      <c r="Z41" s="14">
        <v>9.1</v>
      </c>
      <c r="AA41" s="12">
        <f>YEAR(Table1[Hire_Date])</f>
        <v>2017</v>
      </c>
      <c r="AB4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42" spans="1:28" x14ac:dyDescent="0.25">
      <c r="A42" t="s">
        <v>264</v>
      </c>
      <c r="B42" s="16" t="s">
        <v>265</v>
      </c>
      <c r="C42" s="16" t="s">
        <v>266</v>
      </c>
      <c r="D42" t="s">
        <v>44</v>
      </c>
      <c r="E42" s="15">
        <v>38</v>
      </c>
      <c r="F42" s="16" t="s">
        <v>30</v>
      </c>
      <c r="G42" s="16" t="s">
        <v>31</v>
      </c>
      <c r="H42" s="16" t="s">
        <v>56</v>
      </c>
      <c r="I42" s="16" t="s">
        <v>48</v>
      </c>
      <c r="J42" s="16" t="s">
        <v>49</v>
      </c>
      <c r="K42" s="17" t="s">
        <v>267</v>
      </c>
      <c r="M42" t="s">
        <v>36</v>
      </c>
      <c r="N42" t="s">
        <v>268</v>
      </c>
      <c r="O42" t="s">
        <v>38</v>
      </c>
      <c r="P42" s="15">
        <v>14</v>
      </c>
      <c r="Q42" s="18">
        <v>135035</v>
      </c>
      <c r="R42" s="19">
        <v>7</v>
      </c>
      <c r="S42" s="14">
        <v>4.5999999999999996</v>
      </c>
      <c r="T42" s="7">
        <v>99</v>
      </c>
      <c r="U42" s="15">
        <v>11</v>
      </c>
      <c r="V42" s="15">
        <v>23</v>
      </c>
      <c r="W42" s="15">
        <v>31</v>
      </c>
      <c r="X42" t="s">
        <v>39</v>
      </c>
      <c r="Y42" t="s">
        <v>62</v>
      </c>
      <c r="Z42" s="14">
        <v>2.4</v>
      </c>
      <c r="AA42" s="12">
        <f>YEAR(Table1[Hire_Date])</f>
        <v>2024</v>
      </c>
      <c r="AB4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43" spans="1:28" x14ac:dyDescent="0.25">
      <c r="A43" t="s">
        <v>269</v>
      </c>
      <c r="B43" s="16" t="s">
        <v>270</v>
      </c>
      <c r="C43" s="16" t="s">
        <v>271</v>
      </c>
      <c r="D43" t="s">
        <v>29</v>
      </c>
      <c r="E43" s="15">
        <v>42</v>
      </c>
      <c r="F43" s="16" t="s">
        <v>30</v>
      </c>
      <c r="G43" s="16" t="s">
        <v>31</v>
      </c>
      <c r="H43" s="16" t="s">
        <v>66</v>
      </c>
      <c r="I43" s="16" t="s">
        <v>33</v>
      </c>
      <c r="J43" s="16" t="s">
        <v>34</v>
      </c>
      <c r="K43" s="17" t="s">
        <v>272</v>
      </c>
      <c r="M43" t="s">
        <v>36</v>
      </c>
      <c r="N43" t="s">
        <v>229</v>
      </c>
      <c r="O43" t="s">
        <v>52</v>
      </c>
      <c r="P43" s="15">
        <v>35</v>
      </c>
      <c r="Q43" s="18">
        <v>164139</v>
      </c>
      <c r="R43" s="19">
        <v>15</v>
      </c>
      <c r="S43" s="14">
        <v>3.4</v>
      </c>
      <c r="T43" s="7">
        <v>66</v>
      </c>
      <c r="U43" s="15">
        <v>20</v>
      </c>
      <c r="V43" s="15">
        <v>3</v>
      </c>
      <c r="W43" s="15">
        <v>62</v>
      </c>
      <c r="X43" t="s">
        <v>39</v>
      </c>
      <c r="Y43" t="s">
        <v>78</v>
      </c>
      <c r="Z43" s="14">
        <v>0.9</v>
      </c>
      <c r="AA43" s="12">
        <f>YEAR(Table1[Hire_Date])</f>
        <v>2025</v>
      </c>
      <c r="AB4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44" spans="1:28" x14ac:dyDescent="0.25">
      <c r="A44" t="s">
        <v>273</v>
      </c>
      <c r="B44" s="16" t="s">
        <v>274</v>
      </c>
      <c r="C44" s="16" t="s">
        <v>275</v>
      </c>
      <c r="D44" t="s">
        <v>29</v>
      </c>
      <c r="E44" s="15">
        <v>43</v>
      </c>
      <c r="F44" s="16" t="s">
        <v>90</v>
      </c>
      <c r="G44" s="16" t="s">
        <v>13</v>
      </c>
      <c r="H44" s="16" t="s">
        <v>47</v>
      </c>
      <c r="I44" s="16" t="s">
        <v>48</v>
      </c>
      <c r="J44" s="16" t="s">
        <v>34</v>
      </c>
      <c r="K44" s="17" t="s">
        <v>276</v>
      </c>
      <c r="M44" t="s">
        <v>36</v>
      </c>
      <c r="N44" t="s">
        <v>277</v>
      </c>
      <c r="O44" t="s">
        <v>60</v>
      </c>
      <c r="P44" s="15">
        <v>25</v>
      </c>
      <c r="Q44" s="18">
        <v>88969</v>
      </c>
      <c r="R44" s="19">
        <v>7</v>
      </c>
      <c r="S44" s="14">
        <v>2.7</v>
      </c>
      <c r="T44" s="7">
        <v>66</v>
      </c>
      <c r="U44" s="15">
        <v>16</v>
      </c>
      <c r="V44" s="15">
        <v>51</v>
      </c>
      <c r="W44" s="15">
        <v>17</v>
      </c>
      <c r="X44" t="s">
        <v>61</v>
      </c>
      <c r="Y44" t="s">
        <v>78</v>
      </c>
      <c r="Z44" s="14">
        <v>4.5999999999999996</v>
      </c>
      <c r="AA44" s="12">
        <f>YEAR(Table1[Hire_Date])</f>
        <v>2021</v>
      </c>
      <c r="AB4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45" spans="1:28" x14ac:dyDescent="0.25">
      <c r="A45" t="s">
        <v>278</v>
      </c>
      <c r="B45" s="16" t="s">
        <v>279</v>
      </c>
      <c r="C45" s="16" t="s">
        <v>280</v>
      </c>
      <c r="D45" t="s">
        <v>44</v>
      </c>
      <c r="E45" s="15">
        <v>59</v>
      </c>
      <c r="F45" s="16" t="s">
        <v>90</v>
      </c>
      <c r="G45" s="16" t="s">
        <v>281</v>
      </c>
      <c r="H45" s="16" t="s">
        <v>56</v>
      </c>
      <c r="I45" s="16" t="s">
        <v>33</v>
      </c>
      <c r="J45" s="16" t="s">
        <v>34</v>
      </c>
      <c r="K45" s="17" t="s">
        <v>282</v>
      </c>
      <c r="M45" t="s">
        <v>36</v>
      </c>
      <c r="N45" t="s">
        <v>277</v>
      </c>
      <c r="O45" t="s">
        <v>38</v>
      </c>
      <c r="P45" s="15">
        <v>22</v>
      </c>
      <c r="Q45" s="18">
        <v>99375</v>
      </c>
      <c r="R45" s="19">
        <v>16</v>
      </c>
      <c r="S45" s="14">
        <v>3.7</v>
      </c>
      <c r="T45" s="7">
        <v>62</v>
      </c>
      <c r="U45" s="15">
        <v>16</v>
      </c>
      <c r="V45" s="15">
        <v>38</v>
      </c>
      <c r="W45" s="15">
        <v>66</v>
      </c>
      <c r="X45" t="s">
        <v>39</v>
      </c>
      <c r="Y45" t="s">
        <v>62</v>
      </c>
      <c r="Z45" s="14">
        <v>2.5</v>
      </c>
      <c r="AA45" s="12">
        <f>YEAR(Table1[Hire_Date])</f>
        <v>2024</v>
      </c>
      <c r="AB4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46" spans="1:28" x14ac:dyDescent="0.25">
      <c r="A46" t="s">
        <v>283</v>
      </c>
      <c r="B46" s="16" t="s">
        <v>284</v>
      </c>
      <c r="C46" s="16" t="s">
        <v>285</v>
      </c>
      <c r="D46" t="s">
        <v>29</v>
      </c>
      <c r="E46" s="15">
        <v>37</v>
      </c>
      <c r="F46" s="16" t="s">
        <v>124</v>
      </c>
      <c r="G46" s="16" t="s">
        <v>13</v>
      </c>
      <c r="H46" s="16" t="s">
        <v>56</v>
      </c>
      <c r="I46" s="16" t="s">
        <v>33</v>
      </c>
      <c r="J46" s="16" t="s">
        <v>49</v>
      </c>
      <c r="K46" s="17" t="s">
        <v>119</v>
      </c>
      <c r="M46" t="s">
        <v>36</v>
      </c>
      <c r="N46" t="s">
        <v>286</v>
      </c>
      <c r="O46" t="s">
        <v>60</v>
      </c>
      <c r="P46" s="15">
        <v>14</v>
      </c>
      <c r="Q46" s="18">
        <v>144089</v>
      </c>
      <c r="R46" s="19">
        <v>9</v>
      </c>
      <c r="S46" s="14">
        <v>3.6</v>
      </c>
      <c r="T46" s="7">
        <v>56</v>
      </c>
      <c r="U46" s="15">
        <v>17</v>
      </c>
      <c r="V46" s="15">
        <v>36</v>
      </c>
      <c r="W46" s="15">
        <v>59</v>
      </c>
      <c r="X46" t="s">
        <v>39</v>
      </c>
      <c r="Y46" t="s">
        <v>78</v>
      </c>
      <c r="Z46" s="14">
        <v>4.8</v>
      </c>
      <c r="AA46" s="12">
        <f>YEAR(Table1[Hire_Date])</f>
        <v>2021</v>
      </c>
      <c r="AB4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47" spans="1:28" x14ac:dyDescent="0.25">
      <c r="A47" t="s">
        <v>287</v>
      </c>
      <c r="B47" s="16" t="s">
        <v>288</v>
      </c>
      <c r="C47" s="16" t="s">
        <v>289</v>
      </c>
      <c r="D47" t="s">
        <v>44</v>
      </c>
      <c r="E47" s="15">
        <v>55</v>
      </c>
      <c r="F47" s="16" t="s">
        <v>30</v>
      </c>
      <c r="G47" s="16" t="s">
        <v>31</v>
      </c>
      <c r="H47" s="16" t="s">
        <v>66</v>
      </c>
      <c r="I47" s="16" t="s">
        <v>48</v>
      </c>
      <c r="J47" s="16" t="s">
        <v>34</v>
      </c>
      <c r="K47" s="17" t="s">
        <v>290</v>
      </c>
      <c r="M47" t="s">
        <v>36</v>
      </c>
      <c r="N47" t="s">
        <v>189</v>
      </c>
      <c r="O47" t="s">
        <v>38</v>
      </c>
      <c r="P47" s="15">
        <v>4</v>
      </c>
      <c r="Q47" s="18">
        <v>113866</v>
      </c>
      <c r="R47" s="19">
        <v>24</v>
      </c>
      <c r="S47" s="14">
        <v>4.7</v>
      </c>
      <c r="T47" s="7">
        <v>82</v>
      </c>
      <c r="U47" s="15">
        <v>5</v>
      </c>
      <c r="V47" s="15">
        <v>34</v>
      </c>
      <c r="W47" s="15">
        <v>24</v>
      </c>
      <c r="X47" t="s">
        <v>39</v>
      </c>
      <c r="Y47" t="s">
        <v>78</v>
      </c>
      <c r="Z47" s="14">
        <v>6</v>
      </c>
      <c r="AA47" s="12">
        <f>YEAR(Table1[Hire_Date])</f>
        <v>2020</v>
      </c>
      <c r="AB4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48" spans="1:28" x14ac:dyDescent="0.25">
      <c r="A48" t="s">
        <v>291</v>
      </c>
      <c r="B48" s="16" t="s">
        <v>292</v>
      </c>
      <c r="C48" s="16" t="s">
        <v>293</v>
      </c>
      <c r="D48" t="s">
        <v>29</v>
      </c>
      <c r="E48" s="15">
        <v>50</v>
      </c>
      <c r="F48" s="16" t="s">
        <v>30</v>
      </c>
      <c r="G48" s="16" t="s">
        <v>13</v>
      </c>
      <c r="H48" s="16" t="s">
        <v>66</v>
      </c>
      <c r="I48" s="16" t="s">
        <v>57</v>
      </c>
      <c r="J48" s="16" t="s">
        <v>49</v>
      </c>
      <c r="K48" s="17" t="s">
        <v>294</v>
      </c>
      <c r="M48" t="s">
        <v>36</v>
      </c>
      <c r="N48" t="s">
        <v>295</v>
      </c>
      <c r="O48" t="s">
        <v>38</v>
      </c>
      <c r="P48" s="15">
        <v>18</v>
      </c>
      <c r="Q48" s="18">
        <v>126342</v>
      </c>
      <c r="R48" s="19">
        <v>20</v>
      </c>
      <c r="S48" s="14">
        <v>3.5</v>
      </c>
      <c r="T48" s="7">
        <v>56</v>
      </c>
      <c r="U48" s="15">
        <v>19</v>
      </c>
      <c r="V48" s="15">
        <v>13</v>
      </c>
      <c r="W48" s="15">
        <v>74</v>
      </c>
      <c r="X48" t="s">
        <v>39</v>
      </c>
      <c r="Y48" t="s">
        <v>40</v>
      </c>
      <c r="Z48" s="14">
        <v>3</v>
      </c>
      <c r="AA48" s="12">
        <f>YEAR(Table1[Hire_Date])</f>
        <v>2023</v>
      </c>
      <c r="AB4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49" spans="1:28" x14ac:dyDescent="0.25">
      <c r="A49" t="s">
        <v>296</v>
      </c>
      <c r="B49" s="16" t="s">
        <v>297</v>
      </c>
      <c r="C49" s="16" t="s">
        <v>298</v>
      </c>
      <c r="D49" t="s">
        <v>44</v>
      </c>
      <c r="E49" s="15">
        <v>46</v>
      </c>
      <c r="F49" s="16" t="s">
        <v>90</v>
      </c>
      <c r="G49" s="16" t="s">
        <v>13</v>
      </c>
      <c r="H49" s="16" t="s">
        <v>83</v>
      </c>
      <c r="I49" s="16" t="s">
        <v>33</v>
      </c>
      <c r="J49" s="16" t="s">
        <v>49</v>
      </c>
      <c r="K49" s="17" t="s">
        <v>299</v>
      </c>
      <c r="M49" t="s">
        <v>36</v>
      </c>
      <c r="N49" t="s">
        <v>300</v>
      </c>
      <c r="O49" t="s">
        <v>52</v>
      </c>
      <c r="P49" s="15">
        <v>20</v>
      </c>
      <c r="Q49" s="18">
        <v>95522</v>
      </c>
      <c r="R49" s="19">
        <v>9</v>
      </c>
      <c r="S49" s="14">
        <v>4.4000000000000004</v>
      </c>
      <c r="T49" s="7">
        <v>83</v>
      </c>
      <c r="U49" s="15">
        <v>15</v>
      </c>
      <c r="V49" s="15">
        <v>33</v>
      </c>
      <c r="W49" s="15">
        <v>45</v>
      </c>
      <c r="X49" t="s">
        <v>39</v>
      </c>
      <c r="Y49" t="s">
        <v>78</v>
      </c>
      <c r="Z49" s="14">
        <v>2.2000000000000002</v>
      </c>
      <c r="AA49" s="12">
        <f>YEAR(Table1[Hire_Date])</f>
        <v>2024</v>
      </c>
      <c r="AB4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50" spans="1:28" x14ac:dyDescent="0.25">
      <c r="A50" t="s">
        <v>301</v>
      </c>
      <c r="B50" s="16" t="s">
        <v>302</v>
      </c>
      <c r="C50" s="16" t="s">
        <v>303</v>
      </c>
      <c r="D50" t="s">
        <v>29</v>
      </c>
      <c r="E50" s="15">
        <v>28</v>
      </c>
      <c r="F50" s="16" t="s">
        <v>45</v>
      </c>
      <c r="G50" s="16" t="s">
        <v>82</v>
      </c>
      <c r="H50" s="16" t="s">
        <v>56</v>
      </c>
      <c r="I50" s="16" t="s">
        <v>48</v>
      </c>
      <c r="J50" s="16" t="s">
        <v>49</v>
      </c>
      <c r="K50" s="17" t="s">
        <v>304</v>
      </c>
      <c r="M50" t="s">
        <v>36</v>
      </c>
      <c r="N50" t="s">
        <v>68</v>
      </c>
      <c r="O50" t="s">
        <v>52</v>
      </c>
      <c r="P50" s="15">
        <v>25</v>
      </c>
      <c r="Q50" s="18">
        <v>107006</v>
      </c>
      <c r="R50" s="19">
        <v>22</v>
      </c>
      <c r="S50" s="14">
        <v>4</v>
      </c>
      <c r="T50" s="7">
        <v>75</v>
      </c>
      <c r="U50" s="15">
        <v>15</v>
      </c>
      <c r="V50" s="15">
        <v>3</v>
      </c>
      <c r="W50" s="15">
        <v>36</v>
      </c>
      <c r="X50" t="s">
        <v>39</v>
      </c>
      <c r="Y50" t="s">
        <v>78</v>
      </c>
      <c r="Z50" s="14">
        <v>6.9</v>
      </c>
      <c r="AA50" s="12">
        <f>YEAR(Table1[Hire_Date])</f>
        <v>2019</v>
      </c>
      <c r="AB5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51" spans="1:28" x14ac:dyDescent="0.25">
      <c r="A51" t="s">
        <v>305</v>
      </c>
      <c r="B51" s="16" t="s">
        <v>306</v>
      </c>
      <c r="C51" s="16" t="s">
        <v>307</v>
      </c>
      <c r="D51" t="s">
        <v>29</v>
      </c>
      <c r="E51" s="15">
        <v>39</v>
      </c>
      <c r="F51" s="16" t="s">
        <v>30</v>
      </c>
      <c r="G51" s="16" t="s">
        <v>31</v>
      </c>
      <c r="H51" s="16" t="s">
        <v>47</v>
      </c>
      <c r="I51" s="16" t="s">
        <v>33</v>
      </c>
      <c r="J51" s="16" t="s">
        <v>49</v>
      </c>
      <c r="K51" s="17" t="s">
        <v>308</v>
      </c>
      <c r="M51" t="s">
        <v>36</v>
      </c>
      <c r="N51" t="s">
        <v>309</v>
      </c>
      <c r="O51" t="s">
        <v>38</v>
      </c>
      <c r="P51" s="15">
        <v>12</v>
      </c>
      <c r="Q51" s="18">
        <v>123085</v>
      </c>
      <c r="R51" s="19">
        <v>8</v>
      </c>
      <c r="S51" s="14">
        <v>4.9000000000000004</v>
      </c>
      <c r="T51" s="7">
        <v>85</v>
      </c>
      <c r="U51" s="15">
        <v>14</v>
      </c>
      <c r="V51" s="15">
        <v>37</v>
      </c>
      <c r="W51" s="15">
        <v>21</v>
      </c>
      <c r="X51" t="s">
        <v>39</v>
      </c>
      <c r="Y51" t="s">
        <v>78</v>
      </c>
      <c r="Z51" s="14">
        <v>2.5</v>
      </c>
      <c r="AA51" s="12">
        <f>YEAR(Table1[Hire_Date])</f>
        <v>2024</v>
      </c>
      <c r="AB5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52" spans="1:28" x14ac:dyDescent="0.25">
      <c r="A52" t="s">
        <v>310</v>
      </c>
      <c r="B52" s="16" t="s">
        <v>311</v>
      </c>
      <c r="C52" s="16" t="s">
        <v>312</v>
      </c>
      <c r="D52" t="s">
        <v>44</v>
      </c>
      <c r="E52" s="15">
        <v>35</v>
      </c>
      <c r="F52" s="16" t="s">
        <v>45</v>
      </c>
      <c r="G52" s="16" t="s">
        <v>46</v>
      </c>
      <c r="H52" s="16" t="s">
        <v>32</v>
      </c>
      <c r="I52" s="16" t="s">
        <v>33</v>
      </c>
      <c r="J52" s="16" t="s">
        <v>34</v>
      </c>
      <c r="K52" s="17" t="s">
        <v>313</v>
      </c>
      <c r="M52" t="s">
        <v>36</v>
      </c>
      <c r="N52" t="s">
        <v>314</v>
      </c>
      <c r="O52" t="s">
        <v>38</v>
      </c>
      <c r="P52" s="15">
        <v>4</v>
      </c>
      <c r="Q52" s="18">
        <v>171028</v>
      </c>
      <c r="R52" s="19">
        <v>11</v>
      </c>
      <c r="S52" s="14">
        <v>3.4</v>
      </c>
      <c r="T52" s="7">
        <v>51</v>
      </c>
      <c r="U52" s="15">
        <v>4</v>
      </c>
      <c r="V52" s="15">
        <v>31</v>
      </c>
      <c r="W52" s="15">
        <v>0</v>
      </c>
      <c r="X52" t="s">
        <v>61</v>
      </c>
      <c r="Y52" t="s">
        <v>40</v>
      </c>
      <c r="Z52" s="14">
        <v>4.5999999999999996</v>
      </c>
      <c r="AA52" s="12">
        <f>YEAR(Table1[Hire_Date])</f>
        <v>2022</v>
      </c>
      <c r="AB5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53" spans="1:28" x14ac:dyDescent="0.25">
      <c r="A53" t="s">
        <v>315</v>
      </c>
      <c r="B53" s="16" t="s">
        <v>316</v>
      </c>
      <c r="C53" s="16" t="s">
        <v>317</v>
      </c>
      <c r="D53" t="s">
        <v>29</v>
      </c>
      <c r="E53" s="15">
        <v>26</v>
      </c>
      <c r="F53" s="16" t="s">
        <v>90</v>
      </c>
      <c r="G53" s="16" t="s">
        <v>281</v>
      </c>
      <c r="H53" s="16" t="s">
        <v>83</v>
      </c>
      <c r="I53" s="16" t="s">
        <v>48</v>
      </c>
      <c r="J53" s="16" t="s">
        <v>49</v>
      </c>
      <c r="K53" s="17" t="s">
        <v>318</v>
      </c>
      <c r="M53" t="s">
        <v>36</v>
      </c>
      <c r="N53" t="s">
        <v>295</v>
      </c>
      <c r="O53" t="s">
        <v>52</v>
      </c>
      <c r="P53" s="15">
        <v>4</v>
      </c>
      <c r="Q53" s="18">
        <v>161466</v>
      </c>
      <c r="R53" s="19">
        <v>11</v>
      </c>
      <c r="S53" s="14">
        <v>2.5</v>
      </c>
      <c r="T53" s="7">
        <v>55</v>
      </c>
      <c r="U53" s="15">
        <v>13</v>
      </c>
      <c r="V53" s="15">
        <v>29</v>
      </c>
      <c r="W53" s="15">
        <v>32</v>
      </c>
      <c r="X53" t="s">
        <v>61</v>
      </c>
      <c r="Y53" t="s">
        <v>62</v>
      </c>
      <c r="Z53" s="14">
        <v>8.5</v>
      </c>
      <c r="AA53" s="12">
        <f>YEAR(Table1[Hire_Date])</f>
        <v>2018</v>
      </c>
      <c r="AB5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54" spans="1:28" x14ac:dyDescent="0.25">
      <c r="A54" t="s">
        <v>319</v>
      </c>
      <c r="B54" s="16" t="s">
        <v>320</v>
      </c>
      <c r="C54" s="16" t="s">
        <v>321</v>
      </c>
      <c r="D54" t="s">
        <v>29</v>
      </c>
      <c r="E54" s="15">
        <v>58</v>
      </c>
      <c r="F54" s="16" t="s">
        <v>45</v>
      </c>
      <c r="G54" s="16" t="s">
        <v>82</v>
      </c>
      <c r="H54" s="16" t="s">
        <v>66</v>
      </c>
      <c r="I54" s="16" t="s">
        <v>48</v>
      </c>
      <c r="J54" s="16" t="s">
        <v>34</v>
      </c>
      <c r="K54" s="17" t="s">
        <v>322</v>
      </c>
      <c r="M54" t="s">
        <v>36</v>
      </c>
      <c r="N54" t="s">
        <v>323</v>
      </c>
      <c r="O54" t="s">
        <v>60</v>
      </c>
      <c r="P54" s="15">
        <v>6</v>
      </c>
      <c r="Q54" s="18">
        <v>54929</v>
      </c>
      <c r="R54" s="19">
        <v>17</v>
      </c>
      <c r="S54" s="14">
        <v>4.4000000000000004</v>
      </c>
      <c r="T54" s="7">
        <v>100</v>
      </c>
      <c r="U54" s="15">
        <v>2</v>
      </c>
      <c r="V54" s="15">
        <v>4</v>
      </c>
      <c r="W54" s="15">
        <v>55</v>
      </c>
      <c r="X54" t="s">
        <v>39</v>
      </c>
      <c r="Y54" t="s">
        <v>62</v>
      </c>
      <c r="Z54" s="14">
        <v>7.5</v>
      </c>
      <c r="AA54" s="12">
        <f>YEAR(Table1[Hire_Date])</f>
        <v>2019</v>
      </c>
      <c r="AB5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55" spans="1:28" x14ac:dyDescent="0.25">
      <c r="A55" t="s">
        <v>324</v>
      </c>
      <c r="B55" s="16" t="s">
        <v>325</v>
      </c>
      <c r="C55" s="16" t="s">
        <v>326</v>
      </c>
      <c r="D55" t="s">
        <v>44</v>
      </c>
      <c r="E55" s="15">
        <v>39</v>
      </c>
      <c r="F55" s="16" t="s">
        <v>72</v>
      </c>
      <c r="G55" s="16" t="s">
        <v>73</v>
      </c>
      <c r="H55" s="16" t="s">
        <v>32</v>
      </c>
      <c r="I55" s="16" t="s">
        <v>33</v>
      </c>
      <c r="J55" s="16" t="s">
        <v>34</v>
      </c>
      <c r="K55" s="17" t="s">
        <v>327</v>
      </c>
      <c r="M55" t="s">
        <v>36</v>
      </c>
      <c r="N55" t="s">
        <v>328</v>
      </c>
      <c r="O55" t="s">
        <v>60</v>
      </c>
      <c r="P55" s="15">
        <v>15</v>
      </c>
      <c r="Q55" s="18">
        <v>70254</v>
      </c>
      <c r="R55" s="19">
        <v>24</v>
      </c>
      <c r="S55" s="14">
        <v>3.5</v>
      </c>
      <c r="T55" s="7">
        <v>77</v>
      </c>
      <c r="U55" s="15">
        <v>10</v>
      </c>
      <c r="V55" s="15">
        <v>55</v>
      </c>
      <c r="W55" s="15">
        <v>52</v>
      </c>
      <c r="X55" t="s">
        <v>61</v>
      </c>
      <c r="Y55" t="s">
        <v>40</v>
      </c>
      <c r="Z55" s="14">
        <v>7.9</v>
      </c>
      <c r="AA55" s="12">
        <f>YEAR(Table1[Hire_Date])</f>
        <v>2018</v>
      </c>
      <c r="AB5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56" spans="1:28" x14ac:dyDescent="0.25">
      <c r="A56" t="s">
        <v>329</v>
      </c>
      <c r="B56" s="16" t="s">
        <v>330</v>
      </c>
      <c r="C56" s="16" t="s">
        <v>331</v>
      </c>
      <c r="D56" t="s">
        <v>29</v>
      </c>
      <c r="E56" s="15">
        <v>26</v>
      </c>
      <c r="F56" s="16" t="s">
        <v>90</v>
      </c>
      <c r="G56" s="16" t="s">
        <v>281</v>
      </c>
      <c r="H56" s="16" t="s">
        <v>83</v>
      </c>
      <c r="I56" s="16" t="s">
        <v>57</v>
      </c>
      <c r="J56" s="16" t="s">
        <v>34</v>
      </c>
      <c r="K56" s="17" t="s">
        <v>332</v>
      </c>
      <c r="M56" t="s">
        <v>36</v>
      </c>
      <c r="N56" t="s">
        <v>333</v>
      </c>
      <c r="O56" t="s">
        <v>38</v>
      </c>
      <c r="P56" s="15">
        <v>32</v>
      </c>
      <c r="Q56" s="18">
        <v>116475</v>
      </c>
      <c r="R56" s="19">
        <v>9</v>
      </c>
      <c r="S56" s="14">
        <v>4.8</v>
      </c>
      <c r="T56" s="7">
        <v>65</v>
      </c>
      <c r="U56" s="15">
        <v>3</v>
      </c>
      <c r="V56" s="15">
        <v>54</v>
      </c>
      <c r="W56" s="15">
        <v>53</v>
      </c>
      <c r="X56" t="s">
        <v>61</v>
      </c>
      <c r="Y56" t="s">
        <v>78</v>
      </c>
      <c r="Z56" s="14">
        <v>7.9</v>
      </c>
      <c r="AA56" s="12">
        <f>YEAR(Table1[Hire_Date])</f>
        <v>2018</v>
      </c>
      <c r="AB5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57" spans="1:28" x14ac:dyDescent="0.25">
      <c r="A57" t="s">
        <v>334</v>
      </c>
      <c r="B57" s="16" t="s">
        <v>335</v>
      </c>
      <c r="C57" s="16" t="s">
        <v>336</v>
      </c>
      <c r="D57" t="s">
        <v>44</v>
      </c>
      <c r="E57" s="15">
        <v>45</v>
      </c>
      <c r="F57" s="16" t="s">
        <v>124</v>
      </c>
      <c r="G57" s="16" t="s">
        <v>141</v>
      </c>
      <c r="H57" s="16" t="s">
        <v>47</v>
      </c>
      <c r="I57" s="16" t="s">
        <v>48</v>
      </c>
      <c r="J57" s="16" t="s">
        <v>34</v>
      </c>
      <c r="K57" s="17" t="s">
        <v>98</v>
      </c>
      <c r="M57" t="s">
        <v>36</v>
      </c>
      <c r="N57" t="s">
        <v>337</v>
      </c>
      <c r="O57" t="s">
        <v>38</v>
      </c>
      <c r="P57" s="15">
        <v>28</v>
      </c>
      <c r="Q57" s="18">
        <v>177432</v>
      </c>
      <c r="R57" s="19">
        <v>16</v>
      </c>
      <c r="S57" s="14">
        <v>2.6</v>
      </c>
      <c r="T57" s="7">
        <v>70</v>
      </c>
      <c r="U57" s="15">
        <v>5</v>
      </c>
      <c r="V57" s="15">
        <v>36</v>
      </c>
      <c r="W57" s="15">
        <v>0</v>
      </c>
      <c r="X57" t="s">
        <v>61</v>
      </c>
      <c r="Y57" t="s">
        <v>40</v>
      </c>
      <c r="Z57" s="14">
        <v>0.8</v>
      </c>
      <c r="AA57" s="12">
        <f>YEAR(Table1[Hire_Date])</f>
        <v>2025</v>
      </c>
      <c r="AB5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58" spans="1:28" x14ac:dyDescent="0.25">
      <c r="A58" t="s">
        <v>338</v>
      </c>
      <c r="B58" s="16" t="s">
        <v>339</v>
      </c>
      <c r="C58" s="16" t="s">
        <v>340</v>
      </c>
      <c r="D58" t="s">
        <v>44</v>
      </c>
      <c r="E58" s="15">
        <v>36</v>
      </c>
      <c r="F58" s="16" t="s">
        <v>30</v>
      </c>
      <c r="G58" s="16" t="s">
        <v>13</v>
      </c>
      <c r="H58" s="16" t="s">
        <v>47</v>
      </c>
      <c r="I58" s="16" t="s">
        <v>57</v>
      </c>
      <c r="J58" s="16" t="s">
        <v>49</v>
      </c>
      <c r="K58" s="17" t="s">
        <v>341</v>
      </c>
      <c r="M58" t="s">
        <v>36</v>
      </c>
      <c r="N58" t="s">
        <v>342</v>
      </c>
      <c r="O58" t="s">
        <v>38</v>
      </c>
      <c r="P58" s="15">
        <v>23</v>
      </c>
      <c r="Q58" s="18">
        <v>73694</v>
      </c>
      <c r="R58" s="19">
        <v>11</v>
      </c>
      <c r="S58" s="14">
        <v>3.4</v>
      </c>
      <c r="T58" s="7">
        <v>74</v>
      </c>
      <c r="U58" s="15">
        <v>3</v>
      </c>
      <c r="V58" s="15">
        <v>45</v>
      </c>
      <c r="W58" s="15">
        <v>79</v>
      </c>
      <c r="X58" t="s">
        <v>61</v>
      </c>
      <c r="Y58" t="s">
        <v>62</v>
      </c>
      <c r="Z58" s="14">
        <v>5.0999999999999996</v>
      </c>
      <c r="AA58" s="12">
        <f>YEAR(Table1[Hire_Date])</f>
        <v>2021</v>
      </c>
      <c r="AB5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59" spans="1:28" x14ac:dyDescent="0.25">
      <c r="A59" t="s">
        <v>343</v>
      </c>
      <c r="B59" s="16" t="s">
        <v>344</v>
      </c>
      <c r="C59" s="16" t="s">
        <v>345</v>
      </c>
      <c r="D59" t="s">
        <v>44</v>
      </c>
      <c r="E59" s="15">
        <v>31</v>
      </c>
      <c r="F59" s="16" t="s">
        <v>30</v>
      </c>
      <c r="G59" s="16" t="s">
        <v>13</v>
      </c>
      <c r="H59" s="16" t="s">
        <v>47</v>
      </c>
      <c r="I59" s="16" t="s">
        <v>33</v>
      </c>
      <c r="J59" s="16" t="s">
        <v>49</v>
      </c>
      <c r="K59" s="17" t="s">
        <v>346</v>
      </c>
      <c r="L59" s="17" t="s">
        <v>347</v>
      </c>
      <c r="M59" t="s">
        <v>76</v>
      </c>
      <c r="N59" t="s">
        <v>348</v>
      </c>
      <c r="O59" t="s">
        <v>52</v>
      </c>
      <c r="P59" s="15">
        <v>22</v>
      </c>
      <c r="Q59" s="18">
        <v>57389</v>
      </c>
      <c r="R59" s="19">
        <v>14</v>
      </c>
      <c r="S59" s="14">
        <v>4.7</v>
      </c>
      <c r="T59" s="7">
        <v>59</v>
      </c>
      <c r="U59" s="15">
        <v>0</v>
      </c>
      <c r="V59" s="15">
        <v>34</v>
      </c>
      <c r="W59" s="15">
        <v>7</v>
      </c>
      <c r="X59" t="s">
        <v>61</v>
      </c>
      <c r="Y59" t="s">
        <v>62</v>
      </c>
      <c r="Z59" s="14">
        <v>7.8</v>
      </c>
      <c r="AA59" s="12">
        <f>YEAR(Table1[Hire_Date])</f>
        <v>2018</v>
      </c>
      <c r="AB5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60" spans="1:28" x14ac:dyDescent="0.25">
      <c r="A60" t="s">
        <v>349</v>
      </c>
      <c r="B60" s="16" t="s">
        <v>350</v>
      </c>
      <c r="C60" s="16" t="s">
        <v>351</v>
      </c>
      <c r="D60" t="s">
        <v>44</v>
      </c>
      <c r="E60" s="15">
        <v>28</v>
      </c>
      <c r="F60" s="16" t="s">
        <v>103</v>
      </c>
      <c r="G60" s="16" t="s">
        <v>104</v>
      </c>
      <c r="H60" s="16" t="s">
        <v>66</v>
      </c>
      <c r="I60" s="16" t="s">
        <v>33</v>
      </c>
      <c r="J60" s="16" t="s">
        <v>49</v>
      </c>
      <c r="K60" s="17" t="s">
        <v>352</v>
      </c>
      <c r="M60" t="s">
        <v>36</v>
      </c>
      <c r="N60" t="s">
        <v>353</v>
      </c>
      <c r="O60" t="s">
        <v>38</v>
      </c>
      <c r="P60" s="15">
        <v>35</v>
      </c>
      <c r="Q60" s="18">
        <v>110936</v>
      </c>
      <c r="R60" s="19">
        <v>25</v>
      </c>
      <c r="S60" s="14">
        <v>3.6</v>
      </c>
      <c r="T60" s="7">
        <v>89</v>
      </c>
      <c r="U60" s="15">
        <v>19</v>
      </c>
      <c r="V60" s="15">
        <v>60</v>
      </c>
      <c r="W60" s="15">
        <v>14</v>
      </c>
      <c r="X60" t="s">
        <v>61</v>
      </c>
      <c r="Y60" t="s">
        <v>62</v>
      </c>
      <c r="Z60" s="14">
        <v>8.1999999999999993</v>
      </c>
      <c r="AA60" s="12">
        <f>YEAR(Table1[Hire_Date])</f>
        <v>2018</v>
      </c>
      <c r="AB6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61" spans="1:28" x14ac:dyDescent="0.25">
      <c r="A61" t="s">
        <v>354</v>
      </c>
      <c r="B61" s="16" t="s">
        <v>355</v>
      </c>
      <c r="C61" s="16" t="s">
        <v>356</v>
      </c>
      <c r="D61" t="s">
        <v>44</v>
      </c>
      <c r="E61" s="15">
        <v>45</v>
      </c>
      <c r="F61" s="16" t="s">
        <v>124</v>
      </c>
      <c r="G61" s="16" t="s">
        <v>141</v>
      </c>
      <c r="H61" s="16" t="s">
        <v>32</v>
      </c>
      <c r="I61" s="16" t="s">
        <v>33</v>
      </c>
      <c r="J61" s="16" t="s">
        <v>34</v>
      </c>
      <c r="K61" s="17" t="s">
        <v>357</v>
      </c>
      <c r="M61" t="s">
        <v>36</v>
      </c>
      <c r="N61" t="s">
        <v>358</v>
      </c>
      <c r="O61" t="s">
        <v>38</v>
      </c>
      <c r="P61" s="15">
        <v>27</v>
      </c>
      <c r="Q61" s="18">
        <v>139611</v>
      </c>
      <c r="R61" s="19">
        <v>19</v>
      </c>
      <c r="S61" s="14">
        <v>4.8</v>
      </c>
      <c r="T61" s="7">
        <v>89</v>
      </c>
      <c r="U61" s="15">
        <v>3</v>
      </c>
      <c r="V61" s="15">
        <v>42</v>
      </c>
      <c r="W61" s="15">
        <v>3</v>
      </c>
      <c r="X61" t="s">
        <v>61</v>
      </c>
      <c r="Y61" t="s">
        <v>40</v>
      </c>
      <c r="Z61" s="14">
        <v>6.3</v>
      </c>
      <c r="AA61" s="12">
        <f>YEAR(Table1[Hire_Date])</f>
        <v>2020</v>
      </c>
      <c r="AB6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62" spans="1:28" x14ac:dyDescent="0.25">
      <c r="A62" t="s">
        <v>359</v>
      </c>
      <c r="B62" s="16" t="s">
        <v>360</v>
      </c>
      <c r="C62" s="16" t="s">
        <v>361</v>
      </c>
      <c r="D62" t="s">
        <v>29</v>
      </c>
      <c r="E62" s="15">
        <v>32</v>
      </c>
      <c r="F62" s="16" t="s">
        <v>30</v>
      </c>
      <c r="G62" s="16" t="s">
        <v>13</v>
      </c>
      <c r="H62" s="16" t="s">
        <v>83</v>
      </c>
      <c r="I62" s="16" t="s">
        <v>57</v>
      </c>
      <c r="J62" s="16" t="s">
        <v>49</v>
      </c>
      <c r="K62" s="17" t="s">
        <v>362</v>
      </c>
      <c r="M62" t="s">
        <v>36</v>
      </c>
      <c r="N62" t="s">
        <v>342</v>
      </c>
      <c r="O62" t="s">
        <v>52</v>
      </c>
      <c r="P62" s="15">
        <v>15</v>
      </c>
      <c r="Q62" s="18">
        <v>88165</v>
      </c>
      <c r="R62" s="19">
        <v>15</v>
      </c>
      <c r="S62" s="14">
        <v>2.6</v>
      </c>
      <c r="T62" s="7">
        <v>50</v>
      </c>
      <c r="U62" s="15">
        <v>12</v>
      </c>
      <c r="V62" s="15">
        <v>46</v>
      </c>
      <c r="W62" s="15">
        <v>18</v>
      </c>
      <c r="X62" t="s">
        <v>39</v>
      </c>
      <c r="Y62" t="s">
        <v>62</v>
      </c>
      <c r="Z62" s="14">
        <v>10</v>
      </c>
      <c r="AA62" s="12">
        <f>YEAR(Table1[Hire_Date])</f>
        <v>2016</v>
      </c>
      <c r="AB6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63" spans="1:28" x14ac:dyDescent="0.25">
      <c r="A63" t="s">
        <v>363</v>
      </c>
      <c r="B63" s="16" t="s">
        <v>364</v>
      </c>
      <c r="C63" s="16" t="s">
        <v>365</v>
      </c>
      <c r="D63" t="s">
        <v>44</v>
      </c>
      <c r="E63" s="15">
        <v>31</v>
      </c>
      <c r="F63" s="16" t="s">
        <v>30</v>
      </c>
      <c r="G63" s="16" t="s">
        <v>31</v>
      </c>
      <c r="H63" s="16" t="s">
        <v>56</v>
      </c>
      <c r="I63" s="16" t="s">
        <v>48</v>
      </c>
      <c r="J63" s="16" t="s">
        <v>49</v>
      </c>
      <c r="K63" s="17" t="s">
        <v>366</v>
      </c>
      <c r="L63" s="17" t="s">
        <v>213</v>
      </c>
      <c r="M63" t="s">
        <v>76</v>
      </c>
      <c r="N63" t="s">
        <v>367</v>
      </c>
      <c r="O63" t="s">
        <v>38</v>
      </c>
      <c r="P63" s="15">
        <v>19</v>
      </c>
      <c r="Q63" s="18">
        <v>48396</v>
      </c>
      <c r="R63" s="19">
        <v>12</v>
      </c>
      <c r="S63" s="14">
        <v>3.8</v>
      </c>
      <c r="T63" s="7">
        <v>58</v>
      </c>
      <c r="U63" s="15">
        <v>16</v>
      </c>
      <c r="V63" s="15">
        <v>26</v>
      </c>
      <c r="W63" s="15">
        <v>37</v>
      </c>
      <c r="X63" t="s">
        <v>61</v>
      </c>
      <c r="Y63" t="s">
        <v>78</v>
      </c>
      <c r="Z63" s="14">
        <v>7.3</v>
      </c>
      <c r="AA63" s="12">
        <f>YEAR(Table1[Hire_Date])</f>
        <v>2019</v>
      </c>
      <c r="AB6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64" spans="1:28" x14ac:dyDescent="0.25">
      <c r="A64" t="s">
        <v>368</v>
      </c>
      <c r="B64" s="16" t="s">
        <v>369</v>
      </c>
      <c r="C64" s="16" t="s">
        <v>370</v>
      </c>
      <c r="D64" t="s">
        <v>44</v>
      </c>
      <c r="E64" s="15">
        <v>55</v>
      </c>
      <c r="F64" s="16" t="s">
        <v>30</v>
      </c>
      <c r="G64" s="16" t="s">
        <v>13</v>
      </c>
      <c r="H64" s="16" t="s">
        <v>56</v>
      </c>
      <c r="I64" s="16" t="s">
        <v>33</v>
      </c>
      <c r="J64" s="16" t="s">
        <v>49</v>
      </c>
      <c r="K64" s="17" t="s">
        <v>371</v>
      </c>
      <c r="M64" t="s">
        <v>36</v>
      </c>
      <c r="N64" t="s">
        <v>224</v>
      </c>
      <c r="O64" t="s">
        <v>52</v>
      </c>
      <c r="P64" s="15">
        <v>19</v>
      </c>
      <c r="Q64" s="18">
        <v>170987</v>
      </c>
      <c r="R64" s="19">
        <v>16</v>
      </c>
      <c r="S64" s="14">
        <v>2.6</v>
      </c>
      <c r="T64" s="7">
        <v>83</v>
      </c>
      <c r="U64" s="15">
        <v>13</v>
      </c>
      <c r="V64" s="15">
        <v>5</v>
      </c>
      <c r="W64" s="15">
        <v>45</v>
      </c>
      <c r="X64" t="s">
        <v>39</v>
      </c>
      <c r="Y64" t="s">
        <v>78</v>
      </c>
      <c r="Z64" s="14">
        <v>6.4</v>
      </c>
      <c r="AA64" s="12">
        <f>YEAR(Table1[Hire_Date])</f>
        <v>2020</v>
      </c>
      <c r="AB6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65" spans="1:28" x14ac:dyDescent="0.25">
      <c r="A65" t="s">
        <v>372</v>
      </c>
      <c r="B65" s="16" t="s">
        <v>373</v>
      </c>
      <c r="C65" s="16" t="s">
        <v>374</v>
      </c>
      <c r="D65" t="s">
        <v>44</v>
      </c>
      <c r="E65" s="15">
        <v>58</v>
      </c>
      <c r="F65" s="16" t="s">
        <v>124</v>
      </c>
      <c r="G65" s="16" t="s">
        <v>13</v>
      </c>
      <c r="H65" s="16" t="s">
        <v>47</v>
      </c>
      <c r="I65" s="16" t="s">
        <v>48</v>
      </c>
      <c r="J65" s="16" t="s">
        <v>49</v>
      </c>
      <c r="K65" s="17" t="s">
        <v>375</v>
      </c>
      <c r="M65" t="s">
        <v>36</v>
      </c>
      <c r="N65" t="s">
        <v>286</v>
      </c>
      <c r="O65" t="s">
        <v>52</v>
      </c>
      <c r="P65" s="15">
        <v>6</v>
      </c>
      <c r="Q65" s="18">
        <v>101299</v>
      </c>
      <c r="R65" s="19">
        <v>21</v>
      </c>
      <c r="S65" s="14">
        <v>3.7</v>
      </c>
      <c r="T65" s="7">
        <v>96</v>
      </c>
      <c r="U65" s="15">
        <v>11</v>
      </c>
      <c r="V65" s="15">
        <v>26</v>
      </c>
      <c r="W65" s="15">
        <v>57</v>
      </c>
      <c r="X65" t="s">
        <v>61</v>
      </c>
      <c r="Y65" t="s">
        <v>62</v>
      </c>
      <c r="Z65" s="14">
        <v>0.4</v>
      </c>
      <c r="AA65" s="12">
        <f>YEAR(Table1[Hire_Date])</f>
        <v>2026</v>
      </c>
      <c r="AB6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66" spans="1:28" x14ac:dyDescent="0.25">
      <c r="A66" t="s">
        <v>376</v>
      </c>
      <c r="B66" s="16" t="s">
        <v>377</v>
      </c>
      <c r="C66" s="16" t="s">
        <v>378</v>
      </c>
      <c r="D66" t="s">
        <v>44</v>
      </c>
      <c r="E66" s="15">
        <v>43</v>
      </c>
      <c r="F66" s="16" t="s">
        <v>90</v>
      </c>
      <c r="G66" s="16" t="s">
        <v>281</v>
      </c>
      <c r="H66" s="16" t="s">
        <v>83</v>
      </c>
      <c r="I66" s="16" t="s">
        <v>48</v>
      </c>
      <c r="J66" s="16" t="s">
        <v>34</v>
      </c>
      <c r="K66" s="17" t="s">
        <v>379</v>
      </c>
      <c r="M66" t="s">
        <v>36</v>
      </c>
      <c r="N66" t="s">
        <v>380</v>
      </c>
      <c r="O66" t="s">
        <v>38</v>
      </c>
      <c r="P66" s="15">
        <v>7</v>
      </c>
      <c r="Q66" s="18">
        <v>157430</v>
      </c>
      <c r="R66" s="19">
        <v>23</v>
      </c>
      <c r="S66" s="14">
        <v>3.5</v>
      </c>
      <c r="T66" s="7">
        <v>72</v>
      </c>
      <c r="U66" s="15">
        <v>19</v>
      </c>
      <c r="V66" s="15">
        <v>60</v>
      </c>
      <c r="W66" s="15">
        <v>2</v>
      </c>
      <c r="X66" t="s">
        <v>39</v>
      </c>
      <c r="Y66" t="s">
        <v>78</v>
      </c>
      <c r="Z66" s="14">
        <v>2.9</v>
      </c>
      <c r="AA66" s="12">
        <f>YEAR(Table1[Hire_Date])</f>
        <v>2023</v>
      </c>
      <c r="AB6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67" spans="1:28" x14ac:dyDescent="0.25">
      <c r="A67" t="s">
        <v>381</v>
      </c>
      <c r="B67" s="16" t="s">
        <v>382</v>
      </c>
      <c r="C67" s="16" t="s">
        <v>383</v>
      </c>
      <c r="D67" t="s">
        <v>29</v>
      </c>
      <c r="E67" s="15">
        <v>40</v>
      </c>
      <c r="F67" s="16" t="s">
        <v>30</v>
      </c>
      <c r="G67" s="16" t="s">
        <v>13</v>
      </c>
      <c r="H67" s="16" t="s">
        <v>47</v>
      </c>
      <c r="I67" s="16" t="s">
        <v>33</v>
      </c>
      <c r="J67" s="16" t="s">
        <v>49</v>
      </c>
      <c r="K67" s="17" t="s">
        <v>384</v>
      </c>
      <c r="M67" t="s">
        <v>36</v>
      </c>
      <c r="N67" t="s">
        <v>385</v>
      </c>
      <c r="O67" t="s">
        <v>38</v>
      </c>
      <c r="P67" s="15">
        <v>20</v>
      </c>
      <c r="Q67" s="18">
        <v>161388</v>
      </c>
      <c r="R67" s="19">
        <v>7</v>
      </c>
      <c r="S67" s="14">
        <v>3.1</v>
      </c>
      <c r="T67" s="7">
        <v>51</v>
      </c>
      <c r="U67" s="15">
        <v>4</v>
      </c>
      <c r="V67" s="15">
        <v>15</v>
      </c>
      <c r="W67" s="15">
        <v>62</v>
      </c>
      <c r="X67" t="s">
        <v>39</v>
      </c>
      <c r="Y67" t="s">
        <v>62</v>
      </c>
      <c r="Z67" s="14">
        <v>6</v>
      </c>
      <c r="AA67" s="12">
        <f>YEAR(Table1[Hire_Date])</f>
        <v>2020</v>
      </c>
      <c r="AB6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68" spans="1:28" x14ac:dyDescent="0.25">
      <c r="A68" t="s">
        <v>386</v>
      </c>
      <c r="B68" s="16" t="s">
        <v>387</v>
      </c>
      <c r="C68" s="16" t="s">
        <v>388</v>
      </c>
      <c r="D68" t="s">
        <v>29</v>
      </c>
      <c r="E68" s="15">
        <v>60</v>
      </c>
      <c r="F68" s="16" t="s">
        <v>90</v>
      </c>
      <c r="G68" s="16" t="s">
        <v>13</v>
      </c>
      <c r="H68" s="16" t="s">
        <v>56</v>
      </c>
      <c r="I68" s="16" t="s">
        <v>33</v>
      </c>
      <c r="J68" s="16" t="s">
        <v>49</v>
      </c>
      <c r="K68" s="17" t="s">
        <v>389</v>
      </c>
      <c r="L68" s="17" t="s">
        <v>390</v>
      </c>
      <c r="M68" t="s">
        <v>76</v>
      </c>
      <c r="N68" t="s">
        <v>77</v>
      </c>
      <c r="O68" t="s">
        <v>60</v>
      </c>
      <c r="P68" s="15">
        <v>18</v>
      </c>
      <c r="Q68" s="18">
        <v>44561</v>
      </c>
      <c r="R68" s="19">
        <v>13</v>
      </c>
      <c r="S68" s="14">
        <v>4.3</v>
      </c>
      <c r="T68" s="7">
        <v>69</v>
      </c>
      <c r="U68" s="15">
        <v>2</v>
      </c>
      <c r="V68" s="15">
        <v>1</v>
      </c>
      <c r="W68" s="15">
        <v>55</v>
      </c>
      <c r="X68" t="s">
        <v>39</v>
      </c>
      <c r="Y68" t="s">
        <v>40</v>
      </c>
      <c r="Z68" s="14">
        <v>9.6</v>
      </c>
      <c r="AA68" s="12">
        <f>YEAR(Table1[Hire_Date])</f>
        <v>2016</v>
      </c>
      <c r="AB6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69" spans="1:28" x14ac:dyDescent="0.25">
      <c r="A69" t="s">
        <v>391</v>
      </c>
      <c r="B69" s="16" t="s">
        <v>392</v>
      </c>
      <c r="C69" s="16" t="s">
        <v>393</v>
      </c>
      <c r="D69" t="s">
        <v>29</v>
      </c>
      <c r="E69" s="15">
        <v>56</v>
      </c>
      <c r="F69" s="16" t="s">
        <v>103</v>
      </c>
      <c r="G69" s="16" t="s">
        <v>13</v>
      </c>
      <c r="H69" s="16" t="s">
        <v>66</v>
      </c>
      <c r="I69" s="16" t="s">
        <v>48</v>
      </c>
      <c r="J69" s="16" t="s">
        <v>34</v>
      </c>
      <c r="K69" s="17" t="s">
        <v>394</v>
      </c>
      <c r="M69" t="s">
        <v>36</v>
      </c>
      <c r="N69" t="s">
        <v>395</v>
      </c>
      <c r="O69" t="s">
        <v>60</v>
      </c>
      <c r="P69" s="15">
        <v>21</v>
      </c>
      <c r="Q69" s="18">
        <v>140278</v>
      </c>
      <c r="R69" s="19">
        <v>22</v>
      </c>
      <c r="S69" s="14">
        <v>5</v>
      </c>
      <c r="T69" s="7">
        <v>62</v>
      </c>
      <c r="U69" s="15">
        <v>3</v>
      </c>
      <c r="V69" s="15">
        <v>27</v>
      </c>
      <c r="W69" s="15">
        <v>72</v>
      </c>
      <c r="X69" t="s">
        <v>39</v>
      </c>
      <c r="Y69" t="s">
        <v>78</v>
      </c>
      <c r="Z69" s="14">
        <v>2.2000000000000002</v>
      </c>
      <c r="AA69" s="12">
        <f>YEAR(Table1[Hire_Date])</f>
        <v>2024</v>
      </c>
      <c r="AB6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70" spans="1:28" x14ac:dyDescent="0.25">
      <c r="A70" t="s">
        <v>396</v>
      </c>
      <c r="B70" s="16" t="s">
        <v>397</v>
      </c>
      <c r="C70" s="16" t="s">
        <v>398</v>
      </c>
      <c r="D70" t="s">
        <v>44</v>
      </c>
      <c r="E70" s="15">
        <v>29</v>
      </c>
      <c r="F70" s="16" t="s">
        <v>30</v>
      </c>
      <c r="G70" s="16" t="s">
        <v>13</v>
      </c>
      <c r="H70" s="16" t="s">
        <v>47</v>
      </c>
      <c r="I70" s="16" t="s">
        <v>33</v>
      </c>
      <c r="J70" s="16" t="s">
        <v>34</v>
      </c>
      <c r="K70" s="17" t="s">
        <v>399</v>
      </c>
      <c r="M70" t="s">
        <v>36</v>
      </c>
      <c r="N70" t="s">
        <v>358</v>
      </c>
      <c r="O70" t="s">
        <v>38</v>
      </c>
      <c r="P70" s="15">
        <v>13</v>
      </c>
      <c r="Q70" s="18">
        <v>177172</v>
      </c>
      <c r="R70" s="19">
        <v>7</v>
      </c>
      <c r="S70" s="14">
        <v>2.8</v>
      </c>
      <c r="T70" s="7">
        <v>73</v>
      </c>
      <c r="U70" s="15">
        <v>1</v>
      </c>
      <c r="V70" s="15">
        <v>55</v>
      </c>
      <c r="W70" s="15">
        <v>64</v>
      </c>
      <c r="X70" t="s">
        <v>61</v>
      </c>
      <c r="Y70" t="s">
        <v>40</v>
      </c>
      <c r="Z70" s="14">
        <v>10.199999999999999</v>
      </c>
      <c r="AA70" s="12">
        <f>YEAR(Table1[Hire_Date])</f>
        <v>2016</v>
      </c>
      <c r="AB7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71" spans="1:28" x14ac:dyDescent="0.25">
      <c r="A71" t="s">
        <v>400</v>
      </c>
      <c r="B71" s="16" t="s">
        <v>401</v>
      </c>
      <c r="C71" s="16" t="s">
        <v>402</v>
      </c>
      <c r="D71" t="s">
        <v>29</v>
      </c>
      <c r="E71" s="15">
        <v>42</v>
      </c>
      <c r="F71" s="16" t="s">
        <v>30</v>
      </c>
      <c r="G71" s="16" t="s">
        <v>13</v>
      </c>
      <c r="H71" s="16" t="s">
        <v>83</v>
      </c>
      <c r="I71" s="16" t="s">
        <v>57</v>
      </c>
      <c r="J71" s="16" t="s">
        <v>34</v>
      </c>
      <c r="K71" s="17" t="s">
        <v>403</v>
      </c>
      <c r="M71" t="s">
        <v>36</v>
      </c>
      <c r="N71" t="s">
        <v>106</v>
      </c>
      <c r="O71" t="s">
        <v>60</v>
      </c>
      <c r="P71" s="15">
        <v>35</v>
      </c>
      <c r="Q71" s="18">
        <v>56718</v>
      </c>
      <c r="R71" s="19">
        <v>17</v>
      </c>
      <c r="S71" s="14">
        <v>4.0999999999999996</v>
      </c>
      <c r="T71" s="7">
        <v>52</v>
      </c>
      <c r="U71" s="15">
        <v>6</v>
      </c>
      <c r="V71" s="15">
        <v>14</v>
      </c>
      <c r="W71" s="15">
        <v>63</v>
      </c>
      <c r="X71" t="s">
        <v>61</v>
      </c>
      <c r="Y71" t="s">
        <v>78</v>
      </c>
      <c r="Z71" s="14">
        <v>6.9</v>
      </c>
      <c r="AA71" s="12">
        <f>YEAR(Table1[Hire_Date])</f>
        <v>2019</v>
      </c>
      <c r="AB7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72" spans="1:28" x14ac:dyDescent="0.25">
      <c r="A72" t="s">
        <v>404</v>
      </c>
      <c r="B72" s="16" t="s">
        <v>405</v>
      </c>
      <c r="C72" s="16" t="s">
        <v>406</v>
      </c>
      <c r="D72" t="s">
        <v>44</v>
      </c>
      <c r="E72" s="15">
        <v>44</v>
      </c>
      <c r="F72" s="16" t="s">
        <v>72</v>
      </c>
      <c r="G72" s="16" t="s">
        <v>97</v>
      </c>
      <c r="H72" s="16" t="s">
        <v>83</v>
      </c>
      <c r="I72" s="16" t="s">
        <v>48</v>
      </c>
      <c r="J72" s="16" t="s">
        <v>34</v>
      </c>
      <c r="K72" s="17" t="s">
        <v>407</v>
      </c>
      <c r="M72" t="s">
        <v>36</v>
      </c>
      <c r="N72" t="s">
        <v>342</v>
      </c>
      <c r="O72" t="s">
        <v>52</v>
      </c>
      <c r="P72" s="15">
        <v>32</v>
      </c>
      <c r="Q72" s="18">
        <v>115806</v>
      </c>
      <c r="R72" s="19">
        <v>14</v>
      </c>
      <c r="S72" s="14">
        <v>3.4</v>
      </c>
      <c r="T72" s="7">
        <v>95</v>
      </c>
      <c r="U72" s="15">
        <v>15</v>
      </c>
      <c r="V72" s="15">
        <v>17</v>
      </c>
      <c r="W72" s="15">
        <v>51</v>
      </c>
      <c r="X72" t="s">
        <v>39</v>
      </c>
      <c r="Y72" t="s">
        <v>78</v>
      </c>
      <c r="Z72" s="14">
        <v>5.2</v>
      </c>
      <c r="AA72" s="12">
        <f>YEAR(Table1[Hire_Date])</f>
        <v>2021</v>
      </c>
      <c r="AB7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73" spans="1:28" x14ac:dyDescent="0.25">
      <c r="A73" t="s">
        <v>408</v>
      </c>
      <c r="B73" s="16" t="s">
        <v>409</v>
      </c>
      <c r="C73" s="16" t="s">
        <v>410</v>
      </c>
      <c r="D73" t="s">
        <v>29</v>
      </c>
      <c r="E73" s="15">
        <v>39</v>
      </c>
      <c r="F73" s="16" t="s">
        <v>124</v>
      </c>
      <c r="G73" s="16" t="s">
        <v>13</v>
      </c>
      <c r="H73" s="16" t="s">
        <v>47</v>
      </c>
      <c r="I73" s="16" t="s">
        <v>48</v>
      </c>
      <c r="J73" s="16" t="s">
        <v>34</v>
      </c>
      <c r="K73" s="17" t="s">
        <v>411</v>
      </c>
      <c r="M73" t="s">
        <v>36</v>
      </c>
      <c r="N73" t="s">
        <v>309</v>
      </c>
      <c r="O73" t="s">
        <v>52</v>
      </c>
      <c r="P73" s="15">
        <v>9</v>
      </c>
      <c r="Q73" s="18">
        <v>102691</v>
      </c>
      <c r="R73" s="19">
        <v>20</v>
      </c>
      <c r="S73" s="14">
        <v>4</v>
      </c>
      <c r="T73" s="7">
        <v>54</v>
      </c>
      <c r="U73" s="15">
        <v>17</v>
      </c>
      <c r="V73" s="15">
        <v>33</v>
      </c>
      <c r="W73" s="15">
        <v>72</v>
      </c>
      <c r="X73" t="s">
        <v>61</v>
      </c>
      <c r="Y73" t="s">
        <v>40</v>
      </c>
      <c r="Z73" s="14">
        <v>7.6</v>
      </c>
      <c r="AA73" s="12">
        <f>YEAR(Table1[Hire_Date])</f>
        <v>2018</v>
      </c>
      <c r="AB7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74" spans="1:28" x14ac:dyDescent="0.25">
      <c r="A74" t="s">
        <v>412</v>
      </c>
      <c r="B74" s="16" t="s">
        <v>413</v>
      </c>
      <c r="C74" s="16" t="s">
        <v>414</v>
      </c>
      <c r="D74" t="s">
        <v>29</v>
      </c>
      <c r="E74" s="15">
        <v>26</v>
      </c>
      <c r="F74" s="16" t="s">
        <v>45</v>
      </c>
      <c r="G74" s="16" t="s">
        <v>46</v>
      </c>
      <c r="H74" s="16" t="s">
        <v>47</v>
      </c>
      <c r="I74" s="16" t="s">
        <v>33</v>
      </c>
      <c r="J74" s="16" t="s">
        <v>49</v>
      </c>
      <c r="K74" s="17" t="s">
        <v>75</v>
      </c>
      <c r="M74" t="s">
        <v>36</v>
      </c>
      <c r="N74" t="s">
        <v>314</v>
      </c>
      <c r="O74" t="s">
        <v>60</v>
      </c>
      <c r="P74" s="15">
        <v>12</v>
      </c>
      <c r="Q74" s="18">
        <v>48974</v>
      </c>
      <c r="R74" s="19">
        <v>11</v>
      </c>
      <c r="S74" s="14">
        <v>4.3</v>
      </c>
      <c r="T74" s="7">
        <v>81</v>
      </c>
      <c r="U74" s="15">
        <v>12</v>
      </c>
      <c r="V74" s="15">
        <v>15</v>
      </c>
      <c r="W74" s="15">
        <v>37</v>
      </c>
      <c r="X74" t="s">
        <v>39</v>
      </c>
      <c r="Y74" t="s">
        <v>78</v>
      </c>
      <c r="Z74" s="14">
        <v>3.2</v>
      </c>
      <c r="AA74" s="12">
        <f>YEAR(Table1[Hire_Date])</f>
        <v>2023</v>
      </c>
      <c r="AB7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75" spans="1:28" x14ac:dyDescent="0.25">
      <c r="A75" t="s">
        <v>415</v>
      </c>
      <c r="B75" s="16" t="s">
        <v>416</v>
      </c>
      <c r="C75" s="16" t="s">
        <v>417</v>
      </c>
      <c r="D75" t="s">
        <v>29</v>
      </c>
      <c r="E75" s="15">
        <v>43</v>
      </c>
      <c r="F75" s="16" t="s">
        <v>124</v>
      </c>
      <c r="G75" s="16" t="s">
        <v>141</v>
      </c>
      <c r="H75" s="16" t="s">
        <v>56</v>
      </c>
      <c r="I75" s="16" t="s">
        <v>33</v>
      </c>
      <c r="J75" s="16" t="s">
        <v>34</v>
      </c>
      <c r="K75" s="17" t="s">
        <v>418</v>
      </c>
      <c r="M75" t="s">
        <v>36</v>
      </c>
      <c r="N75" t="s">
        <v>419</v>
      </c>
      <c r="O75" t="s">
        <v>60</v>
      </c>
      <c r="P75" s="15">
        <v>16</v>
      </c>
      <c r="Q75" s="18">
        <v>109663</v>
      </c>
      <c r="R75" s="19">
        <v>22</v>
      </c>
      <c r="S75" s="14">
        <v>3.4</v>
      </c>
      <c r="T75" s="7">
        <v>59</v>
      </c>
      <c r="U75" s="15">
        <v>15</v>
      </c>
      <c r="V75" s="15">
        <v>53</v>
      </c>
      <c r="W75" s="15">
        <v>67</v>
      </c>
      <c r="X75" t="s">
        <v>39</v>
      </c>
      <c r="Y75" t="s">
        <v>62</v>
      </c>
      <c r="Z75" s="14">
        <v>9.1999999999999993</v>
      </c>
      <c r="AA75" s="12">
        <f>YEAR(Table1[Hire_Date])</f>
        <v>2017</v>
      </c>
      <c r="AB7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76" spans="1:28" x14ac:dyDescent="0.25">
      <c r="A76" t="s">
        <v>420</v>
      </c>
      <c r="B76" s="16" t="s">
        <v>421</v>
      </c>
      <c r="C76" s="16" t="s">
        <v>422</v>
      </c>
      <c r="D76" t="s">
        <v>44</v>
      </c>
      <c r="E76" s="15">
        <v>48</v>
      </c>
      <c r="F76" s="16" t="s">
        <v>45</v>
      </c>
      <c r="G76" s="16" t="s">
        <v>82</v>
      </c>
      <c r="H76" s="16" t="s">
        <v>56</v>
      </c>
      <c r="I76" s="16" t="s">
        <v>48</v>
      </c>
      <c r="J76" s="16" t="s">
        <v>34</v>
      </c>
      <c r="K76" s="17" t="s">
        <v>223</v>
      </c>
      <c r="M76" t="s">
        <v>36</v>
      </c>
      <c r="N76" t="s">
        <v>323</v>
      </c>
      <c r="O76" t="s">
        <v>52</v>
      </c>
      <c r="P76" s="15">
        <v>26</v>
      </c>
      <c r="Q76" s="18">
        <v>161777</v>
      </c>
      <c r="R76" s="19">
        <v>18</v>
      </c>
      <c r="S76" s="14">
        <v>4.0999999999999996</v>
      </c>
      <c r="T76" s="7">
        <v>77</v>
      </c>
      <c r="U76" s="15">
        <v>5</v>
      </c>
      <c r="V76" s="15">
        <v>44</v>
      </c>
      <c r="W76" s="15">
        <v>42</v>
      </c>
      <c r="X76" t="s">
        <v>39</v>
      </c>
      <c r="Y76" t="s">
        <v>40</v>
      </c>
      <c r="Z76" s="14">
        <v>2.9</v>
      </c>
      <c r="AA76" s="12">
        <f>YEAR(Table1[Hire_Date])</f>
        <v>2023</v>
      </c>
      <c r="AB7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77" spans="1:28" x14ac:dyDescent="0.25">
      <c r="A77" t="s">
        <v>423</v>
      </c>
      <c r="B77" s="16" t="s">
        <v>424</v>
      </c>
      <c r="C77" s="16" t="s">
        <v>425</v>
      </c>
      <c r="D77" t="s">
        <v>29</v>
      </c>
      <c r="E77" s="15">
        <v>43</v>
      </c>
      <c r="F77" s="16" t="s">
        <v>72</v>
      </c>
      <c r="G77" s="16" t="s">
        <v>135</v>
      </c>
      <c r="H77" s="16" t="s">
        <v>32</v>
      </c>
      <c r="I77" s="16" t="s">
        <v>33</v>
      </c>
      <c r="J77" s="16" t="s">
        <v>49</v>
      </c>
      <c r="K77" s="17" t="s">
        <v>426</v>
      </c>
      <c r="M77" t="s">
        <v>36</v>
      </c>
      <c r="N77" t="s">
        <v>143</v>
      </c>
      <c r="O77" t="s">
        <v>60</v>
      </c>
      <c r="P77" s="15">
        <v>33</v>
      </c>
      <c r="Q77" s="18">
        <v>152209</v>
      </c>
      <c r="R77" s="19">
        <v>14</v>
      </c>
      <c r="S77" s="14">
        <v>4.8</v>
      </c>
      <c r="T77" s="7">
        <v>87</v>
      </c>
      <c r="U77" s="15">
        <v>15</v>
      </c>
      <c r="V77" s="15">
        <v>56</v>
      </c>
      <c r="W77" s="15">
        <v>37</v>
      </c>
      <c r="X77" t="s">
        <v>39</v>
      </c>
      <c r="Y77" t="s">
        <v>62</v>
      </c>
      <c r="Z77" s="14">
        <v>3.3</v>
      </c>
      <c r="AA77" s="12">
        <f>YEAR(Table1[Hire_Date])</f>
        <v>2023</v>
      </c>
      <c r="AB7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78" spans="1:28" x14ac:dyDescent="0.25">
      <c r="A78" t="s">
        <v>427</v>
      </c>
      <c r="B78" s="16" t="s">
        <v>428</v>
      </c>
      <c r="C78" s="16" t="s">
        <v>429</v>
      </c>
      <c r="D78" t="s">
        <v>44</v>
      </c>
      <c r="E78" s="15">
        <v>58</v>
      </c>
      <c r="F78" s="16" t="s">
        <v>72</v>
      </c>
      <c r="G78" s="16" t="s">
        <v>73</v>
      </c>
      <c r="H78" s="16" t="s">
        <v>47</v>
      </c>
      <c r="I78" s="16" t="s">
        <v>48</v>
      </c>
      <c r="J78" s="16" t="s">
        <v>34</v>
      </c>
      <c r="K78" s="17" t="s">
        <v>430</v>
      </c>
      <c r="M78" t="s">
        <v>36</v>
      </c>
      <c r="N78" t="s">
        <v>333</v>
      </c>
      <c r="O78" t="s">
        <v>38</v>
      </c>
      <c r="P78" s="15">
        <v>6</v>
      </c>
      <c r="Q78" s="18">
        <v>57581</v>
      </c>
      <c r="R78" s="19">
        <v>8</v>
      </c>
      <c r="S78" s="14">
        <v>3.3</v>
      </c>
      <c r="T78" s="7">
        <v>67</v>
      </c>
      <c r="U78" s="15">
        <v>1</v>
      </c>
      <c r="V78" s="15">
        <v>24</v>
      </c>
      <c r="W78" s="15">
        <v>14</v>
      </c>
      <c r="X78" t="s">
        <v>39</v>
      </c>
      <c r="Y78" t="s">
        <v>40</v>
      </c>
      <c r="Z78" s="14">
        <v>4.0999999999999996</v>
      </c>
      <c r="AA78" s="12">
        <f>YEAR(Table1[Hire_Date])</f>
        <v>2022</v>
      </c>
      <c r="AB7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79" spans="1:28" x14ac:dyDescent="0.25">
      <c r="A79" t="s">
        <v>431</v>
      </c>
      <c r="B79" s="16" t="s">
        <v>432</v>
      </c>
      <c r="C79" s="16" t="s">
        <v>433</v>
      </c>
      <c r="D79" t="s">
        <v>29</v>
      </c>
      <c r="E79" s="15">
        <v>24</v>
      </c>
      <c r="F79" s="16" t="s">
        <v>72</v>
      </c>
      <c r="G79" s="16" t="s">
        <v>73</v>
      </c>
      <c r="H79" s="16" t="s">
        <v>47</v>
      </c>
      <c r="I79" s="16" t="s">
        <v>48</v>
      </c>
      <c r="J79" s="16" t="s">
        <v>34</v>
      </c>
      <c r="K79" s="17" t="s">
        <v>434</v>
      </c>
      <c r="M79" t="s">
        <v>36</v>
      </c>
      <c r="N79" t="s">
        <v>59</v>
      </c>
      <c r="O79" t="s">
        <v>38</v>
      </c>
      <c r="P79" s="15">
        <v>32</v>
      </c>
      <c r="Q79" s="18">
        <v>162624</v>
      </c>
      <c r="R79" s="19">
        <v>8</v>
      </c>
      <c r="S79" s="14">
        <v>4</v>
      </c>
      <c r="T79" s="7">
        <v>82</v>
      </c>
      <c r="U79" s="15">
        <v>18</v>
      </c>
      <c r="V79" s="15">
        <v>23</v>
      </c>
      <c r="W79" s="15">
        <v>77</v>
      </c>
      <c r="X79" t="s">
        <v>39</v>
      </c>
      <c r="Y79" t="s">
        <v>78</v>
      </c>
      <c r="Z79" s="14">
        <v>8.5</v>
      </c>
      <c r="AA79" s="12">
        <f>YEAR(Table1[Hire_Date])</f>
        <v>2018</v>
      </c>
      <c r="AB7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80" spans="1:28" x14ac:dyDescent="0.25">
      <c r="A80" t="s">
        <v>435</v>
      </c>
      <c r="B80" s="16" t="s">
        <v>436</v>
      </c>
      <c r="C80" s="16" t="s">
        <v>437</v>
      </c>
      <c r="D80" t="s">
        <v>44</v>
      </c>
      <c r="E80" s="15">
        <v>29</v>
      </c>
      <c r="F80" s="16" t="s">
        <v>103</v>
      </c>
      <c r="G80" s="16" t="s">
        <v>147</v>
      </c>
      <c r="H80" s="16" t="s">
        <v>56</v>
      </c>
      <c r="I80" s="16" t="s">
        <v>57</v>
      </c>
      <c r="J80" s="16" t="s">
        <v>34</v>
      </c>
      <c r="K80" s="17" t="s">
        <v>438</v>
      </c>
      <c r="L80" s="17" t="s">
        <v>439</v>
      </c>
      <c r="M80" t="s">
        <v>76</v>
      </c>
      <c r="N80" t="s">
        <v>337</v>
      </c>
      <c r="O80" t="s">
        <v>52</v>
      </c>
      <c r="P80" s="15">
        <v>28</v>
      </c>
      <c r="Q80" s="18">
        <v>126221</v>
      </c>
      <c r="R80" s="19">
        <v>7</v>
      </c>
      <c r="S80" s="14">
        <v>3.9</v>
      </c>
      <c r="T80" s="7">
        <v>84</v>
      </c>
      <c r="U80" s="15">
        <v>19</v>
      </c>
      <c r="V80" s="15">
        <v>15</v>
      </c>
      <c r="W80" s="15">
        <v>6</v>
      </c>
      <c r="X80" t="s">
        <v>39</v>
      </c>
      <c r="Y80" t="s">
        <v>62</v>
      </c>
      <c r="Z80" s="14">
        <v>9.1999999999999993</v>
      </c>
      <c r="AA80" s="12">
        <f>YEAR(Table1[Hire_Date])</f>
        <v>2017</v>
      </c>
      <c r="AB8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81" spans="1:28" x14ac:dyDescent="0.25">
      <c r="A81" t="s">
        <v>440</v>
      </c>
      <c r="B81" s="16" t="s">
        <v>441</v>
      </c>
      <c r="C81" s="16" t="s">
        <v>442</v>
      </c>
      <c r="D81" t="s">
        <v>29</v>
      </c>
      <c r="E81" s="15">
        <v>27</v>
      </c>
      <c r="F81" s="16" t="s">
        <v>124</v>
      </c>
      <c r="G81" s="16" t="s">
        <v>104</v>
      </c>
      <c r="H81" s="16" t="s">
        <v>66</v>
      </c>
      <c r="I81" s="16" t="s">
        <v>33</v>
      </c>
      <c r="J81" s="16" t="s">
        <v>34</v>
      </c>
      <c r="K81" s="17" t="s">
        <v>443</v>
      </c>
      <c r="M81" t="s">
        <v>36</v>
      </c>
      <c r="N81" t="s">
        <v>194</v>
      </c>
      <c r="O81" t="s">
        <v>52</v>
      </c>
      <c r="P81" s="15">
        <v>31</v>
      </c>
      <c r="Q81" s="18">
        <v>171312</v>
      </c>
      <c r="R81" s="19">
        <v>21</v>
      </c>
      <c r="S81" s="14">
        <v>4.4000000000000004</v>
      </c>
      <c r="T81" s="7">
        <v>69</v>
      </c>
      <c r="U81" s="15">
        <v>16</v>
      </c>
      <c r="V81" s="15">
        <v>12</v>
      </c>
      <c r="W81" s="15">
        <v>70</v>
      </c>
      <c r="X81" t="s">
        <v>61</v>
      </c>
      <c r="Y81" t="s">
        <v>40</v>
      </c>
      <c r="Z81" s="14">
        <v>1.4</v>
      </c>
      <c r="AA81" s="12">
        <f>YEAR(Table1[Hire_Date])</f>
        <v>2025</v>
      </c>
      <c r="AB8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82" spans="1:28" x14ac:dyDescent="0.25">
      <c r="A82" t="s">
        <v>444</v>
      </c>
      <c r="B82" s="16" t="s">
        <v>445</v>
      </c>
      <c r="C82" s="16" t="s">
        <v>446</v>
      </c>
      <c r="D82" t="s">
        <v>44</v>
      </c>
      <c r="E82" s="15">
        <v>60</v>
      </c>
      <c r="F82" s="16" t="s">
        <v>45</v>
      </c>
      <c r="G82" s="16" t="s">
        <v>46</v>
      </c>
      <c r="H82" s="16" t="s">
        <v>83</v>
      </c>
      <c r="I82" s="16" t="s">
        <v>48</v>
      </c>
      <c r="J82" s="16" t="s">
        <v>34</v>
      </c>
      <c r="K82" s="17" t="s">
        <v>447</v>
      </c>
      <c r="M82" t="s">
        <v>36</v>
      </c>
      <c r="N82" t="s">
        <v>143</v>
      </c>
      <c r="O82" t="s">
        <v>52</v>
      </c>
      <c r="P82" s="15">
        <v>16</v>
      </c>
      <c r="Q82" s="18">
        <v>171614</v>
      </c>
      <c r="R82" s="19">
        <v>14</v>
      </c>
      <c r="S82" s="14">
        <v>4.7</v>
      </c>
      <c r="T82" s="7">
        <v>84</v>
      </c>
      <c r="U82" s="15">
        <v>20</v>
      </c>
      <c r="V82" s="15">
        <v>19</v>
      </c>
      <c r="W82" s="15">
        <v>64</v>
      </c>
      <c r="X82" t="s">
        <v>61</v>
      </c>
      <c r="Y82" t="s">
        <v>62</v>
      </c>
      <c r="Z82" s="14">
        <v>5.0999999999999996</v>
      </c>
      <c r="AA82" s="12">
        <f>YEAR(Table1[Hire_Date])</f>
        <v>2021</v>
      </c>
      <c r="AB8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83" spans="1:28" x14ac:dyDescent="0.25">
      <c r="A83" t="s">
        <v>448</v>
      </c>
      <c r="B83" s="16" t="s">
        <v>449</v>
      </c>
      <c r="C83" s="16" t="s">
        <v>450</v>
      </c>
      <c r="D83" t="s">
        <v>44</v>
      </c>
      <c r="E83" s="15">
        <v>57</v>
      </c>
      <c r="F83" s="16" t="s">
        <v>30</v>
      </c>
      <c r="G83" s="16" t="s">
        <v>31</v>
      </c>
      <c r="H83" s="16" t="s">
        <v>56</v>
      </c>
      <c r="I83" s="16" t="s">
        <v>33</v>
      </c>
      <c r="J83" s="16" t="s">
        <v>34</v>
      </c>
      <c r="K83" s="17" t="s">
        <v>451</v>
      </c>
      <c r="M83" t="s">
        <v>36</v>
      </c>
      <c r="N83" t="s">
        <v>248</v>
      </c>
      <c r="O83" t="s">
        <v>52</v>
      </c>
      <c r="P83" s="15">
        <v>20</v>
      </c>
      <c r="Q83" s="18">
        <v>174282</v>
      </c>
      <c r="R83" s="19">
        <v>25</v>
      </c>
      <c r="S83" s="14">
        <v>3.9</v>
      </c>
      <c r="T83" s="7">
        <v>60</v>
      </c>
      <c r="U83" s="15">
        <v>15</v>
      </c>
      <c r="V83" s="15">
        <v>19</v>
      </c>
      <c r="W83" s="15">
        <v>59</v>
      </c>
      <c r="X83" t="s">
        <v>61</v>
      </c>
      <c r="Y83" t="s">
        <v>62</v>
      </c>
      <c r="Z83" s="14">
        <v>5.4</v>
      </c>
      <c r="AA83" s="12">
        <f>YEAR(Table1[Hire_Date])</f>
        <v>2021</v>
      </c>
      <c r="AB8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84" spans="1:28" x14ac:dyDescent="0.25">
      <c r="A84" t="s">
        <v>452</v>
      </c>
      <c r="B84" s="16" t="s">
        <v>453</v>
      </c>
      <c r="C84" s="16" t="s">
        <v>454</v>
      </c>
      <c r="D84" t="s">
        <v>44</v>
      </c>
      <c r="E84" s="15">
        <v>42</v>
      </c>
      <c r="F84" s="16" t="s">
        <v>30</v>
      </c>
      <c r="G84" s="16" t="s">
        <v>13</v>
      </c>
      <c r="H84" s="16" t="s">
        <v>32</v>
      </c>
      <c r="I84" s="16" t="s">
        <v>48</v>
      </c>
      <c r="J84" s="16" t="s">
        <v>49</v>
      </c>
      <c r="K84" s="17" t="s">
        <v>455</v>
      </c>
      <c r="M84" t="s">
        <v>36</v>
      </c>
      <c r="N84" t="s">
        <v>204</v>
      </c>
      <c r="O84" t="s">
        <v>60</v>
      </c>
      <c r="P84" s="15">
        <v>23</v>
      </c>
      <c r="Q84" s="18">
        <v>156283</v>
      </c>
      <c r="R84" s="19">
        <v>24</v>
      </c>
      <c r="S84" s="14">
        <v>3</v>
      </c>
      <c r="T84" s="7">
        <v>98</v>
      </c>
      <c r="U84" s="15">
        <v>10</v>
      </c>
      <c r="V84" s="15">
        <v>34</v>
      </c>
      <c r="W84" s="15">
        <v>66</v>
      </c>
      <c r="X84" t="s">
        <v>39</v>
      </c>
      <c r="Y84" t="s">
        <v>40</v>
      </c>
      <c r="Z84" s="14">
        <v>5.5</v>
      </c>
      <c r="AA84" s="12">
        <f>YEAR(Table1[Hire_Date])</f>
        <v>2021</v>
      </c>
      <c r="AB8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85" spans="1:28" x14ac:dyDescent="0.25">
      <c r="A85" t="s">
        <v>456</v>
      </c>
      <c r="B85" s="16" t="s">
        <v>457</v>
      </c>
      <c r="C85" s="16" t="s">
        <v>458</v>
      </c>
      <c r="D85" t="s">
        <v>29</v>
      </c>
      <c r="E85" s="15">
        <v>32</v>
      </c>
      <c r="F85" s="16" t="s">
        <v>124</v>
      </c>
      <c r="G85" s="16" t="s">
        <v>13</v>
      </c>
      <c r="H85" s="16" t="s">
        <v>32</v>
      </c>
      <c r="I85" s="16" t="s">
        <v>33</v>
      </c>
      <c r="J85" s="16" t="s">
        <v>49</v>
      </c>
      <c r="K85" s="17" t="s">
        <v>459</v>
      </c>
      <c r="M85" t="s">
        <v>36</v>
      </c>
      <c r="N85" t="s">
        <v>277</v>
      </c>
      <c r="O85" t="s">
        <v>38</v>
      </c>
      <c r="P85" s="15">
        <v>14</v>
      </c>
      <c r="Q85" s="18">
        <v>41132</v>
      </c>
      <c r="R85" s="19">
        <v>19</v>
      </c>
      <c r="S85" s="14">
        <v>3</v>
      </c>
      <c r="T85" s="7">
        <v>87</v>
      </c>
      <c r="U85" s="15">
        <v>15</v>
      </c>
      <c r="V85" s="15">
        <v>40</v>
      </c>
      <c r="W85" s="15">
        <v>33</v>
      </c>
      <c r="X85" t="s">
        <v>61</v>
      </c>
      <c r="Y85" t="s">
        <v>40</v>
      </c>
      <c r="Z85" s="14">
        <v>7.8</v>
      </c>
      <c r="AA85" s="12">
        <f>YEAR(Table1[Hire_Date])</f>
        <v>2018</v>
      </c>
      <c r="AB8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86" spans="1:28" x14ac:dyDescent="0.25">
      <c r="A86" t="s">
        <v>460</v>
      </c>
      <c r="B86" s="16" t="s">
        <v>461</v>
      </c>
      <c r="C86" s="16" t="s">
        <v>462</v>
      </c>
      <c r="D86" t="s">
        <v>44</v>
      </c>
      <c r="E86" s="15">
        <v>22</v>
      </c>
      <c r="F86" s="16" t="s">
        <v>90</v>
      </c>
      <c r="G86" s="16" t="s">
        <v>281</v>
      </c>
      <c r="H86" s="16" t="s">
        <v>66</v>
      </c>
      <c r="I86" s="16" t="s">
        <v>33</v>
      </c>
      <c r="J86" s="16" t="s">
        <v>49</v>
      </c>
      <c r="K86" s="17" t="s">
        <v>463</v>
      </c>
      <c r="L86" s="17" t="s">
        <v>464</v>
      </c>
      <c r="M86" t="s">
        <v>76</v>
      </c>
      <c r="N86" t="s">
        <v>248</v>
      </c>
      <c r="O86" t="s">
        <v>60</v>
      </c>
      <c r="P86" s="15">
        <v>3</v>
      </c>
      <c r="Q86" s="18">
        <v>110653</v>
      </c>
      <c r="R86" s="19">
        <v>14</v>
      </c>
      <c r="S86" s="14">
        <v>4.5</v>
      </c>
      <c r="T86" s="7">
        <v>75</v>
      </c>
      <c r="U86" s="15">
        <v>3</v>
      </c>
      <c r="V86" s="15">
        <v>45</v>
      </c>
      <c r="W86" s="15">
        <v>11</v>
      </c>
      <c r="X86" t="s">
        <v>61</v>
      </c>
      <c r="Y86" t="s">
        <v>40</v>
      </c>
      <c r="Z86" s="14">
        <v>6.6</v>
      </c>
      <c r="AA86" s="12">
        <f>YEAR(Table1[Hire_Date])</f>
        <v>2019</v>
      </c>
      <c r="AB8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87" spans="1:28" x14ac:dyDescent="0.25">
      <c r="A87" t="s">
        <v>465</v>
      </c>
      <c r="B87" s="16" t="s">
        <v>466</v>
      </c>
      <c r="C87" s="16" t="s">
        <v>467</v>
      </c>
      <c r="D87" t="s">
        <v>44</v>
      </c>
      <c r="E87" s="15">
        <v>26</v>
      </c>
      <c r="F87" s="16" t="s">
        <v>72</v>
      </c>
      <c r="G87" s="16" t="s">
        <v>135</v>
      </c>
      <c r="H87" s="16" t="s">
        <v>47</v>
      </c>
      <c r="I87" s="16" t="s">
        <v>57</v>
      </c>
      <c r="J87" s="16" t="s">
        <v>34</v>
      </c>
      <c r="K87" s="17" t="s">
        <v>468</v>
      </c>
      <c r="M87" t="s">
        <v>36</v>
      </c>
      <c r="N87" t="s">
        <v>469</v>
      </c>
      <c r="O87" t="s">
        <v>38</v>
      </c>
      <c r="P87" s="15">
        <v>3</v>
      </c>
      <c r="Q87" s="18">
        <v>170246</v>
      </c>
      <c r="R87" s="19">
        <v>22</v>
      </c>
      <c r="S87" s="14">
        <v>4.0999999999999996</v>
      </c>
      <c r="T87" s="7">
        <v>90</v>
      </c>
      <c r="U87" s="15">
        <v>18</v>
      </c>
      <c r="V87" s="15">
        <v>8</v>
      </c>
      <c r="W87" s="15">
        <v>27</v>
      </c>
      <c r="X87" t="s">
        <v>61</v>
      </c>
      <c r="Y87" t="s">
        <v>78</v>
      </c>
      <c r="Z87" s="14">
        <v>0.9</v>
      </c>
      <c r="AA87" s="12">
        <f>YEAR(Table1[Hire_Date])</f>
        <v>2025</v>
      </c>
      <c r="AB8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88" spans="1:28" x14ac:dyDescent="0.25">
      <c r="A88" t="s">
        <v>470</v>
      </c>
      <c r="B88" s="16" t="s">
        <v>471</v>
      </c>
      <c r="C88" s="16" t="s">
        <v>472</v>
      </c>
      <c r="D88" t="s">
        <v>29</v>
      </c>
      <c r="E88" s="15">
        <v>24</v>
      </c>
      <c r="F88" s="16" t="s">
        <v>30</v>
      </c>
      <c r="G88" s="16" t="s">
        <v>31</v>
      </c>
      <c r="H88" s="16" t="s">
        <v>56</v>
      </c>
      <c r="I88" s="16" t="s">
        <v>33</v>
      </c>
      <c r="J88" s="16" t="s">
        <v>49</v>
      </c>
      <c r="K88" s="17" t="s">
        <v>473</v>
      </c>
      <c r="M88" t="s">
        <v>36</v>
      </c>
      <c r="N88" t="s">
        <v>323</v>
      </c>
      <c r="O88" t="s">
        <v>38</v>
      </c>
      <c r="P88" s="15">
        <v>13</v>
      </c>
      <c r="Q88" s="18">
        <v>144520</v>
      </c>
      <c r="R88" s="19">
        <v>19</v>
      </c>
      <c r="S88" s="14">
        <v>3.2</v>
      </c>
      <c r="T88" s="7">
        <v>73</v>
      </c>
      <c r="U88" s="15">
        <v>12</v>
      </c>
      <c r="V88" s="15">
        <v>12</v>
      </c>
      <c r="W88" s="15">
        <v>20</v>
      </c>
      <c r="X88" t="s">
        <v>61</v>
      </c>
      <c r="Y88" t="s">
        <v>40</v>
      </c>
      <c r="Z88" s="14">
        <v>4.4000000000000004</v>
      </c>
      <c r="AA88" s="12">
        <f>YEAR(Table1[Hire_Date])</f>
        <v>2022</v>
      </c>
      <c r="AB8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89" spans="1:28" x14ac:dyDescent="0.25">
      <c r="A89" t="s">
        <v>474</v>
      </c>
      <c r="B89" s="16" t="s">
        <v>475</v>
      </c>
      <c r="C89" s="16" t="s">
        <v>476</v>
      </c>
      <c r="D89" t="s">
        <v>44</v>
      </c>
      <c r="E89" s="15">
        <v>47</v>
      </c>
      <c r="F89" s="16" t="s">
        <v>103</v>
      </c>
      <c r="G89" s="16" t="s">
        <v>13</v>
      </c>
      <c r="H89" s="16" t="s">
        <v>32</v>
      </c>
      <c r="I89" s="16" t="s">
        <v>48</v>
      </c>
      <c r="J89" s="16" t="s">
        <v>49</v>
      </c>
      <c r="K89" s="17" t="s">
        <v>477</v>
      </c>
      <c r="M89" t="s">
        <v>36</v>
      </c>
      <c r="N89" t="s">
        <v>209</v>
      </c>
      <c r="O89" t="s">
        <v>52</v>
      </c>
      <c r="P89" s="15">
        <v>3</v>
      </c>
      <c r="Q89" s="18">
        <v>144245</v>
      </c>
      <c r="R89" s="19">
        <v>19</v>
      </c>
      <c r="S89" s="14">
        <v>4.3</v>
      </c>
      <c r="T89" s="7">
        <v>75</v>
      </c>
      <c r="U89" s="15">
        <v>0</v>
      </c>
      <c r="V89" s="15">
        <v>56</v>
      </c>
      <c r="W89" s="15">
        <v>72</v>
      </c>
      <c r="X89" t="s">
        <v>61</v>
      </c>
      <c r="Y89" t="s">
        <v>62</v>
      </c>
      <c r="Z89" s="14">
        <v>5</v>
      </c>
      <c r="AA89" s="12">
        <f>YEAR(Table1[Hire_Date])</f>
        <v>2021</v>
      </c>
      <c r="AB8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90" spans="1:28" x14ac:dyDescent="0.25">
      <c r="A90" t="s">
        <v>478</v>
      </c>
      <c r="B90" s="16" t="s">
        <v>479</v>
      </c>
      <c r="C90" s="16" t="s">
        <v>480</v>
      </c>
      <c r="D90" t="s">
        <v>29</v>
      </c>
      <c r="E90" s="15">
        <v>59</v>
      </c>
      <c r="F90" s="16" t="s">
        <v>30</v>
      </c>
      <c r="G90" s="16" t="s">
        <v>31</v>
      </c>
      <c r="H90" s="16" t="s">
        <v>47</v>
      </c>
      <c r="I90" s="16" t="s">
        <v>48</v>
      </c>
      <c r="J90" s="16" t="s">
        <v>49</v>
      </c>
      <c r="K90" s="17" t="s">
        <v>481</v>
      </c>
      <c r="M90" t="s">
        <v>36</v>
      </c>
      <c r="N90" t="s">
        <v>286</v>
      </c>
      <c r="O90" t="s">
        <v>52</v>
      </c>
      <c r="P90" s="15">
        <v>31</v>
      </c>
      <c r="Q90" s="18">
        <v>127332</v>
      </c>
      <c r="R90" s="19">
        <v>23</v>
      </c>
      <c r="S90" s="14">
        <v>3.5</v>
      </c>
      <c r="T90" s="7">
        <v>91</v>
      </c>
      <c r="U90" s="15">
        <v>6</v>
      </c>
      <c r="V90" s="15">
        <v>23</v>
      </c>
      <c r="W90" s="15">
        <v>74</v>
      </c>
      <c r="X90" t="s">
        <v>39</v>
      </c>
      <c r="Y90" t="s">
        <v>78</v>
      </c>
      <c r="Z90" s="14">
        <v>3.6</v>
      </c>
      <c r="AA90" s="12">
        <f>YEAR(Table1[Hire_Date])</f>
        <v>2022</v>
      </c>
      <c r="AB9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91" spans="1:28" x14ac:dyDescent="0.25">
      <c r="A91" t="s">
        <v>482</v>
      </c>
      <c r="B91" s="16" t="s">
        <v>483</v>
      </c>
      <c r="C91" s="16" t="s">
        <v>484</v>
      </c>
      <c r="D91" t="s">
        <v>29</v>
      </c>
      <c r="E91" s="15">
        <v>57</v>
      </c>
      <c r="F91" s="16" t="s">
        <v>30</v>
      </c>
      <c r="G91" s="16" t="s">
        <v>13</v>
      </c>
      <c r="H91" s="16" t="s">
        <v>56</v>
      </c>
      <c r="I91" s="16" t="s">
        <v>48</v>
      </c>
      <c r="J91" s="16" t="s">
        <v>49</v>
      </c>
      <c r="K91" s="17" t="s">
        <v>485</v>
      </c>
      <c r="L91" s="17" t="s">
        <v>486</v>
      </c>
      <c r="M91" t="s">
        <v>76</v>
      </c>
      <c r="N91" t="s">
        <v>155</v>
      </c>
      <c r="O91" t="s">
        <v>52</v>
      </c>
      <c r="P91" s="15">
        <v>29</v>
      </c>
      <c r="Q91" s="18">
        <v>125933</v>
      </c>
      <c r="R91" s="19">
        <v>21</v>
      </c>
      <c r="S91" s="14">
        <v>3.5</v>
      </c>
      <c r="T91" s="7">
        <v>79</v>
      </c>
      <c r="U91" s="15">
        <v>6</v>
      </c>
      <c r="V91" s="15">
        <v>59</v>
      </c>
      <c r="W91" s="15">
        <v>57</v>
      </c>
      <c r="X91" t="s">
        <v>39</v>
      </c>
      <c r="Y91" t="s">
        <v>40</v>
      </c>
      <c r="Z91" s="14">
        <v>6.9</v>
      </c>
      <c r="AA91" s="12">
        <f>YEAR(Table1[Hire_Date])</f>
        <v>2019</v>
      </c>
      <c r="AB9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92" spans="1:28" x14ac:dyDescent="0.25">
      <c r="A92" t="s">
        <v>487</v>
      </c>
      <c r="B92" s="16" t="s">
        <v>488</v>
      </c>
      <c r="C92" s="16" t="s">
        <v>489</v>
      </c>
      <c r="D92" t="s">
        <v>29</v>
      </c>
      <c r="E92" s="15">
        <v>29</v>
      </c>
      <c r="F92" s="16" t="s">
        <v>30</v>
      </c>
      <c r="G92" s="16" t="s">
        <v>31</v>
      </c>
      <c r="H92" s="16" t="s">
        <v>47</v>
      </c>
      <c r="I92" s="16" t="s">
        <v>57</v>
      </c>
      <c r="J92" s="16" t="s">
        <v>34</v>
      </c>
      <c r="K92" s="17" t="s">
        <v>490</v>
      </c>
      <c r="M92" t="s">
        <v>36</v>
      </c>
      <c r="N92" t="s">
        <v>491</v>
      </c>
      <c r="O92" t="s">
        <v>60</v>
      </c>
      <c r="P92" s="15">
        <v>23</v>
      </c>
      <c r="Q92" s="18">
        <v>164358</v>
      </c>
      <c r="R92" s="19">
        <v>23</v>
      </c>
      <c r="S92" s="14">
        <v>4.2</v>
      </c>
      <c r="T92" s="7">
        <v>56</v>
      </c>
      <c r="U92" s="15">
        <v>15</v>
      </c>
      <c r="V92" s="15">
        <v>54</v>
      </c>
      <c r="W92" s="15">
        <v>46</v>
      </c>
      <c r="X92" t="s">
        <v>39</v>
      </c>
      <c r="Y92" t="s">
        <v>62</v>
      </c>
      <c r="Z92" s="14">
        <v>10.1</v>
      </c>
      <c r="AA92" s="12">
        <f>YEAR(Table1[Hire_Date])</f>
        <v>2016</v>
      </c>
      <c r="AB9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93" spans="1:28" x14ac:dyDescent="0.25">
      <c r="A93" t="s">
        <v>492</v>
      </c>
      <c r="B93" s="16" t="s">
        <v>493</v>
      </c>
      <c r="C93" s="16" t="s">
        <v>494</v>
      </c>
      <c r="D93" t="s">
        <v>44</v>
      </c>
      <c r="E93" s="15">
        <v>44</v>
      </c>
      <c r="F93" s="16" t="s">
        <v>72</v>
      </c>
      <c r="G93" s="16" t="s">
        <v>135</v>
      </c>
      <c r="H93" s="16" t="s">
        <v>83</v>
      </c>
      <c r="I93" s="16" t="s">
        <v>57</v>
      </c>
      <c r="J93" s="16" t="s">
        <v>34</v>
      </c>
      <c r="K93" s="17" t="s">
        <v>495</v>
      </c>
      <c r="M93" t="s">
        <v>36</v>
      </c>
      <c r="N93" t="s">
        <v>99</v>
      </c>
      <c r="O93" t="s">
        <v>60</v>
      </c>
      <c r="P93" s="15">
        <v>19</v>
      </c>
      <c r="Q93" s="18">
        <v>133887</v>
      </c>
      <c r="R93" s="19">
        <v>22</v>
      </c>
      <c r="S93" s="14">
        <v>4.0999999999999996</v>
      </c>
      <c r="T93" s="7">
        <v>98</v>
      </c>
      <c r="U93" s="15">
        <v>16</v>
      </c>
      <c r="V93" s="15">
        <v>11</v>
      </c>
      <c r="W93" s="15">
        <v>3</v>
      </c>
      <c r="X93" t="s">
        <v>39</v>
      </c>
      <c r="Y93" t="s">
        <v>62</v>
      </c>
      <c r="Z93" s="14">
        <v>9.6</v>
      </c>
      <c r="AA93" s="12">
        <f>YEAR(Table1[Hire_Date])</f>
        <v>2016</v>
      </c>
      <c r="AB9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94" spans="1:28" x14ac:dyDescent="0.25">
      <c r="A94" t="s">
        <v>496</v>
      </c>
      <c r="B94" s="16" t="s">
        <v>497</v>
      </c>
      <c r="C94" s="16" t="s">
        <v>498</v>
      </c>
      <c r="D94" t="s">
        <v>44</v>
      </c>
      <c r="E94" s="15">
        <v>49</v>
      </c>
      <c r="F94" s="16" t="s">
        <v>72</v>
      </c>
      <c r="G94" s="16" t="s">
        <v>97</v>
      </c>
      <c r="H94" s="16" t="s">
        <v>66</v>
      </c>
      <c r="I94" s="16" t="s">
        <v>33</v>
      </c>
      <c r="J94" s="16" t="s">
        <v>34</v>
      </c>
      <c r="K94" s="17" t="s">
        <v>499</v>
      </c>
      <c r="L94" s="17" t="s">
        <v>500</v>
      </c>
      <c r="M94" t="s">
        <v>76</v>
      </c>
      <c r="N94" t="s">
        <v>155</v>
      </c>
      <c r="O94" t="s">
        <v>52</v>
      </c>
      <c r="P94" s="15">
        <v>28</v>
      </c>
      <c r="Q94" s="18">
        <v>66584</v>
      </c>
      <c r="R94" s="19">
        <v>17</v>
      </c>
      <c r="S94" s="14">
        <v>3.6</v>
      </c>
      <c r="T94" s="7">
        <v>57</v>
      </c>
      <c r="U94" s="15">
        <v>16</v>
      </c>
      <c r="V94" s="15">
        <v>3</v>
      </c>
      <c r="W94" s="15">
        <v>67</v>
      </c>
      <c r="X94" t="s">
        <v>61</v>
      </c>
      <c r="Y94" t="s">
        <v>40</v>
      </c>
      <c r="Z94" s="14">
        <v>2.4</v>
      </c>
      <c r="AA94" s="12">
        <f>YEAR(Table1[Hire_Date])</f>
        <v>2024</v>
      </c>
      <c r="AB9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95" spans="1:28" x14ac:dyDescent="0.25">
      <c r="A95" t="s">
        <v>501</v>
      </c>
      <c r="B95" s="16" t="s">
        <v>502</v>
      </c>
      <c r="C95" s="16" t="s">
        <v>503</v>
      </c>
      <c r="D95" t="s">
        <v>44</v>
      </c>
      <c r="E95" s="15">
        <v>27</v>
      </c>
      <c r="F95" s="16" t="s">
        <v>45</v>
      </c>
      <c r="G95" s="16" t="s">
        <v>82</v>
      </c>
      <c r="H95" s="16" t="s">
        <v>32</v>
      </c>
      <c r="I95" s="16" t="s">
        <v>57</v>
      </c>
      <c r="J95" s="16" t="s">
        <v>49</v>
      </c>
      <c r="K95" s="17" t="s">
        <v>504</v>
      </c>
      <c r="M95" t="s">
        <v>36</v>
      </c>
      <c r="N95" t="s">
        <v>505</v>
      </c>
      <c r="O95" t="s">
        <v>60</v>
      </c>
      <c r="P95" s="15">
        <v>16</v>
      </c>
      <c r="Q95" s="18">
        <v>173489</v>
      </c>
      <c r="R95" s="19">
        <v>24</v>
      </c>
      <c r="S95" s="14">
        <v>4.8</v>
      </c>
      <c r="T95" s="7">
        <v>75</v>
      </c>
      <c r="U95" s="15">
        <v>15</v>
      </c>
      <c r="V95" s="15">
        <v>53</v>
      </c>
      <c r="W95" s="15">
        <v>53</v>
      </c>
      <c r="X95" t="s">
        <v>61</v>
      </c>
      <c r="Y95" t="s">
        <v>78</v>
      </c>
      <c r="Z95" s="14">
        <v>4.3</v>
      </c>
      <c r="AA95" s="12">
        <f>YEAR(Table1[Hire_Date])</f>
        <v>2022</v>
      </c>
      <c r="AB9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96" spans="1:28" x14ac:dyDescent="0.25">
      <c r="A96" t="s">
        <v>506</v>
      </c>
      <c r="B96" s="16" t="s">
        <v>507</v>
      </c>
      <c r="C96" s="16" t="s">
        <v>508</v>
      </c>
      <c r="D96" t="s">
        <v>29</v>
      </c>
      <c r="E96" s="15">
        <v>41</v>
      </c>
      <c r="F96" s="16" t="s">
        <v>30</v>
      </c>
      <c r="G96" s="16" t="s">
        <v>31</v>
      </c>
      <c r="H96" s="16" t="s">
        <v>66</v>
      </c>
      <c r="I96" s="16" t="s">
        <v>57</v>
      </c>
      <c r="J96" s="16" t="s">
        <v>49</v>
      </c>
      <c r="K96" s="17" t="s">
        <v>509</v>
      </c>
      <c r="M96" t="s">
        <v>36</v>
      </c>
      <c r="N96" t="s">
        <v>510</v>
      </c>
      <c r="O96" t="s">
        <v>52</v>
      </c>
      <c r="P96" s="15">
        <v>25</v>
      </c>
      <c r="Q96" s="18">
        <v>44291</v>
      </c>
      <c r="R96" s="19">
        <v>17</v>
      </c>
      <c r="S96" s="14">
        <v>5</v>
      </c>
      <c r="T96" s="7">
        <v>69</v>
      </c>
      <c r="U96" s="15">
        <v>0</v>
      </c>
      <c r="V96" s="15">
        <v>21</v>
      </c>
      <c r="W96" s="15">
        <v>48</v>
      </c>
      <c r="X96" t="s">
        <v>61</v>
      </c>
      <c r="Y96" t="s">
        <v>40</v>
      </c>
      <c r="Z96" s="14">
        <v>1.3</v>
      </c>
      <c r="AA96" s="12">
        <f>YEAR(Table1[Hire_Date])</f>
        <v>2025</v>
      </c>
      <c r="AB9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97" spans="1:28" x14ac:dyDescent="0.25">
      <c r="A97" t="s">
        <v>511</v>
      </c>
      <c r="B97" s="16" t="s">
        <v>512</v>
      </c>
      <c r="C97" s="16" t="s">
        <v>513</v>
      </c>
      <c r="D97" t="s">
        <v>44</v>
      </c>
      <c r="E97" s="15">
        <v>48</v>
      </c>
      <c r="F97" s="16" t="s">
        <v>72</v>
      </c>
      <c r="G97" s="16" t="s">
        <v>97</v>
      </c>
      <c r="H97" s="16" t="s">
        <v>56</v>
      </c>
      <c r="I97" s="16" t="s">
        <v>48</v>
      </c>
      <c r="J97" s="16" t="s">
        <v>49</v>
      </c>
      <c r="K97" s="17" t="s">
        <v>514</v>
      </c>
      <c r="M97" t="s">
        <v>36</v>
      </c>
      <c r="N97" t="s">
        <v>51</v>
      </c>
      <c r="O97" t="s">
        <v>38</v>
      </c>
      <c r="P97" s="15">
        <v>20</v>
      </c>
      <c r="Q97" s="18">
        <v>73719</v>
      </c>
      <c r="R97" s="19">
        <v>13</v>
      </c>
      <c r="S97" s="14">
        <v>4</v>
      </c>
      <c r="T97" s="7">
        <v>62</v>
      </c>
      <c r="U97" s="15">
        <v>7</v>
      </c>
      <c r="V97" s="15">
        <v>22</v>
      </c>
      <c r="W97" s="15">
        <v>68</v>
      </c>
      <c r="X97" t="s">
        <v>61</v>
      </c>
      <c r="Y97" t="s">
        <v>40</v>
      </c>
      <c r="Z97" s="14">
        <v>3.1</v>
      </c>
      <c r="AA97" s="12">
        <f>YEAR(Table1[Hire_Date])</f>
        <v>2023</v>
      </c>
      <c r="AB9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98" spans="1:28" x14ac:dyDescent="0.25">
      <c r="A98" t="s">
        <v>515</v>
      </c>
      <c r="B98" s="16" t="s">
        <v>516</v>
      </c>
      <c r="C98" s="16" t="s">
        <v>517</v>
      </c>
      <c r="D98" t="s">
        <v>44</v>
      </c>
      <c r="E98" s="15">
        <v>30</v>
      </c>
      <c r="F98" s="16" t="s">
        <v>124</v>
      </c>
      <c r="G98" s="16" t="s">
        <v>141</v>
      </c>
      <c r="H98" s="16" t="s">
        <v>66</v>
      </c>
      <c r="I98" s="16" t="s">
        <v>57</v>
      </c>
      <c r="J98" s="16" t="s">
        <v>34</v>
      </c>
      <c r="K98" s="17" t="s">
        <v>518</v>
      </c>
      <c r="M98" t="s">
        <v>36</v>
      </c>
      <c r="N98" t="s">
        <v>149</v>
      </c>
      <c r="O98" t="s">
        <v>38</v>
      </c>
      <c r="P98" s="15">
        <v>10</v>
      </c>
      <c r="Q98" s="18">
        <v>125540</v>
      </c>
      <c r="R98" s="19">
        <v>5</v>
      </c>
      <c r="S98" s="14">
        <v>4.8</v>
      </c>
      <c r="T98" s="7">
        <v>93</v>
      </c>
      <c r="U98" s="15">
        <v>18</v>
      </c>
      <c r="V98" s="15">
        <v>1</v>
      </c>
      <c r="W98" s="15">
        <v>72</v>
      </c>
      <c r="X98" t="s">
        <v>39</v>
      </c>
      <c r="Y98" t="s">
        <v>62</v>
      </c>
      <c r="Z98" s="14">
        <v>2.2999999999999998</v>
      </c>
      <c r="AA98" s="12">
        <f>YEAR(Table1[Hire_Date])</f>
        <v>2024</v>
      </c>
      <c r="AB9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99" spans="1:28" x14ac:dyDescent="0.25">
      <c r="A99" t="s">
        <v>519</v>
      </c>
      <c r="B99" s="16" t="s">
        <v>520</v>
      </c>
      <c r="C99" s="16" t="s">
        <v>521</v>
      </c>
      <c r="D99" t="s">
        <v>44</v>
      </c>
      <c r="E99" s="15">
        <v>54</v>
      </c>
      <c r="F99" s="16" t="s">
        <v>45</v>
      </c>
      <c r="G99" s="16" t="s">
        <v>46</v>
      </c>
      <c r="H99" s="16" t="s">
        <v>83</v>
      </c>
      <c r="I99" s="16" t="s">
        <v>48</v>
      </c>
      <c r="J99" s="16" t="s">
        <v>34</v>
      </c>
      <c r="K99" s="17" t="s">
        <v>522</v>
      </c>
      <c r="M99" t="s">
        <v>36</v>
      </c>
      <c r="N99" t="s">
        <v>131</v>
      </c>
      <c r="O99" t="s">
        <v>60</v>
      </c>
      <c r="P99" s="15">
        <v>18</v>
      </c>
      <c r="Q99" s="18">
        <v>178436</v>
      </c>
      <c r="R99" s="19">
        <v>23</v>
      </c>
      <c r="S99" s="14">
        <v>3.8</v>
      </c>
      <c r="T99" s="7">
        <v>97</v>
      </c>
      <c r="U99" s="15">
        <v>10</v>
      </c>
      <c r="V99" s="15">
        <v>31</v>
      </c>
      <c r="W99" s="15">
        <v>38</v>
      </c>
      <c r="X99" t="s">
        <v>39</v>
      </c>
      <c r="Y99" t="s">
        <v>78</v>
      </c>
      <c r="Z99" s="14">
        <v>6.9</v>
      </c>
      <c r="AA99" s="12">
        <f>YEAR(Table1[Hire_Date])</f>
        <v>2019</v>
      </c>
      <c r="AB9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100" spans="1:28" x14ac:dyDescent="0.25">
      <c r="A100" t="s">
        <v>523</v>
      </c>
      <c r="B100" s="16" t="s">
        <v>524</v>
      </c>
      <c r="C100" s="16" t="s">
        <v>525</v>
      </c>
      <c r="D100" t="s">
        <v>29</v>
      </c>
      <c r="E100" s="15">
        <v>40</v>
      </c>
      <c r="F100" s="16" t="s">
        <v>30</v>
      </c>
      <c r="G100" s="16" t="s">
        <v>13</v>
      </c>
      <c r="H100" s="16" t="s">
        <v>66</v>
      </c>
      <c r="I100" s="16" t="s">
        <v>57</v>
      </c>
      <c r="J100" s="16" t="s">
        <v>49</v>
      </c>
      <c r="K100" s="17" t="s">
        <v>526</v>
      </c>
      <c r="M100" t="s">
        <v>36</v>
      </c>
      <c r="N100" t="s">
        <v>527</v>
      </c>
      <c r="O100" t="s">
        <v>38</v>
      </c>
      <c r="P100" s="15">
        <v>24</v>
      </c>
      <c r="Q100" s="18">
        <v>96100</v>
      </c>
      <c r="R100" s="19">
        <v>16</v>
      </c>
      <c r="S100" s="14">
        <v>2.5</v>
      </c>
      <c r="T100" s="7">
        <v>90</v>
      </c>
      <c r="U100" s="15">
        <v>15</v>
      </c>
      <c r="V100" s="15">
        <v>20</v>
      </c>
      <c r="W100" s="15">
        <v>71</v>
      </c>
      <c r="X100" t="s">
        <v>39</v>
      </c>
      <c r="Y100" t="s">
        <v>62</v>
      </c>
      <c r="Z100" s="14">
        <v>5.8</v>
      </c>
      <c r="AA100" s="12">
        <f>YEAR(Table1[Hire_Date])</f>
        <v>2020</v>
      </c>
      <c r="AB10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101" spans="1:28" x14ac:dyDescent="0.25">
      <c r="A101" t="s">
        <v>528</v>
      </c>
      <c r="B101" s="16" t="s">
        <v>529</v>
      </c>
      <c r="C101" s="16" t="s">
        <v>530</v>
      </c>
      <c r="D101" t="s">
        <v>29</v>
      </c>
      <c r="E101" s="15">
        <v>44</v>
      </c>
      <c r="F101" s="16" t="s">
        <v>45</v>
      </c>
      <c r="G101" s="16" t="s">
        <v>46</v>
      </c>
      <c r="H101" s="16" t="s">
        <v>66</v>
      </c>
      <c r="I101" s="16" t="s">
        <v>57</v>
      </c>
      <c r="J101" s="16" t="s">
        <v>49</v>
      </c>
      <c r="K101" s="17" t="s">
        <v>531</v>
      </c>
      <c r="M101" t="s">
        <v>36</v>
      </c>
      <c r="N101" t="s">
        <v>419</v>
      </c>
      <c r="O101" t="s">
        <v>38</v>
      </c>
      <c r="P101" s="15">
        <v>16</v>
      </c>
      <c r="Q101" s="18">
        <v>136378</v>
      </c>
      <c r="R101" s="19">
        <v>16</v>
      </c>
      <c r="S101" s="14">
        <v>4.5</v>
      </c>
      <c r="T101" s="7">
        <v>95</v>
      </c>
      <c r="U101" s="15">
        <v>10</v>
      </c>
      <c r="V101" s="15">
        <v>8</v>
      </c>
      <c r="W101" s="15">
        <v>28</v>
      </c>
      <c r="X101" t="s">
        <v>61</v>
      </c>
      <c r="Y101" t="s">
        <v>40</v>
      </c>
      <c r="Z101" s="14">
        <v>9.8000000000000007</v>
      </c>
      <c r="AA101" s="12">
        <f>YEAR(Table1[Hire_Date])</f>
        <v>2016</v>
      </c>
      <c r="AB10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102" spans="1:28" x14ac:dyDescent="0.25">
      <c r="A102" t="s">
        <v>532</v>
      </c>
      <c r="B102" s="16" t="s">
        <v>533</v>
      </c>
      <c r="C102" s="16" t="s">
        <v>534</v>
      </c>
      <c r="D102" t="s">
        <v>44</v>
      </c>
      <c r="E102" s="15">
        <v>21</v>
      </c>
      <c r="F102" s="16" t="s">
        <v>103</v>
      </c>
      <c r="G102" s="16" t="s">
        <v>13</v>
      </c>
      <c r="H102" s="16" t="s">
        <v>83</v>
      </c>
      <c r="I102" s="16" t="s">
        <v>57</v>
      </c>
      <c r="J102" s="16" t="s">
        <v>49</v>
      </c>
      <c r="K102" s="17" t="s">
        <v>535</v>
      </c>
      <c r="M102" t="s">
        <v>36</v>
      </c>
      <c r="N102" t="s">
        <v>536</v>
      </c>
      <c r="O102" t="s">
        <v>52</v>
      </c>
      <c r="P102" s="15">
        <v>18</v>
      </c>
      <c r="Q102" s="18">
        <v>160325</v>
      </c>
      <c r="R102" s="19">
        <v>11</v>
      </c>
      <c r="S102" s="14">
        <v>2.5</v>
      </c>
      <c r="T102" s="7">
        <v>65</v>
      </c>
      <c r="U102" s="15">
        <v>18</v>
      </c>
      <c r="V102" s="15">
        <v>36</v>
      </c>
      <c r="W102" s="15">
        <v>80</v>
      </c>
      <c r="X102" t="s">
        <v>61</v>
      </c>
      <c r="Y102" t="s">
        <v>40</v>
      </c>
      <c r="Z102" s="14">
        <v>4.3</v>
      </c>
      <c r="AA102" s="12">
        <f>YEAR(Table1[Hire_Date])</f>
        <v>2022</v>
      </c>
      <c r="AB10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103" spans="1:28" x14ac:dyDescent="0.25">
      <c r="A103" t="s">
        <v>537</v>
      </c>
      <c r="B103" s="16" t="s">
        <v>538</v>
      </c>
      <c r="C103" s="16" t="s">
        <v>539</v>
      </c>
      <c r="D103" t="s">
        <v>44</v>
      </c>
      <c r="E103" s="15">
        <v>23</v>
      </c>
      <c r="F103" s="16" t="s">
        <v>90</v>
      </c>
      <c r="G103" s="16" t="s">
        <v>281</v>
      </c>
      <c r="H103" s="16" t="s">
        <v>66</v>
      </c>
      <c r="I103" s="16" t="s">
        <v>33</v>
      </c>
      <c r="J103" s="16" t="s">
        <v>49</v>
      </c>
      <c r="K103" s="17" t="s">
        <v>540</v>
      </c>
      <c r="M103" t="s">
        <v>36</v>
      </c>
      <c r="N103" t="s">
        <v>229</v>
      </c>
      <c r="O103" t="s">
        <v>52</v>
      </c>
      <c r="P103" s="15">
        <v>1</v>
      </c>
      <c r="Q103" s="18">
        <v>118755</v>
      </c>
      <c r="R103" s="19">
        <v>15</v>
      </c>
      <c r="S103" s="14">
        <v>3.3</v>
      </c>
      <c r="T103" s="7">
        <v>71</v>
      </c>
      <c r="U103" s="15">
        <v>18</v>
      </c>
      <c r="V103" s="15">
        <v>52</v>
      </c>
      <c r="W103" s="15">
        <v>23</v>
      </c>
      <c r="X103" t="s">
        <v>39</v>
      </c>
      <c r="Y103" t="s">
        <v>78</v>
      </c>
      <c r="Z103" s="14">
        <v>0.2</v>
      </c>
      <c r="AA103" s="12">
        <f>YEAR(Table1[Hire_Date])</f>
        <v>2026</v>
      </c>
      <c r="AB10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104" spans="1:28" x14ac:dyDescent="0.25">
      <c r="A104" t="s">
        <v>541</v>
      </c>
      <c r="B104" s="16" t="s">
        <v>542</v>
      </c>
      <c r="C104" s="16" t="s">
        <v>543</v>
      </c>
      <c r="D104" t="s">
        <v>44</v>
      </c>
      <c r="E104" s="15">
        <v>24</v>
      </c>
      <c r="F104" s="16" t="s">
        <v>103</v>
      </c>
      <c r="G104" s="16" t="s">
        <v>104</v>
      </c>
      <c r="H104" s="16" t="s">
        <v>32</v>
      </c>
      <c r="I104" s="16" t="s">
        <v>48</v>
      </c>
      <c r="J104" s="16" t="s">
        <v>34</v>
      </c>
      <c r="K104" s="17" t="s">
        <v>544</v>
      </c>
      <c r="L104" s="17" t="s">
        <v>545</v>
      </c>
      <c r="M104" t="s">
        <v>76</v>
      </c>
      <c r="N104" t="s">
        <v>126</v>
      </c>
      <c r="O104" t="s">
        <v>52</v>
      </c>
      <c r="P104" s="15">
        <v>5</v>
      </c>
      <c r="Q104" s="18">
        <v>88874</v>
      </c>
      <c r="R104" s="19">
        <v>8</v>
      </c>
      <c r="S104" s="14">
        <v>3</v>
      </c>
      <c r="T104" s="7">
        <v>83</v>
      </c>
      <c r="U104" s="15">
        <v>18</v>
      </c>
      <c r="V104" s="15">
        <v>30</v>
      </c>
      <c r="W104" s="15">
        <v>5</v>
      </c>
      <c r="X104" t="s">
        <v>39</v>
      </c>
      <c r="Y104" t="s">
        <v>62</v>
      </c>
      <c r="Z104" s="14">
        <v>8.3000000000000007</v>
      </c>
      <c r="AA104" s="12">
        <f>YEAR(Table1[Hire_Date])</f>
        <v>2018</v>
      </c>
      <c r="AB10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105" spans="1:28" x14ac:dyDescent="0.25">
      <c r="A105" t="s">
        <v>546</v>
      </c>
      <c r="B105" s="16" t="s">
        <v>547</v>
      </c>
      <c r="C105" s="16" t="s">
        <v>548</v>
      </c>
      <c r="D105" t="s">
        <v>44</v>
      </c>
      <c r="E105" s="15">
        <v>55</v>
      </c>
      <c r="F105" s="16" t="s">
        <v>45</v>
      </c>
      <c r="G105" s="16" t="s">
        <v>82</v>
      </c>
      <c r="H105" s="16" t="s">
        <v>56</v>
      </c>
      <c r="I105" s="16" t="s">
        <v>33</v>
      </c>
      <c r="J105" s="16" t="s">
        <v>49</v>
      </c>
      <c r="K105" s="17" t="s">
        <v>549</v>
      </c>
      <c r="M105" t="s">
        <v>36</v>
      </c>
      <c r="N105" t="s">
        <v>550</v>
      </c>
      <c r="O105" t="s">
        <v>38</v>
      </c>
      <c r="P105" s="15">
        <v>13</v>
      </c>
      <c r="Q105" s="18">
        <v>141002</v>
      </c>
      <c r="R105" s="19">
        <v>20</v>
      </c>
      <c r="S105" s="14">
        <v>3</v>
      </c>
      <c r="T105" s="7">
        <v>66</v>
      </c>
      <c r="U105" s="15">
        <v>10</v>
      </c>
      <c r="V105" s="15">
        <v>10</v>
      </c>
      <c r="W105" s="15">
        <v>34</v>
      </c>
      <c r="X105" t="s">
        <v>61</v>
      </c>
      <c r="Y105" t="s">
        <v>40</v>
      </c>
      <c r="Z105" s="14">
        <v>8.6</v>
      </c>
      <c r="AA105" s="12">
        <f>YEAR(Table1[Hire_Date])</f>
        <v>2017</v>
      </c>
      <c r="AB10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106" spans="1:28" x14ac:dyDescent="0.25">
      <c r="A106" t="s">
        <v>551</v>
      </c>
      <c r="B106" s="16" t="s">
        <v>552</v>
      </c>
      <c r="C106" s="16" t="s">
        <v>553</v>
      </c>
      <c r="D106" t="s">
        <v>29</v>
      </c>
      <c r="E106" s="15">
        <v>27</v>
      </c>
      <c r="F106" s="16" t="s">
        <v>72</v>
      </c>
      <c r="G106" s="16" t="s">
        <v>97</v>
      </c>
      <c r="H106" s="16" t="s">
        <v>66</v>
      </c>
      <c r="I106" s="16" t="s">
        <v>57</v>
      </c>
      <c r="J106" s="16" t="s">
        <v>49</v>
      </c>
      <c r="K106" s="17" t="s">
        <v>554</v>
      </c>
      <c r="L106" s="17" t="s">
        <v>555</v>
      </c>
      <c r="M106" t="s">
        <v>76</v>
      </c>
      <c r="N106" t="s">
        <v>189</v>
      </c>
      <c r="O106" t="s">
        <v>52</v>
      </c>
      <c r="P106" s="15">
        <v>26</v>
      </c>
      <c r="Q106" s="18">
        <v>137945</v>
      </c>
      <c r="R106" s="19">
        <v>24</v>
      </c>
      <c r="S106" s="14">
        <v>3.6</v>
      </c>
      <c r="T106" s="7">
        <v>57</v>
      </c>
      <c r="U106" s="15">
        <v>11</v>
      </c>
      <c r="V106" s="15">
        <v>22</v>
      </c>
      <c r="W106" s="15">
        <v>16</v>
      </c>
      <c r="X106" t="s">
        <v>39</v>
      </c>
      <c r="Y106" t="s">
        <v>40</v>
      </c>
      <c r="Z106" s="14">
        <v>0.8</v>
      </c>
      <c r="AA106" s="12">
        <f>YEAR(Table1[Hire_Date])</f>
        <v>2025</v>
      </c>
      <c r="AB10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107" spans="1:28" x14ac:dyDescent="0.25">
      <c r="A107" t="s">
        <v>556</v>
      </c>
      <c r="B107" s="16" t="s">
        <v>557</v>
      </c>
      <c r="C107" s="16" t="s">
        <v>558</v>
      </c>
      <c r="D107" t="s">
        <v>44</v>
      </c>
      <c r="E107" s="15">
        <v>32</v>
      </c>
      <c r="F107" s="16" t="s">
        <v>30</v>
      </c>
      <c r="G107" s="16" t="s">
        <v>13</v>
      </c>
      <c r="H107" s="16" t="s">
        <v>83</v>
      </c>
      <c r="I107" s="16" t="s">
        <v>48</v>
      </c>
      <c r="J107" s="16" t="s">
        <v>34</v>
      </c>
      <c r="K107" s="17" t="s">
        <v>559</v>
      </c>
      <c r="M107" t="s">
        <v>36</v>
      </c>
      <c r="N107" t="s">
        <v>527</v>
      </c>
      <c r="O107" t="s">
        <v>52</v>
      </c>
      <c r="P107" s="15">
        <v>31</v>
      </c>
      <c r="Q107" s="18">
        <v>69256</v>
      </c>
      <c r="R107" s="19">
        <v>24</v>
      </c>
      <c r="S107" s="14">
        <v>3.4</v>
      </c>
      <c r="T107" s="7">
        <v>70</v>
      </c>
      <c r="U107" s="15">
        <v>1</v>
      </c>
      <c r="V107" s="15">
        <v>48</v>
      </c>
      <c r="W107" s="15">
        <v>33</v>
      </c>
      <c r="X107" t="s">
        <v>61</v>
      </c>
      <c r="Y107" t="s">
        <v>78</v>
      </c>
      <c r="Z107" s="14">
        <v>1.2</v>
      </c>
      <c r="AA107" s="12">
        <f>YEAR(Table1[Hire_Date])</f>
        <v>2025</v>
      </c>
      <c r="AB10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108" spans="1:28" x14ac:dyDescent="0.25">
      <c r="A108" t="s">
        <v>560</v>
      </c>
      <c r="B108" s="16" t="s">
        <v>561</v>
      </c>
      <c r="C108" s="16" t="s">
        <v>562</v>
      </c>
      <c r="D108" t="s">
        <v>44</v>
      </c>
      <c r="E108" s="15">
        <v>41</v>
      </c>
      <c r="F108" s="16" t="s">
        <v>90</v>
      </c>
      <c r="G108" s="16" t="s">
        <v>281</v>
      </c>
      <c r="H108" s="16" t="s">
        <v>66</v>
      </c>
      <c r="I108" s="16" t="s">
        <v>57</v>
      </c>
      <c r="J108" s="16" t="s">
        <v>34</v>
      </c>
      <c r="K108" s="17" t="s">
        <v>563</v>
      </c>
      <c r="M108" t="s">
        <v>36</v>
      </c>
      <c r="N108" t="s">
        <v>286</v>
      </c>
      <c r="O108" t="s">
        <v>52</v>
      </c>
      <c r="P108" s="15">
        <v>13</v>
      </c>
      <c r="Q108" s="18">
        <v>158184</v>
      </c>
      <c r="R108" s="19">
        <v>16</v>
      </c>
      <c r="S108" s="14">
        <v>3.5</v>
      </c>
      <c r="T108" s="7">
        <v>60</v>
      </c>
      <c r="U108" s="15">
        <v>13</v>
      </c>
      <c r="V108" s="15">
        <v>6</v>
      </c>
      <c r="W108" s="15">
        <v>25</v>
      </c>
      <c r="X108" t="s">
        <v>39</v>
      </c>
      <c r="Y108" t="s">
        <v>40</v>
      </c>
      <c r="Z108" s="14">
        <v>1.8</v>
      </c>
      <c r="AA108" s="12">
        <f>YEAR(Table1[Hire_Date])</f>
        <v>2024</v>
      </c>
      <c r="AB10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109" spans="1:28" x14ac:dyDescent="0.25">
      <c r="A109" t="s">
        <v>564</v>
      </c>
      <c r="B109" s="16" t="s">
        <v>565</v>
      </c>
      <c r="C109" s="16" t="s">
        <v>566</v>
      </c>
      <c r="D109" t="s">
        <v>29</v>
      </c>
      <c r="E109" s="15">
        <v>24</v>
      </c>
      <c r="F109" s="16" t="s">
        <v>30</v>
      </c>
      <c r="G109" s="16" t="s">
        <v>31</v>
      </c>
      <c r="H109" s="16" t="s">
        <v>32</v>
      </c>
      <c r="I109" s="16" t="s">
        <v>33</v>
      </c>
      <c r="J109" s="16" t="s">
        <v>34</v>
      </c>
      <c r="K109" s="17" t="s">
        <v>567</v>
      </c>
      <c r="M109" t="s">
        <v>36</v>
      </c>
      <c r="N109" t="s">
        <v>367</v>
      </c>
      <c r="O109" t="s">
        <v>38</v>
      </c>
      <c r="P109" s="15">
        <v>3</v>
      </c>
      <c r="Q109" s="18">
        <v>159638</v>
      </c>
      <c r="R109" s="19">
        <v>11</v>
      </c>
      <c r="S109" s="14">
        <v>3</v>
      </c>
      <c r="T109" s="7">
        <v>69</v>
      </c>
      <c r="U109" s="15">
        <v>0</v>
      </c>
      <c r="V109" s="15">
        <v>47</v>
      </c>
      <c r="W109" s="15">
        <v>10</v>
      </c>
      <c r="X109" t="s">
        <v>39</v>
      </c>
      <c r="Y109" t="s">
        <v>62</v>
      </c>
      <c r="Z109" s="14">
        <v>6.4</v>
      </c>
      <c r="AA109" s="12">
        <f>YEAR(Table1[Hire_Date])</f>
        <v>2020</v>
      </c>
      <c r="AB10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110" spans="1:28" x14ac:dyDescent="0.25">
      <c r="A110" t="s">
        <v>568</v>
      </c>
      <c r="B110" s="16" t="s">
        <v>569</v>
      </c>
      <c r="C110" s="16" t="s">
        <v>570</v>
      </c>
      <c r="D110" t="s">
        <v>44</v>
      </c>
      <c r="E110" s="15">
        <v>24</v>
      </c>
      <c r="F110" s="16" t="s">
        <v>103</v>
      </c>
      <c r="G110" s="16" t="s">
        <v>147</v>
      </c>
      <c r="H110" s="16" t="s">
        <v>83</v>
      </c>
      <c r="I110" s="16" t="s">
        <v>33</v>
      </c>
      <c r="J110" s="16" t="s">
        <v>49</v>
      </c>
      <c r="K110" s="17" t="s">
        <v>571</v>
      </c>
      <c r="M110" t="s">
        <v>36</v>
      </c>
      <c r="N110" t="s">
        <v>204</v>
      </c>
      <c r="O110" t="s">
        <v>52</v>
      </c>
      <c r="P110" s="15">
        <v>0</v>
      </c>
      <c r="Q110" s="18">
        <v>144926</v>
      </c>
      <c r="R110" s="19">
        <v>10</v>
      </c>
      <c r="S110" s="14">
        <v>3.5</v>
      </c>
      <c r="T110" s="7">
        <v>74</v>
      </c>
      <c r="U110" s="15">
        <v>1</v>
      </c>
      <c r="V110" s="15">
        <v>32</v>
      </c>
      <c r="W110" s="15">
        <v>2</v>
      </c>
      <c r="X110" t="s">
        <v>61</v>
      </c>
      <c r="Y110" t="s">
        <v>40</v>
      </c>
      <c r="Z110" s="14">
        <v>6.9</v>
      </c>
      <c r="AA110" s="12">
        <f>YEAR(Table1[Hire_Date])</f>
        <v>2019</v>
      </c>
      <c r="AB11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111" spans="1:28" x14ac:dyDescent="0.25">
      <c r="A111" t="s">
        <v>572</v>
      </c>
      <c r="B111" s="16" t="s">
        <v>573</v>
      </c>
      <c r="C111" s="16" t="s">
        <v>574</v>
      </c>
      <c r="D111" t="s">
        <v>29</v>
      </c>
      <c r="E111" s="15">
        <v>21</v>
      </c>
      <c r="F111" s="16" t="s">
        <v>45</v>
      </c>
      <c r="G111" s="16" t="s">
        <v>82</v>
      </c>
      <c r="H111" s="16" t="s">
        <v>56</v>
      </c>
      <c r="I111" s="16" t="s">
        <v>57</v>
      </c>
      <c r="J111" s="16" t="s">
        <v>34</v>
      </c>
      <c r="K111" s="17" t="s">
        <v>575</v>
      </c>
      <c r="M111" t="s">
        <v>36</v>
      </c>
      <c r="N111" t="s">
        <v>229</v>
      </c>
      <c r="O111" t="s">
        <v>60</v>
      </c>
      <c r="P111" s="15">
        <v>28</v>
      </c>
      <c r="Q111" s="18">
        <v>142375</v>
      </c>
      <c r="R111" s="19">
        <v>9</v>
      </c>
      <c r="S111" s="14">
        <v>2.9</v>
      </c>
      <c r="T111" s="7">
        <v>50</v>
      </c>
      <c r="U111" s="15">
        <v>16</v>
      </c>
      <c r="V111" s="15">
        <v>60</v>
      </c>
      <c r="W111" s="15">
        <v>2</v>
      </c>
      <c r="X111" t="s">
        <v>61</v>
      </c>
      <c r="Y111" t="s">
        <v>62</v>
      </c>
      <c r="Z111" s="14">
        <v>1.4</v>
      </c>
      <c r="AA111" s="12">
        <f>YEAR(Table1[Hire_Date])</f>
        <v>2025</v>
      </c>
      <c r="AB11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112" spans="1:28" x14ac:dyDescent="0.25">
      <c r="A112" t="s">
        <v>576</v>
      </c>
      <c r="B112" s="16" t="s">
        <v>577</v>
      </c>
      <c r="C112" s="16" t="s">
        <v>578</v>
      </c>
      <c r="D112" t="s">
        <v>29</v>
      </c>
      <c r="E112" s="15">
        <v>54</v>
      </c>
      <c r="F112" s="16" t="s">
        <v>103</v>
      </c>
      <c r="G112" s="16" t="s">
        <v>147</v>
      </c>
      <c r="H112" s="16" t="s">
        <v>56</v>
      </c>
      <c r="I112" s="16" t="s">
        <v>33</v>
      </c>
      <c r="J112" s="16" t="s">
        <v>49</v>
      </c>
      <c r="K112" s="17" t="s">
        <v>579</v>
      </c>
      <c r="M112" t="s">
        <v>36</v>
      </c>
      <c r="N112" t="s">
        <v>234</v>
      </c>
      <c r="O112" t="s">
        <v>52</v>
      </c>
      <c r="P112" s="15">
        <v>25</v>
      </c>
      <c r="Q112" s="18">
        <v>179815</v>
      </c>
      <c r="R112" s="19">
        <v>24</v>
      </c>
      <c r="S112" s="14">
        <v>3</v>
      </c>
      <c r="T112" s="7">
        <v>51</v>
      </c>
      <c r="U112" s="15">
        <v>9</v>
      </c>
      <c r="V112" s="15">
        <v>44</v>
      </c>
      <c r="W112" s="15">
        <v>25</v>
      </c>
      <c r="X112" t="s">
        <v>61</v>
      </c>
      <c r="Y112" t="s">
        <v>78</v>
      </c>
      <c r="Z112" s="14">
        <v>8.9</v>
      </c>
      <c r="AA112" s="12">
        <f>YEAR(Table1[Hire_Date])</f>
        <v>2017</v>
      </c>
      <c r="AB11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113" spans="1:28" x14ac:dyDescent="0.25">
      <c r="A113" t="s">
        <v>580</v>
      </c>
      <c r="B113" s="16" t="s">
        <v>581</v>
      </c>
      <c r="C113" s="16" t="s">
        <v>582</v>
      </c>
      <c r="D113" t="s">
        <v>29</v>
      </c>
      <c r="E113" s="15">
        <v>40</v>
      </c>
      <c r="F113" s="16" t="s">
        <v>30</v>
      </c>
      <c r="G113" s="16" t="s">
        <v>13</v>
      </c>
      <c r="H113" s="16" t="s">
        <v>32</v>
      </c>
      <c r="I113" s="16" t="s">
        <v>48</v>
      </c>
      <c r="J113" s="16" t="s">
        <v>49</v>
      </c>
      <c r="K113" s="17" t="s">
        <v>583</v>
      </c>
      <c r="M113" t="s">
        <v>36</v>
      </c>
      <c r="N113" t="s">
        <v>194</v>
      </c>
      <c r="O113" t="s">
        <v>52</v>
      </c>
      <c r="P113" s="15">
        <v>2</v>
      </c>
      <c r="Q113" s="18">
        <v>76035</v>
      </c>
      <c r="R113" s="19">
        <v>19</v>
      </c>
      <c r="S113" s="14">
        <v>4.8</v>
      </c>
      <c r="T113" s="7">
        <v>84</v>
      </c>
      <c r="U113" s="15">
        <v>4</v>
      </c>
      <c r="V113" s="15">
        <v>52</v>
      </c>
      <c r="W113" s="15">
        <v>11</v>
      </c>
      <c r="X113" t="s">
        <v>61</v>
      </c>
      <c r="Y113" t="s">
        <v>62</v>
      </c>
      <c r="Z113" s="14">
        <v>2</v>
      </c>
      <c r="AA113" s="12">
        <f>YEAR(Table1[Hire_Date])</f>
        <v>2024</v>
      </c>
      <c r="AB11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114" spans="1:28" x14ac:dyDescent="0.25">
      <c r="A114" t="s">
        <v>584</v>
      </c>
      <c r="B114" s="16" t="s">
        <v>585</v>
      </c>
      <c r="C114" s="16" t="s">
        <v>586</v>
      </c>
      <c r="D114" t="s">
        <v>29</v>
      </c>
      <c r="E114" s="15">
        <v>48</v>
      </c>
      <c r="F114" s="16" t="s">
        <v>30</v>
      </c>
      <c r="G114" s="16" t="s">
        <v>31</v>
      </c>
      <c r="H114" s="16" t="s">
        <v>66</v>
      </c>
      <c r="I114" s="16" t="s">
        <v>57</v>
      </c>
      <c r="J114" s="16" t="s">
        <v>49</v>
      </c>
      <c r="K114" s="17" t="s">
        <v>587</v>
      </c>
      <c r="M114" t="s">
        <v>36</v>
      </c>
      <c r="N114" t="s">
        <v>588</v>
      </c>
      <c r="O114" t="s">
        <v>38</v>
      </c>
      <c r="P114" s="15">
        <v>8</v>
      </c>
      <c r="Q114" s="18">
        <v>143702</v>
      </c>
      <c r="R114" s="19">
        <v>10</v>
      </c>
      <c r="S114" s="14">
        <v>3</v>
      </c>
      <c r="T114" s="7">
        <v>59</v>
      </c>
      <c r="U114" s="15">
        <v>3</v>
      </c>
      <c r="V114" s="15">
        <v>43</v>
      </c>
      <c r="W114" s="15">
        <v>10</v>
      </c>
      <c r="X114" t="s">
        <v>61</v>
      </c>
      <c r="Y114" t="s">
        <v>40</v>
      </c>
      <c r="Z114" s="14">
        <v>8.4</v>
      </c>
      <c r="AA114" s="12">
        <f>YEAR(Table1[Hire_Date])</f>
        <v>2018</v>
      </c>
      <c r="AB11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115" spans="1:28" x14ac:dyDescent="0.25">
      <c r="A115" t="s">
        <v>589</v>
      </c>
      <c r="B115" s="16" t="s">
        <v>590</v>
      </c>
      <c r="C115" s="16" t="s">
        <v>591</v>
      </c>
      <c r="D115" t="s">
        <v>44</v>
      </c>
      <c r="E115" s="15">
        <v>33</v>
      </c>
      <c r="F115" s="16" t="s">
        <v>45</v>
      </c>
      <c r="G115" s="16" t="s">
        <v>46</v>
      </c>
      <c r="H115" s="16" t="s">
        <v>47</v>
      </c>
      <c r="I115" s="16" t="s">
        <v>48</v>
      </c>
      <c r="J115" s="16" t="s">
        <v>49</v>
      </c>
      <c r="K115" s="17" t="s">
        <v>592</v>
      </c>
      <c r="M115" t="s">
        <v>36</v>
      </c>
      <c r="N115" t="s">
        <v>593</v>
      </c>
      <c r="O115" t="s">
        <v>60</v>
      </c>
      <c r="P115" s="15">
        <v>4</v>
      </c>
      <c r="Q115" s="18">
        <v>46605</v>
      </c>
      <c r="R115" s="19">
        <v>9</v>
      </c>
      <c r="S115" s="14">
        <v>3.7</v>
      </c>
      <c r="T115" s="7">
        <v>73</v>
      </c>
      <c r="U115" s="15">
        <v>19</v>
      </c>
      <c r="V115" s="15">
        <v>15</v>
      </c>
      <c r="W115" s="15">
        <v>27</v>
      </c>
      <c r="X115" t="s">
        <v>61</v>
      </c>
      <c r="Y115" t="s">
        <v>78</v>
      </c>
      <c r="Z115" s="14">
        <v>1.9</v>
      </c>
      <c r="AA115" s="12">
        <f>YEAR(Table1[Hire_Date])</f>
        <v>2024</v>
      </c>
      <c r="AB11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116" spans="1:28" x14ac:dyDescent="0.25">
      <c r="A116" t="s">
        <v>594</v>
      </c>
      <c r="B116" s="16" t="s">
        <v>595</v>
      </c>
      <c r="C116" s="16" t="s">
        <v>596</v>
      </c>
      <c r="D116" t="s">
        <v>29</v>
      </c>
      <c r="E116" s="15">
        <v>55</v>
      </c>
      <c r="F116" s="16" t="s">
        <v>72</v>
      </c>
      <c r="G116" s="16" t="s">
        <v>97</v>
      </c>
      <c r="H116" s="16" t="s">
        <v>66</v>
      </c>
      <c r="I116" s="16" t="s">
        <v>48</v>
      </c>
      <c r="J116" s="16" t="s">
        <v>49</v>
      </c>
      <c r="K116" s="17" t="s">
        <v>459</v>
      </c>
      <c r="M116" t="s">
        <v>36</v>
      </c>
      <c r="N116" t="s">
        <v>194</v>
      </c>
      <c r="O116" t="s">
        <v>60</v>
      </c>
      <c r="P116" s="15">
        <v>1</v>
      </c>
      <c r="Q116" s="18">
        <v>161706</v>
      </c>
      <c r="R116" s="19">
        <v>25</v>
      </c>
      <c r="S116" s="14">
        <v>4.4000000000000004</v>
      </c>
      <c r="T116" s="7">
        <v>54</v>
      </c>
      <c r="U116" s="15">
        <v>5</v>
      </c>
      <c r="V116" s="15">
        <v>7</v>
      </c>
      <c r="W116" s="15">
        <v>6</v>
      </c>
      <c r="X116" t="s">
        <v>39</v>
      </c>
      <c r="Y116" t="s">
        <v>62</v>
      </c>
      <c r="Z116" s="14">
        <v>7.8</v>
      </c>
      <c r="AA116" s="12">
        <f>YEAR(Table1[Hire_Date])</f>
        <v>2018</v>
      </c>
      <c r="AB11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117" spans="1:28" x14ac:dyDescent="0.25">
      <c r="A117" t="s">
        <v>597</v>
      </c>
      <c r="B117" s="16" t="s">
        <v>598</v>
      </c>
      <c r="C117" s="16" t="s">
        <v>599</v>
      </c>
      <c r="D117" t="s">
        <v>29</v>
      </c>
      <c r="E117" s="15">
        <v>60</v>
      </c>
      <c r="F117" s="16" t="s">
        <v>124</v>
      </c>
      <c r="G117" s="16" t="s">
        <v>13</v>
      </c>
      <c r="H117" s="16" t="s">
        <v>47</v>
      </c>
      <c r="I117" s="16" t="s">
        <v>33</v>
      </c>
      <c r="J117" s="16" t="s">
        <v>49</v>
      </c>
      <c r="K117" s="17" t="s">
        <v>600</v>
      </c>
      <c r="M117" t="s">
        <v>36</v>
      </c>
      <c r="N117" t="s">
        <v>505</v>
      </c>
      <c r="O117" t="s">
        <v>52</v>
      </c>
      <c r="P117" s="15">
        <v>12</v>
      </c>
      <c r="Q117" s="18">
        <v>169548</v>
      </c>
      <c r="R117" s="19">
        <v>24</v>
      </c>
      <c r="S117" s="14">
        <v>4.2</v>
      </c>
      <c r="T117" s="7">
        <v>81</v>
      </c>
      <c r="U117" s="15">
        <v>2</v>
      </c>
      <c r="V117" s="15">
        <v>11</v>
      </c>
      <c r="W117" s="15">
        <v>80</v>
      </c>
      <c r="X117" t="s">
        <v>61</v>
      </c>
      <c r="Y117" t="s">
        <v>78</v>
      </c>
      <c r="Z117" s="14">
        <v>8.6</v>
      </c>
      <c r="AA117" s="12">
        <f>YEAR(Table1[Hire_Date])</f>
        <v>2017</v>
      </c>
      <c r="AB11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118" spans="1:28" x14ac:dyDescent="0.25">
      <c r="A118" t="s">
        <v>601</v>
      </c>
      <c r="B118" s="16" t="s">
        <v>602</v>
      </c>
      <c r="C118" s="16" t="s">
        <v>603</v>
      </c>
      <c r="D118" t="s">
        <v>44</v>
      </c>
      <c r="E118" s="15">
        <v>49</v>
      </c>
      <c r="F118" s="16" t="s">
        <v>72</v>
      </c>
      <c r="G118" s="16" t="s">
        <v>97</v>
      </c>
      <c r="H118" s="16" t="s">
        <v>56</v>
      </c>
      <c r="I118" s="16" t="s">
        <v>33</v>
      </c>
      <c r="J118" s="16" t="s">
        <v>49</v>
      </c>
      <c r="K118" s="17" t="s">
        <v>604</v>
      </c>
      <c r="M118" t="s">
        <v>36</v>
      </c>
      <c r="N118" t="s">
        <v>605</v>
      </c>
      <c r="O118" t="s">
        <v>52</v>
      </c>
      <c r="P118" s="15">
        <v>7</v>
      </c>
      <c r="Q118" s="18">
        <v>74764</v>
      </c>
      <c r="R118" s="19">
        <v>5</v>
      </c>
      <c r="S118" s="14">
        <v>3.1</v>
      </c>
      <c r="T118" s="7">
        <v>53</v>
      </c>
      <c r="U118" s="15">
        <v>4</v>
      </c>
      <c r="V118" s="15">
        <v>21</v>
      </c>
      <c r="W118" s="15">
        <v>37</v>
      </c>
      <c r="X118" t="s">
        <v>39</v>
      </c>
      <c r="Y118" t="s">
        <v>78</v>
      </c>
      <c r="Z118" s="14">
        <v>8.5</v>
      </c>
      <c r="AA118" s="12">
        <f>YEAR(Table1[Hire_Date])</f>
        <v>2018</v>
      </c>
      <c r="AB11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119" spans="1:28" x14ac:dyDescent="0.25">
      <c r="A119" t="s">
        <v>606</v>
      </c>
      <c r="B119" s="16" t="s">
        <v>607</v>
      </c>
      <c r="C119" s="16" t="s">
        <v>608</v>
      </c>
      <c r="D119" t="s">
        <v>44</v>
      </c>
      <c r="E119" s="15">
        <v>28</v>
      </c>
      <c r="F119" s="16" t="s">
        <v>45</v>
      </c>
      <c r="G119" s="16" t="s">
        <v>82</v>
      </c>
      <c r="H119" s="16" t="s">
        <v>32</v>
      </c>
      <c r="I119" s="16" t="s">
        <v>33</v>
      </c>
      <c r="J119" s="16" t="s">
        <v>49</v>
      </c>
      <c r="K119" s="17" t="s">
        <v>609</v>
      </c>
      <c r="M119" t="s">
        <v>36</v>
      </c>
      <c r="N119" t="s">
        <v>106</v>
      </c>
      <c r="O119" t="s">
        <v>38</v>
      </c>
      <c r="P119" s="15">
        <v>5</v>
      </c>
      <c r="Q119" s="18">
        <v>63641</v>
      </c>
      <c r="R119" s="19">
        <v>25</v>
      </c>
      <c r="S119" s="14">
        <v>2.7</v>
      </c>
      <c r="T119" s="7">
        <v>56</v>
      </c>
      <c r="U119" s="15">
        <v>17</v>
      </c>
      <c r="V119" s="15">
        <v>30</v>
      </c>
      <c r="W119" s="15">
        <v>9</v>
      </c>
      <c r="X119" t="s">
        <v>61</v>
      </c>
      <c r="Y119" t="s">
        <v>62</v>
      </c>
      <c r="Z119" s="14">
        <v>6.4</v>
      </c>
      <c r="AA119" s="12">
        <f>YEAR(Table1[Hire_Date])</f>
        <v>2020</v>
      </c>
      <c r="AB11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120" spans="1:28" x14ac:dyDescent="0.25">
      <c r="A120" t="s">
        <v>610</v>
      </c>
      <c r="B120" s="16" t="s">
        <v>611</v>
      </c>
      <c r="C120" s="16" t="s">
        <v>612</v>
      </c>
      <c r="D120" t="s">
        <v>29</v>
      </c>
      <c r="E120" s="15">
        <v>25</v>
      </c>
      <c r="F120" s="16" t="s">
        <v>30</v>
      </c>
      <c r="G120" s="16" t="s">
        <v>31</v>
      </c>
      <c r="H120" s="16" t="s">
        <v>56</v>
      </c>
      <c r="I120" s="16" t="s">
        <v>57</v>
      </c>
      <c r="J120" s="16" t="s">
        <v>34</v>
      </c>
      <c r="K120" s="17" t="s">
        <v>613</v>
      </c>
      <c r="M120" t="s">
        <v>36</v>
      </c>
      <c r="N120" t="s">
        <v>491</v>
      </c>
      <c r="O120" t="s">
        <v>60</v>
      </c>
      <c r="P120" s="15">
        <v>4</v>
      </c>
      <c r="Q120" s="18">
        <v>103753</v>
      </c>
      <c r="R120" s="19">
        <v>18</v>
      </c>
      <c r="S120" s="14">
        <v>4.7</v>
      </c>
      <c r="T120" s="7">
        <v>84</v>
      </c>
      <c r="U120" s="15">
        <v>4</v>
      </c>
      <c r="V120" s="15">
        <v>3</v>
      </c>
      <c r="W120" s="15">
        <v>59</v>
      </c>
      <c r="X120" t="s">
        <v>61</v>
      </c>
      <c r="Y120" t="s">
        <v>78</v>
      </c>
      <c r="Z120" s="14">
        <v>1.5</v>
      </c>
      <c r="AA120" s="12">
        <f>YEAR(Table1[Hire_Date])</f>
        <v>2025</v>
      </c>
      <c r="AB12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121" spans="1:28" x14ac:dyDescent="0.25">
      <c r="A121" t="s">
        <v>614</v>
      </c>
      <c r="B121" s="16" t="s">
        <v>615</v>
      </c>
      <c r="C121" s="16" t="s">
        <v>616</v>
      </c>
      <c r="D121" t="s">
        <v>29</v>
      </c>
      <c r="E121" s="15">
        <v>59</v>
      </c>
      <c r="F121" s="16" t="s">
        <v>103</v>
      </c>
      <c r="G121" s="16" t="s">
        <v>13</v>
      </c>
      <c r="H121" s="16" t="s">
        <v>56</v>
      </c>
      <c r="I121" s="16" t="s">
        <v>33</v>
      </c>
      <c r="J121" s="16" t="s">
        <v>34</v>
      </c>
      <c r="K121" s="17" t="s">
        <v>617</v>
      </c>
      <c r="M121" t="s">
        <v>36</v>
      </c>
      <c r="N121" t="s">
        <v>170</v>
      </c>
      <c r="O121" t="s">
        <v>60</v>
      </c>
      <c r="P121" s="15">
        <v>26</v>
      </c>
      <c r="Q121" s="18">
        <v>157090</v>
      </c>
      <c r="R121" s="19">
        <v>20</v>
      </c>
      <c r="S121" s="14">
        <v>3.3</v>
      </c>
      <c r="T121" s="7">
        <v>94</v>
      </c>
      <c r="U121" s="15">
        <v>9</v>
      </c>
      <c r="V121" s="15">
        <v>42</v>
      </c>
      <c r="W121" s="15">
        <v>70</v>
      </c>
      <c r="X121" t="s">
        <v>61</v>
      </c>
      <c r="Y121" t="s">
        <v>78</v>
      </c>
      <c r="Z121" s="14">
        <v>1</v>
      </c>
      <c r="AA121" s="12">
        <f>YEAR(Table1[Hire_Date])</f>
        <v>2025</v>
      </c>
      <c r="AB12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122" spans="1:28" x14ac:dyDescent="0.25">
      <c r="A122" t="s">
        <v>618</v>
      </c>
      <c r="B122" s="16" t="s">
        <v>619</v>
      </c>
      <c r="C122" s="16" t="s">
        <v>620</v>
      </c>
      <c r="D122" t="s">
        <v>29</v>
      </c>
      <c r="E122" s="15">
        <v>36</v>
      </c>
      <c r="F122" s="16" t="s">
        <v>45</v>
      </c>
      <c r="G122" s="16" t="s">
        <v>82</v>
      </c>
      <c r="H122" s="16" t="s">
        <v>56</v>
      </c>
      <c r="I122" s="16" t="s">
        <v>48</v>
      </c>
      <c r="J122" s="16" t="s">
        <v>49</v>
      </c>
      <c r="K122" s="17" t="s">
        <v>621</v>
      </c>
      <c r="L122" s="17" t="s">
        <v>622</v>
      </c>
      <c r="M122" t="s">
        <v>76</v>
      </c>
      <c r="N122" t="s">
        <v>248</v>
      </c>
      <c r="O122" t="s">
        <v>52</v>
      </c>
      <c r="P122" s="15">
        <v>30</v>
      </c>
      <c r="Q122" s="18">
        <v>167906</v>
      </c>
      <c r="R122" s="19">
        <v>16</v>
      </c>
      <c r="S122" s="14">
        <v>3.7</v>
      </c>
      <c r="T122" s="7">
        <v>77</v>
      </c>
      <c r="U122" s="15">
        <v>17</v>
      </c>
      <c r="V122" s="15">
        <v>56</v>
      </c>
      <c r="W122" s="15">
        <v>58</v>
      </c>
      <c r="X122" t="s">
        <v>61</v>
      </c>
      <c r="Y122" t="s">
        <v>78</v>
      </c>
      <c r="Z122" s="14">
        <v>9.1</v>
      </c>
      <c r="AA122" s="12">
        <f>YEAR(Table1[Hire_Date])</f>
        <v>2017</v>
      </c>
      <c r="AB12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123" spans="1:28" x14ac:dyDescent="0.25">
      <c r="A123" t="s">
        <v>623</v>
      </c>
      <c r="B123" s="16" t="s">
        <v>624</v>
      </c>
      <c r="C123" s="16" t="s">
        <v>625</v>
      </c>
      <c r="D123" t="s">
        <v>44</v>
      </c>
      <c r="E123" s="15">
        <v>24</v>
      </c>
      <c r="F123" s="16" t="s">
        <v>45</v>
      </c>
      <c r="G123" s="16" t="s">
        <v>82</v>
      </c>
      <c r="H123" s="16" t="s">
        <v>83</v>
      </c>
      <c r="I123" s="16" t="s">
        <v>33</v>
      </c>
      <c r="J123" s="16" t="s">
        <v>34</v>
      </c>
      <c r="K123" s="17" t="s">
        <v>626</v>
      </c>
      <c r="M123" t="s">
        <v>36</v>
      </c>
      <c r="N123" t="s">
        <v>68</v>
      </c>
      <c r="O123" t="s">
        <v>38</v>
      </c>
      <c r="P123" s="15">
        <v>12</v>
      </c>
      <c r="Q123" s="18">
        <v>55632</v>
      </c>
      <c r="R123" s="19">
        <v>8</v>
      </c>
      <c r="S123" s="14">
        <v>4.4000000000000004</v>
      </c>
      <c r="T123" s="7">
        <v>51</v>
      </c>
      <c r="U123" s="15">
        <v>12</v>
      </c>
      <c r="V123" s="15">
        <v>30</v>
      </c>
      <c r="W123" s="15">
        <v>62</v>
      </c>
      <c r="X123" t="s">
        <v>39</v>
      </c>
      <c r="Y123" t="s">
        <v>78</v>
      </c>
      <c r="Z123" s="14">
        <v>5.4</v>
      </c>
      <c r="AA123" s="12">
        <f>YEAR(Table1[Hire_Date])</f>
        <v>2021</v>
      </c>
      <c r="AB12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124" spans="1:28" x14ac:dyDescent="0.25">
      <c r="A124" t="s">
        <v>627</v>
      </c>
      <c r="B124" s="16" t="s">
        <v>628</v>
      </c>
      <c r="C124" s="16" t="s">
        <v>629</v>
      </c>
      <c r="D124" t="s">
        <v>29</v>
      </c>
      <c r="E124" s="15">
        <v>58</v>
      </c>
      <c r="F124" s="16" t="s">
        <v>30</v>
      </c>
      <c r="G124" s="16" t="s">
        <v>31</v>
      </c>
      <c r="H124" s="16" t="s">
        <v>56</v>
      </c>
      <c r="I124" s="16" t="s">
        <v>33</v>
      </c>
      <c r="J124" s="16" t="s">
        <v>34</v>
      </c>
      <c r="K124" s="17" t="s">
        <v>630</v>
      </c>
      <c r="M124" t="s">
        <v>36</v>
      </c>
      <c r="N124" t="s">
        <v>631</v>
      </c>
      <c r="O124" t="s">
        <v>52</v>
      </c>
      <c r="P124" s="15">
        <v>34</v>
      </c>
      <c r="Q124" s="18">
        <v>135861</v>
      </c>
      <c r="R124" s="19">
        <v>17</v>
      </c>
      <c r="S124" s="14">
        <v>4.5</v>
      </c>
      <c r="T124" s="7">
        <v>83</v>
      </c>
      <c r="U124" s="15">
        <v>7</v>
      </c>
      <c r="V124" s="15">
        <v>57</v>
      </c>
      <c r="W124" s="15">
        <v>55</v>
      </c>
      <c r="X124" t="s">
        <v>39</v>
      </c>
      <c r="Y124" t="s">
        <v>40</v>
      </c>
      <c r="Z124" s="14">
        <v>1.3</v>
      </c>
      <c r="AA124" s="12">
        <f>YEAR(Table1[Hire_Date])</f>
        <v>2025</v>
      </c>
      <c r="AB12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125" spans="1:28" x14ac:dyDescent="0.25">
      <c r="A125" t="s">
        <v>632</v>
      </c>
      <c r="B125" s="16" t="s">
        <v>633</v>
      </c>
      <c r="C125" s="16" t="s">
        <v>634</v>
      </c>
      <c r="D125" t="s">
        <v>44</v>
      </c>
      <c r="E125" s="15">
        <v>58</v>
      </c>
      <c r="F125" s="16" t="s">
        <v>124</v>
      </c>
      <c r="G125" s="16" t="s">
        <v>141</v>
      </c>
      <c r="H125" s="16" t="s">
        <v>83</v>
      </c>
      <c r="I125" s="16" t="s">
        <v>33</v>
      </c>
      <c r="J125" s="16" t="s">
        <v>49</v>
      </c>
      <c r="K125" s="17" t="s">
        <v>635</v>
      </c>
      <c r="M125" t="s">
        <v>36</v>
      </c>
      <c r="N125" t="s">
        <v>527</v>
      </c>
      <c r="O125" t="s">
        <v>52</v>
      </c>
      <c r="P125" s="15">
        <v>11</v>
      </c>
      <c r="Q125" s="18">
        <v>68947</v>
      </c>
      <c r="R125" s="19">
        <v>8</v>
      </c>
      <c r="S125" s="14">
        <v>4.4000000000000004</v>
      </c>
      <c r="T125" s="7">
        <v>60</v>
      </c>
      <c r="U125" s="15">
        <v>5</v>
      </c>
      <c r="V125" s="15">
        <v>23</v>
      </c>
      <c r="W125" s="15">
        <v>79</v>
      </c>
      <c r="X125" t="s">
        <v>39</v>
      </c>
      <c r="Y125" t="s">
        <v>40</v>
      </c>
      <c r="Z125" s="14">
        <v>0.4</v>
      </c>
      <c r="AA125" s="12">
        <f>YEAR(Table1[Hire_Date])</f>
        <v>2026</v>
      </c>
      <c r="AB12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126" spans="1:28" x14ac:dyDescent="0.25">
      <c r="A126" t="s">
        <v>636</v>
      </c>
      <c r="B126" s="16" t="s">
        <v>637</v>
      </c>
      <c r="C126" s="16" t="s">
        <v>638</v>
      </c>
      <c r="D126" t="s">
        <v>29</v>
      </c>
      <c r="E126" s="15">
        <v>59</v>
      </c>
      <c r="F126" s="16" t="s">
        <v>124</v>
      </c>
      <c r="G126" s="16" t="s">
        <v>13</v>
      </c>
      <c r="H126" s="16" t="s">
        <v>83</v>
      </c>
      <c r="I126" s="16" t="s">
        <v>33</v>
      </c>
      <c r="J126" s="16" t="s">
        <v>49</v>
      </c>
      <c r="K126" s="17" t="s">
        <v>639</v>
      </c>
      <c r="L126" s="17" t="s">
        <v>640</v>
      </c>
      <c r="M126" t="s">
        <v>76</v>
      </c>
      <c r="N126" t="s">
        <v>323</v>
      </c>
      <c r="O126" t="s">
        <v>38</v>
      </c>
      <c r="P126" s="15">
        <v>1</v>
      </c>
      <c r="Q126" s="18">
        <v>157284</v>
      </c>
      <c r="R126" s="19">
        <v>18</v>
      </c>
      <c r="S126" s="14">
        <v>3.6</v>
      </c>
      <c r="T126" s="7">
        <v>59</v>
      </c>
      <c r="U126" s="15">
        <v>13</v>
      </c>
      <c r="V126" s="15">
        <v>26</v>
      </c>
      <c r="W126" s="15">
        <v>52</v>
      </c>
      <c r="X126" t="s">
        <v>61</v>
      </c>
      <c r="Y126" t="s">
        <v>40</v>
      </c>
      <c r="Z126" s="14">
        <v>4.2</v>
      </c>
      <c r="AA126" s="12">
        <f>YEAR(Table1[Hire_Date])</f>
        <v>2022</v>
      </c>
      <c r="AB12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127" spans="1:28" x14ac:dyDescent="0.25">
      <c r="A127" t="s">
        <v>641</v>
      </c>
      <c r="B127" s="16" t="s">
        <v>642</v>
      </c>
      <c r="C127" s="16" t="s">
        <v>643</v>
      </c>
      <c r="D127" t="s">
        <v>29</v>
      </c>
      <c r="E127" s="15">
        <v>26</v>
      </c>
      <c r="F127" s="16" t="s">
        <v>124</v>
      </c>
      <c r="G127" s="16" t="s">
        <v>141</v>
      </c>
      <c r="H127" s="16" t="s">
        <v>47</v>
      </c>
      <c r="I127" s="16" t="s">
        <v>57</v>
      </c>
      <c r="J127" s="16" t="s">
        <v>49</v>
      </c>
      <c r="K127" s="17" t="s">
        <v>644</v>
      </c>
      <c r="M127" t="s">
        <v>36</v>
      </c>
      <c r="N127" t="s">
        <v>380</v>
      </c>
      <c r="O127" t="s">
        <v>38</v>
      </c>
      <c r="P127" s="15">
        <v>1</v>
      </c>
      <c r="Q127" s="18">
        <v>147597</v>
      </c>
      <c r="R127" s="19">
        <v>24</v>
      </c>
      <c r="S127" s="14">
        <v>3.6</v>
      </c>
      <c r="T127" s="7">
        <v>69</v>
      </c>
      <c r="U127" s="15">
        <v>6</v>
      </c>
      <c r="V127" s="15">
        <v>47</v>
      </c>
      <c r="W127" s="15">
        <v>38</v>
      </c>
      <c r="X127" t="s">
        <v>61</v>
      </c>
      <c r="Y127" t="s">
        <v>40</v>
      </c>
      <c r="Z127" s="14">
        <v>3.8</v>
      </c>
      <c r="AA127" s="12">
        <f>YEAR(Table1[Hire_Date])</f>
        <v>2022</v>
      </c>
      <c r="AB12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128" spans="1:28" x14ac:dyDescent="0.25">
      <c r="A128" t="s">
        <v>645</v>
      </c>
      <c r="B128" s="16" t="s">
        <v>646</v>
      </c>
      <c r="C128" s="16" t="s">
        <v>647</v>
      </c>
      <c r="D128" t="s">
        <v>29</v>
      </c>
      <c r="E128" s="15">
        <v>51</v>
      </c>
      <c r="F128" s="16" t="s">
        <v>45</v>
      </c>
      <c r="G128" s="16" t="s">
        <v>46</v>
      </c>
      <c r="H128" s="16" t="s">
        <v>32</v>
      </c>
      <c r="I128" s="16" t="s">
        <v>48</v>
      </c>
      <c r="J128" s="16" t="s">
        <v>34</v>
      </c>
      <c r="K128" s="17" t="s">
        <v>648</v>
      </c>
      <c r="M128" t="s">
        <v>36</v>
      </c>
      <c r="N128" t="s">
        <v>199</v>
      </c>
      <c r="O128" t="s">
        <v>38</v>
      </c>
      <c r="P128" s="15">
        <v>21</v>
      </c>
      <c r="Q128" s="18">
        <v>174509</v>
      </c>
      <c r="R128" s="19">
        <v>17</v>
      </c>
      <c r="S128" s="14">
        <v>4</v>
      </c>
      <c r="T128" s="7">
        <v>74</v>
      </c>
      <c r="U128" s="15">
        <v>15</v>
      </c>
      <c r="V128" s="15">
        <v>5</v>
      </c>
      <c r="W128" s="15">
        <v>43</v>
      </c>
      <c r="X128" t="s">
        <v>39</v>
      </c>
      <c r="Y128" t="s">
        <v>78</v>
      </c>
      <c r="Z128" s="14">
        <v>5.3</v>
      </c>
      <c r="AA128" s="12">
        <f>YEAR(Table1[Hire_Date])</f>
        <v>2021</v>
      </c>
      <c r="AB12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129" spans="1:28" x14ac:dyDescent="0.25">
      <c r="A129" t="s">
        <v>649</v>
      </c>
      <c r="B129" s="16" t="s">
        <v>650</v>
      </c>
      <c r="C129" s="16" t="s">
        <v>651</v>
      </c>
      <c r="D129" t="s">
        <v>29</v>
      </c>
      <c r="E129" s="15">
        <v>45</v>
      </c>
      <c r="F129" s="16" t="s">
        <v>45</v>
      </c>
      <c r="G129" s="16" t="s">
        <v>82</v>
      </c>
      <c r="H129" s="16" t="s">
        <v>47</v>
      </c>
      <c r="I129" s="16" t="s">
        <v>33</v>
      </c>
      <c r="J129" s="16" t="s">
        <v>34</v>
      </c>
      <c r="K129" s="17" t="s">
        <v>652</v>
      </c>
      <c r="L129" s="17" t="s">
        <v>653</v>
      </c>
      <c r="M129" t="s">
        <v>76</v>
      </c>
      <c r="N129" t="s">
        <v>654</v>
      </c>
      <c r="O129" t="s">
        <v>60</v>
      </c>
      <c r="P129" s="15">
        <v>2</v>
      </c>
      <c r="Q129" s="18">
        <v>67682</v>
      </c>
      <c r="R129" s="19">
        <v>24</v>
      </c>
      <c r="S129" s="14">
        <v>4.5</v>
      </c>
      <c r="T129" s="7">
        <v>93</v>
      </c>
      <c r="U129" s="15">
        <v>0</v>
      </c>
      <c r="V129" s="15">
        <v>35</v>
      </c>
      <c r="W129" s="15">
        <v>62</v>
      </c>
      <c r="X129" t="s">
        <v>39</v>
      </c>
      <c r="Y129" t="s">
        <v>78</v>
      </c>
      <c r="Z129" s="14">
        <v>9.5</v>
      </c>
      <c r="AA129" s="12">
        <f>YEAR(Table1[Hire_Date])</f>
        <v>2017</v>
      </c>
      <c r="AB12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130" spans="1:28" x14ac:dyDescent="0.25">
      <c r="A130" t="s">
        <v>655</v>
      </c>
      <c r="B130" s="16" t="s">
        <v>656</v>
      </c>
      <c r="C130" s="16" t="s">
        <v>657</v>
      </c>
      <c r="D130" t="s">
        <v>29</v>
      </c>
      <c r="E130" s="15">
        <v>26</v>
      </c>
      <c r="F130" s="16" t="s">
        <v>30</v>
      </c>
      <c r="G130" s="16" t="s">
        <v>13</v>
      </c>
      <c r="H130" s="16" t="s">
        <v>32</v>
      </c>
      <c r="I130" s="16" t="s">
        <v>48</v>
      </c>
      <c r="J130" s="16" t="s">
        <v>34</v>
      </c>
      <c r="K130" s="17" t="s">
        <v>658</v>
      </c>
      <c r="M130" t="s">
        <v>36</v>
      </c>
      <c r="N130" t="s">
        <v>659</v>
      </c>
      <c r="O130" t="s">
        <v>38</v>
      </c>
      <c r="P130" s="15">
        <v>25</v>
      </c>
      <c r="Q130" s="18">
        <v>72769</v>
      </c>
      <c r="R130" s="19">
        <v>11</v>
      </c>
      <c r="S130" s="14">
        <v>4.8</v>
      </c>
      <c r="T130" s="7">
        <v>68</v>
      </c>
      <c r="U130" s="15">
        <v>9</v>
      </c>
      <c r="V130" s="15">
        <v>28</v>
      </c>
      <c r="W130" s="15">
        <v>16</v>
      </c>
      <c r="X130" t="s">
        <v>39</v>
      </c>
      <c r="Y130" t="s">
        <v>78</v>
      </c>
      <c r="Z130" s="14">
        <v>7.4</v>
      </c>
      <c r="AA130" s="12">
        <f>YEAR(Table1[Hire_Date])</f>
        <v>2019</v>
      </c>
      <c r="AB13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131" spans="1:28" x14ac:dyDescent="0.25">
      <c r="A131" t="s">
        <v>660</v>
      </c>
      <c r="B131" s="16" t="s">
        <v>661</v>
      </c>
      <c r="C131" s="16" t="s">
        <v>662</v>
      </c>
      <c r="D131" t="s">
        <v>29</v>
      </c>
      <c r="E131" s="15">
        <v>45</v>
      </c>
      <c r="F131" s="16" t="s">
        <v>30</v>
      </c>
      <c r="G131" s="16" t="s">
        <v>13</v>
      </c>
      <c r="H131" s="16" t="s">
        <v>56</v>
      </c>
      <c r="I131" s="16" t="s">
        <v>57</v>
      </c>
      <c r="J131" s="16" t="s">
        <v>49</v>
      </c>
      <c r="K131" s="17" t="s">
        <v>663</v>
      </c>
      <c r="L131" s="17" t="s">
        <v>664</v>
      </c>
      <c r="M131" t="s">
        <v>76</v>
      </c>
      <c r="N131" t="s">
        <v>86</v>
      </c>
      <c r="O131" t="s">
        <v>38</v>
      </c>
      <c r="P131" s="15">
        <v>29</v>
      </c>
      <c r="Q131" s="18">
        <v>45473</v>
      </c>
      <c r="R131" s="19">
        <v>18</v>
      </c>
      <c r="S131" s="14">
        <v>2.9</v>
      </c>
      <c r="T131" s="7">
        <v>86</v>
      </c>
      <c r="U131" s="15">
        <v>6</v>
      </c>
      <c r="V131" s="15">
        <v>7</v>
      </c>
      <c r="W131" s="15">
        <v>12</v>
      </c>
      <c r="X131" t="s">
        <v>39</v>
      </c>
      <c r="Y131" t="s">
        <v>40</v>
      </c>
      <c r="Z131" s="14">
        <v>6.2</v>
      </c>
      <c r="AA131" s="12">
        <f>YEAR(Table1[Hire_Date])</f>
        <v>2020</v>
      </c>
      <c r="AB13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132" spans="1:28" x14ac:dyDescent="0.25">
      <c r="A132" t="s">
        <v>665</v>
      </c>
      <c r="B132" s="16" t="s">
        <v>666</v>
      </c>
      <c r="C132" s="16" t="s">
        <v>667</v>
      </c>
      <c r="D132" t="s">
        <v>44</v>
      </c>
      <c r="E132" s="15">
        <v>32</v>
      </c>
      <c r="F132" s="16" t="s">
        <v>124</v>
      </c>
      <c r="G132" s="16" t="s">
        <v>104</v>
      </c>
      <c r="H132" s="16" t="s">
        <v>32</v>
      </c>
      <c r="I132" s="16" t="s">
        <v>48</v>
      </c>
      <c r="J132" s="16" t="s">
        <v>49</v>
      </c>
      <c r="K132" s="17" t="s">
        <v>668</v>
      </c>
      <c r="M132" t="s">
        <v>36</v>
      </c>
      <c r="N132" t="s">
        <v>669</v>
      </c>
      <c r="O132" t="s">
        <v>60</v>
      </c>
      <c r="P132" s="15">
        <v>6</v>
      </c>
      <c r="Q132" s="18">
        <v>172429</v>
      </c>
      <c r="R132" s="19">
        <v>13</v>
      </c>
      <c r="S132" s="14">
        <v>3.6</v>
      </c>
      <c r="T132" s="7">
        <v>87</v>
      </c>
      <c r="U132" s="15">
        <v>7</v>
      </c>
      <c r="V132" s="15">
        <v>5</v>
      </c>
      <c r="W132" s="15">
        <v>4</v>
      </c>
      <c r="X132" t="s">
        <v>39</v>
      </c>
      <c r="Y132" t="s">
        <v>78</v>
      </c>
      <c r="Z132" s="14">
        <v>0.7</v>
      </c>
      <c r="AA132" s="12">
        <f>YEAR(Table1[Hire_Date])</f>
        <v>2025</v>
      </c>
      <c r="AB13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133" spans="1:28" x14ac:dyDescent="0.25">
      <c r="A133" t="s">
        <v>670</v>
      </c>
      <c r="B133" s="16" t="s">
        <v>671</v>
      </c>
      <c r="C133" s="16" t="s">
        <v>672</v>
      </c>
      <c r="D133" t="s">
        <v>29</v>
      </c>
      <c r="E133" s="15">
        <v>56</v>
      </c>
      <c r="F133" s="16" t="s">
        <v>90</v>
      </c>
      <c r="G133" s="16" t="s">
        <v>13</v>
      </c>
      <c r="H133" s="16" t="s">
        <v>66</v>
      </c>
      <c r="I133" s="16" t="s">
        <v>48</v>
      </c>
      <c r="J133" s="16" t="s">
        <v>34</v>
      </c>
      <c r="K133" s="17" t="s">
        <v>673</v>
      </c>
      <c r="M133" t="s">
        <v>36</v>
      </c>
      <c r="N133" t="s">
        <v>258</v>
      </c>
      <c r="O133" t="s">
        <v>60</v>
      </c>
      <c r="P133" s="15">
        <v>12</v>
      </c>
      <c r="Q133" s="18">
        <v>139781</v>
      </c>
      <c r="R133" s="19">
        <v>15</v>
      </c>
      <c r="S133" s="14">
        <v>3.8</v>
      </c>
      <c r="T133" s="7">
        <v>91</v>
      </c>
      <c r="U133" s="15">
        <v>12</v>
      </c>
      <c r="V133" s="15">
        <v>57</v>
      </c>
      <c r="W133" s="15">
        <v>25</v>
      </c>
      <c r="X133" t="s">
        <v>61</v>
      </c>
      <c r="Y133" t="s">
        <v>78</v>
      </c>
      <c r="Z133" s="14">
        <v>5.3</v>
      </c>
      <c r="AA133" s="12">
        <f>YEAR(Table1[Hire_Date])</f>
        <v>2021</v>
      </c>
      <c r="AB13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134" spans="1:28" x14ac:dyDescent="0.25">
      <c r="A134" t="s">
        <v>674</v>
      </c>
      <c r="B134" s="16" t="s">
        <v>675</v>
      </c>
      <c r="C134" s="16" t="s">
        <v>676</v>
      </c>
      <c r="D134" t="s">
        <v>29</v>
      </c>
      <c r="E134" s="15">
        <v>40</v>
      </c>
      <c r="F134" s="16" t="s">
        <v>72</v>
      </c>
      <c r="G134" s="16" t="s">
        <v>97</v>
      </c>
      <c r="H134" s="16" t="s">
        <v>47</v>
      </c>
      <c r="I134" s="16" t="s">
        <v>33</v>
      </c>
      <c r="J134" s="16" t="s">
        <v>34</v>
      </c>
      <c r="K134" s="17" t="s">
        <v>677</v>
      </c>
      <c r="M134" t="s">
        <v>36</v>
      </c>
      <c r="N134" t="s">
        <v>309</v>
      </c>
      <c r="O134" t="s">
        <v>60</v>
      </c>
      <c r="P134" s="15">
        <v>29</v>
      </c>
      <c r="Q134" s="18">
        <v>175624</v>
      </c>
      <c r="R134" s="19">
        <v>9</v>
      </c>
      <c r="S134" s="14">
        <v>2.6</v>
      </c>
      <c r="T134" s="7">
        <v>93</v>
      </c>
      <c r="U134" s="15">
        <v>15</v>
      </c>
      <c r="V134" s="15">
        <v>23</v>
      </c>
      <c r="W134" s="15">
        <v>28</v>
      </c>
      <c r="X134" t="s">
        <v>39</v>
      </c>
      <c r="Y134" t="s">
        <v>78</v>
      </c>
      <c r="Z134" s="14">
        <v>9.6</v>
      </c>
      <c r="AA134" s="12">
        <f>YEAR(Table1[Hire_Date])</f>
        <v>2016</v>
      </c>
      <c r="AB13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135" spans="1:28" x14ac:dyDescent="0.25">
      <c r="A135" t="s">
        <v>678</v>
      </c>
      <c r="B135" s="16" t="s">
        <v>679</v>
      </c>
      <c r="C135" s="16" t="s">
        <v>680</v>
      </c>
      <c r="D135" t="s">
        <v>29</v>
      </c>
      <c r="E135" s="15">
        <v>46</v>
      </c>
      <c r="F135" s="16" t="s">
        <v>45</v>
      </c>
      <c r="G135" s="16" t="s">
        <v>46</v>
      </c>
      <c r="H135" s="16" t="s">
        <v>56</v>
      </c>
      <c r="I135" s="16" t="s">
        <v>48</v>
      </c>
      <c r="J135" s="16" t="s">
        <v>49</v>
      </c>
      <c r="K135" s="17" t="s">
        <v>681</v>
      </c>
      <c r="M135" t="s">
        <v>36</v>
      </c>
      <c r="N135" t="s">
        <v>258</v>
      </c>
      <c r="O135" t="s">
        <v>38</v>
      </c>
      <c r="P135" s="15">
        <v>0</v>
      </c>
      <c r="Q135" s="18">
        <v>81130</v>
      </c>
      <c r="R135" s="19">
        <v>10</v>
      </c>
      <c r="S135" s="14">
        <v>2.7</v>
      </c>
      <c r="T135" s="7">
        <v>56</v>
      </c>
      <c r="U135" s="15">
        <v>11</v>
      </c>
      <c r="V135" s="15">
        <v>19</v>
      </c>
      <c r="W135" s="15">
        <v>29</v>
      </c>
      <c r="X135" t="s">
        <v>39</v>
      </c>
      <c r="Y135" t="s">
        <v>40</v>
      </c>
      <c r="Z135" s="14">
        <v>10</v>
      </c>
      <c r="AA135" s="12">
        <f>YEAR(Table1[Hire_Date])</f>
        <v>2016</v>
      </c>
      <c r="AB13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136" spans="1:28" x14ac:dyDescent="0.25">
      <c r="A136" t="s">
        <v>682</v>
      </c>
      <c r="B136" s="16" t="s">
        <v>683</v>
      </c>
      <c r="C136" s="16" t="s">
        <v>684</v>
      </c>
      <c r="D136" t="s">
        <v>44</v>
      </c>
      <c r="E136" s="15">
        <v>47</v>
      </c>
      <c r="F136" s="16" t="s">
        <v>103</v>
      </c>
      <c r="G136" s="16" t="s">
        <v>147</v>
      </c>
      <c r="H136" s="16" t="s">
        <v>56</v>
      </c>
      <c r="I136" s="16" t="s">
        <v>33</v>
      </c>
      <c r="J136" s="16" t="s">
        <v>34</v>
      </c>
      <c r="K136" s="17" t="s">
        <v>685</v>
      </c>
      <c r="M136" t="s">
        <v>36</v>
      </c>
      <c r="N136" t="s">
        <v>395</v>
      </c>
      <c r="O136" t="s">
        <v>52</v>
      </c>
      <c r="P136" s="15">
        <v>22</v>
      </c>
      <c r="Q136" s="18">
        <v>140016</v>
      </c>
      <c r="R136" s="19">
        <v>18</v>
      </c>
      <c r="S136" s="14">
        <v>3.3</v>
      </c>
      <c r="T136" s="7">
        <v>85</v>
      </c>
      <c r="U136" s="15">
        <v>7</v>
      </c>
      <c r="V136" s="15">
        <v>52</v>
      </c>
      <c r="W136" s="15">
        <v>9</v>
      </c>
      <c r="X136" t="s">
        <v>61</v>
      </c>
      <c r="Y136" t="s">
        <v>62</v>
      </c>
      <c r="Z136" s="14">
        <v>9.4</v>
      </c>
      <c r="AA136" s="12">
        <f>YEAR(Table1[Hire_Date])</f>
        <v>2017</v>
      </c>
      <c r="AB13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137" spans="1:28" x14ac:dyDescent="0.25">
      <c r="A137" t="s">
        <v>686</v>
      </c>
      <c r="B137" s="16" t="s">
        <v>687</v>
      </c>
      <c r="C137" s="16" t="s">
        <v>688</v>
      </c>
      <c r="D137" t="s">
        <v>29</v>
      </c>
      <c r="E137" s="15">
        <v>27</v>
      </c>
      <c r="F137" s="16" t="s">
        <v>103</v>
      </c>
      <c r="G137" s="16" t="s">
        <v>104</v>
      </c>
      <c r="H137" s="16" t="s">
        <v>47</v>
      </c>
      <c r="I137" s="16" t="s">
        <v>33</v>
      </c>
      <c r="J137" s="16" t="s">
        <v>49</v>
      </c>
      <c r="K137" s="17" t="s">
        <v>689</v>
      </c>
      <c r="L137" s="17" t="s">
        <v>690</v>
      </c>
      <c r="M137" t="s">
        <v>76</v>
      </c>
      <c r="N137" t="s">
        <v>691</v>
      </c>
      <c r="O137" t="s">
        <v>60</v>
      </c>
      <c r="P137" s="15">
        <v>26</v>
      </c>
      <c r="Q137" s="18">
        <v>86340</v>
      </c>
      <c r="R137" s="19">
        <v>7</v>
      </c>
      <c r="S137" s="14">
        <v>4.4000000000000004</v>
      </c>
      <c r="T137" s="7">
        <v>59</v>
      </c>
      <c r="U137" s="15">
        <v>18</v>
      </c>
      <c r="V137" s="15">
        <v>2</v>
      </c>
      <c r="W137" s="15">
        <v>48</v>
      </c>
      <c r="X137" t="s">
        <v>61</v>
      </c>
      <c r="Y137" t="s">
        <v>62</v>
      </c>
      <c r="Z137" s="14">
        <v>6.9</v>
      </c>
      <c r="AA137" s="12">
        <f>YEAR(Table1[Hire_Date])</f>
        <v>2019</v>
      </c>
      <c r="AB13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138" spans="1:28" x14ac:dyDescent="0.25">
      <c r="A138" t="s">
        <v>692</v>
      </c>
      <c r="B138" s="16" t="s">
        <v>693</v>
      </c>
      <c r="C138" s="16" t="s">
        <v>694</v>
      </c>
      <c r="D138" t="s">
        <v>44</v>
      </c>
      <c r="E138" s="15">
        <v>37</v>
      </c>
      <c r="F138" s="16" t="s">
        <v>124</v>
      </c>
      <c r="G138" s="16" t="s">
        <v>141</v>
      </c>
      <c r="H138" s="16" t="s">
        <v>66</v>
      </c>
      <c r="I138" s="16" t="s">
        <v>33</v>
      </c>
      <c r="J138" s="16" t="s">
        <v>34</v>
      </c>
      <c r="K138" s="17" t="s">
        <v>695</v>
      </c>
      <c r="M138" t="s">
        <v>36</v>
      </c>
      <c r="N138" t="s">
        <v>380</v>
      </c>
      <c r="O138" t="s">
        <v>38</v>
      </c>
      <c r="P138" s="15">
        <v>18</v>
      </c>
      <c r="Q138" s="18">
        <v>179587</v>
      </c>
      <c r="R138" s="19">
        <v>17</v>
      </c>
      <c r="S138" s="14">
        <v>4</v>
      </c>
      <c r="T138" s="7">
        <v>81</v>
      </c>
      <c r="U138" s="15">
        <v>6</v>
      </c>
      <c r="V138" s="15">
        <v>21</v>
      </c>
      <c r="W138" s="15">
        <v>44</v>
      </c>
      <c r="X138" t="s">
        <v>39</v>
      </c>
      <c r="Y138" t="s">
        <v>78</v>
      </c>
      <c r="Z138" s="14">
        <v>3.3</v>
      </c>
      <c r="AA138" s="12">
        <f>YEAR(Table1[Hire_Date])</f>
        <v>2023</v>
      </c>
      <c r="AB13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139" spans="1:28" x14ac:dyDescent="0.25">
      <c r="A139" t="s">
        <v>696</v>
      </c>
      <c r="B139" s="16" t="s">
        <v>697</v>
      </c>
      <c r="C139" s="16" t="s">
        <v>698</v>
      </c>
      <c r="D139" t="s">
        <v>29</v>
      </c>
      <c r="E139" s="15">
        <v>34</v>
      </c>
      <c r="F139" s="16" t="s">
        <v>124</v>
      </c>
      <c r="G139" s="16" t="s">
        <v>13</v>
      </c>
      <c r="H139" s="16" t="s">
        <v>56</v>
      </c>
      <c r="I139" s="16" t="s">
        <v>33</v>
      </c>
      <c r="J139" s="16" t="s">
        <v>49</v>
      </c>
      <c r="K139" s="17" t="s">
        <v>699</v>
      </c>
      <c r="M139" t="s">
        <v>36</v>
      </c>
      <c r="N139" t="s">
        <v>337</v>
      </c>
      <c r="O139" t="s">
        <v>52</v>
      </c>
      <c r="P139" s="15">
        <v>4</v>
      </c>
      <c r="Q139" s="18">
        <v>155935</v>
      </c>
      <c r="R139" s="19">
        <v>9</v>
      </c>
      <c r="S139" s="14">
        <v>4</v>
      </c>
      <c r="T139" s="7">
        <v>98</v>
      </c>
      <c r="U139" s="15">
        <v>10</v>
      </c>
      <c r="V139" s="15">
        <v>32</v>
      </c>
      <c r="W139" s="15">
        <v>53</v>
      </c>
      <c r="X139" t="s">
        <v>61</v>
      </c>
      <c r="Y139" t="s">
        <v>62</v>
      </c>
      <c r="Z139" s="14">
        <v>4.5</v>
      </c>
      <c r="AA139" s="12">
        <f>YEAR(Table1[Hire_Date])</f>
        <v>2022</v>
      </c>
      <c r="AB13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140" spans="1:28" x14ac:dyDescent="0.25">
      <c r="A140" t="s">
        <v>700</v>
      </c>
      <c r="B140" s="16" t="s">
        <v>701</v>
      </c>
      <c r="C140" s="16" t="s">
        <v>702</v>
      </c>
      <c r="D140" t="s">
        <v>29</v>
      </c>
      <c r="E140" s="15">
        <v>44</v>
      </c>
      <c r="F140" s="16" t="s">
        <v>90</v>
      </c>
      <c r="G140" s="16" t="s">
        <v>13</v>
      </c>
      <c r="H140" s="16" t="s">
        <v>66</v>
      </c>
      <c r="I140" s="16" t="s">
        <v>33</v>
      </c>
      <c r="J140" s="16" t="s">
        <v>34</v>
      </c>
      <c r="K140" s="17" t="s">
        <v>308</v>
      </c>
      <c r="M140" t="s">
        <v>36</v>
      </c>
      <c r="N140" t="s">
        <v>323</v>
      </c>
      <c r="O140" t="s">
        <v>60</v>
      </c>
      <c r="P140" s="15">
        <v>35</v>
      </c>
      <c r="Q140" s="18">
        <v>122196</v>
      </c>
      <c r="R140" s="19">
        <v>22</v>
      </c>
      <c r="S140" s="14">
        <v>3.2</v>
      </c>
      <c r="T140" s="7">
        <v>59</v>
      </c>
      <c r="U140" s="15">
        <v>20</v>
      </c>
      <c r="V140" s="15">
        <v>25</v>
      </c>
      <c r="W140" s="15">
        <v>54</v>
      </c>
      <c r="X140" t="s">
        <v>39</v>
      </c>
      <c r="Y140" t="s">
        <v>78</v>
      </c>
      <c r="Z140" s="14">
        <v>2.5</v>
      </c>
      <c r="AA140" s="12">
        <f>YEAR(Table1[Hire_Date])</f>
        <v>2024</v>
      </c>
      <c r="AB14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141" spans="1:28" x14ac:dyDescent="0.25">
      <c r="A141" t="s">
        <v>703</v>
      </c>
      <c r="B141" s="16" t="s">
        <v>704</v>
      </c>
      <c r="C141" s="16" t="s">
        <v>705</v>
      </c>
      <c r="D141" t="s">
        <v>29</v>
      </c>
      <c r="E141" s="15">
        <v>36</v>
      </c>
      <c r="F141" s="16" t="s">
        <v>90</v>
      </c>
      <c r="G141" s="16" t="s">
        <v>13</v>
      </c>
      <c r="H141" s="16" t="s">
        <v>66</v>
      </c>
      <c r="I141" s="16" t="s">
        <v>48</v>
      </c>
      <c r="J141" s="16" t="s">
        <v>34</v>
      </c>
      <c r="K141" s="17" t="s">
        <v>706</v>
      </c>
      <c r="M141" t="s">
        <v>36</v>
      </c>
      <c r="N141" t="s">
        <v>342</v>
      </c>
      <c r="O141" t="s">
        <v>60</v>
      </c>
      <c r="P141" s="15">
        <v>25</v>
      </c>
      <c r="Q141" s="18">
        <v>165294</v>
      </c>
      <c r="R141" s="19">
        <v>11</v>
      </c>
      <c r="S141" s="14">
        <v>3.8</v>
      </c>
      <c r="T141" s="7">
        <v>94</v>
      </c>
      <c r="U141" s="15">
        <v>11</v>
      </c>
      <c r="V141" s="15">
        <v>51</v>
      </c>
      <c r="W141" s="15">
        <v>44</v>
      </c>
      <c r="X141" t="s">
        <v>61</v>
      </c>
      <c r="Y141" t="s">
        <v>40</v>
      </c>
      <c r="Z141" s="14">
        <v>0.4</v>
      </c>
      <c r="AA141" s="12">
        <f>YEAR(Table1[Hire_Date])</f>
        <v>2026</v>
      </c>
      <c r="AB14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142" spans="1:28" x14ac:dyDescent="0.25">
      <c r="A142" t="s">
        <v>707</v>
      </c>
      <c r="B142" s="16" t="s">
        <v>708</v>
      </c>
      <c r="C142" s="16" t="s">
        <v>709</v>
      </c>
      <c r="D142" t="s">
        <v>44</v>
      </c>
      <c r="E142" s="15">
        <v>58</v>
      </c>
      <c r="F142" s="16" t="s">
        <v>90</v>
      </c>
      <c r="G142" s="16" t="s">
        <v>13</v>
      </c>
      <c r="H142" s="16" t="s">
        <v>32</v>
      </c>
      <c r="I142" s="16" t="s">
        <v>57</v>
      </c>
      <c r="J142" s="16" t="s">
        <v>34</v>
      </c>
      <c r="K142" s="17" t="s">
        <v>710</v>
      </c>
      <c r="M142" t="s">
        <v>36</v>
      </c>
      <c r="N142" t="s">
        <v>395</v>
      </c>
      <c r="O142" t="s">
        <v>60</v>
      </c>
      <c r="P142" s="15">
        <v>18</v>
      </c>
      <c r="Q142" s="18">
        <v>124241</v>
      </c>
      <c r="R142" s="19">
        <v>13</v>
      </c>
      <c r="S142" s="14">
        <v>4.9000000000000004</v>
      </c>
      <c r="T142" s="7">
        <v>66</v>
      </c>
      <c r="U142" s="15">
        <v>5</v>
      </c>
      <c r="V142" s="15">
        <v>48</v>
      </c>
      <c r="W142" s="15">
        <v>44</v>
      </c>
      <c r="X142" t="s">
        <v>61</v>
      </c>
      <c r="Y142" t="s">
        <v>40</v>
      </c>
      <c r="Z142" s="14">
        <v>10</v>
      </c>
      <c r="AA142" s="12">
        <f>YEAR(Table1[Hire_Date])</f>
        <v>2016</v>
      </c>
      <c r="AB14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143" spans="1:28" x14ac:dyDescent="0.25">
      <c r="A143" t="s">
        <v>711</v>
      </c>
      <c r="B143" s="16" t="s">
        <v>712</v>
      </c>
      <c r="C143" s="16" t="s">
        <v>713</v>
      </c>
      <c r="D143" t="s">
        <v>29</v>
      </c>
      <c r="E143" s="15">
        <v>58</v>
      </c>
      <c r="F143" s="16" t="s">
        <v>124</v>
      </c>
      <c r="G143" s="16" t="s">
        <v>141</v>
      </c>
      <c r="H143" s="16" t="s">
        <v>32</v>
      </c>
      <c r="I143" s="16" t="s">
        <v>33</v>
      </c>
      <c r="J143" s="16" t="s">
        <v>34</v>
      </c>
      <c r="K143" s="17" t="s">
        <v>653</v>
      </c>
      <c r="L143" s="17" t="s">
        <v>714</v>
      </c>
      <c r="M143" t="s">
        <v>76</v>
      </c>
      <c r="N143" t="s">
        <v>669</v>
      </c>
      <c r="O143" t="s">
        <v>60</v>
      </c>
      <c r="P143" s="15">
        <v>11</v>
      </c>
      <c r="Q143" s="18">
        <v>42712</v>
      </c>
      <c r="R143" s="19">
        <v>10</v>
      </c>
      <c r="S143" s="14">
        <v>5</v>
      </c>
      <c r="T143" s="7">
        <v>71</v>
      </c>
      <c r="U143" s="15">
        <v>3</v>
      </c>
      <c r="V143" s="15">
        <v>7</v>
      </c>
      <c r="W143" s="15">
        <v>41</v>
      </c>
      <c r="X143" t="s">
        <v>61</v>
      </c>
      <c r="Y143" t="s">
        <v>62</v>
      </c>
      <c r="Z143" s="14">
        <v>2.2999999999999998</v>
      </c>
      <c r="AA143" s="12">
        <f>YEAR(Table1[Hire_Date])</f>
        <v>2024</v>
      </c>
      <c r="AB14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144" spans="1:28" x14ac:dyDescent="0.25">
      <c r="A144" t="s">
        <v>715</v>
      </c>
      <c r="B144" s="16" t="s">
        <v>716</v>
      </c>
      <c r="C144" s="16" t="s">
        <v>717</v>
      </c>
      <c r="D144" t="s">
        <v>29</v>
      </c>
      <c r="E144" s="15">
        <v>26</v>
      </c>
      <c r="F144" s="16" t="s">
        <v>45</v>
      </c>
      <c r="G144" s="16" t="s">
        <v>82</v>
      </c>
      <c r="H144" s="16" t="s">
        <v>83</v>
      </c>
      <c r="I144" s="16" t="s">
        <v>48</v>
      </c>
      <c r="J144" s="16" t="s">
        <v>34</v>
      </c>
      <c r="K144" s="17" t="s">
        <v>718</v>
      </c>
      <c r="M144" t="s">
        <v>36</v>
      </c>
      <c r="N144" t="s">
        <v>505</v>
      </c>
      <c r="O144" t="s">
        <v>52</v>
      </c>
      <c r="P144" s="15">
        <v>3</v>
      </c>
      <c r="Q144" s="18">
        <v>70152</v>
      </c>
      <c r="R144" s="19">
        <v>5</v>
      </c>
      <c r="S144" s="14">
        <v>2.8</v>
      </c>
      <c r="T144" s="7">
        <v>66</v>
      </c>
      <c r="U144" s="15">
        <v>15</v>
      </c>
      <c r="V144" s="15">
        <v>35</v>
      </c>
      <c r="W144" s="15">
        <v>73</v>
      </c>
      <c r="X144" t="s">
        <v>39</v>
      </c>
      <c r="Y144" t="s">
        <v>78</v>
      </c>
      <c r="Z144" s="14">
        <v>8.4</v>
      </c>
      <c r="AA144" s="12">
        <f>YEAR(Table1[Hire_Date])</f>
        <v>2018</v>
      </c>
      <c r="AB14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145" spans="1:28" x14ac:dyDescent="0.25">
      <c r="A145" t="s">
        <v>719</v>
      </c>
      <c r="B145" s="16" t="s">
        <v>720</v>
      </c>
      <c r="C145" s="16" t="s">
        <v>721</v>
      </c>
      <c r="D145" t="s">
        <v>44</v>
      </c>
      <c r="E145" s="15">
        <v>59</v>
      </c>
      <c r="F145" s="16" t="s">
        <v>90</v>
      </c>
      <c r="G145" s="16" t="s">
        <v>13</v>
      </c>
      <c r="H145" s="16" t="s">
        <v>66</v>
      </c>
      <c r="I145" s="16" t="s">
        <v>57</v>
      </c>
      <c r="J145" s="16" t="s">
        <v>49</v>
      </c>
      <c r="K145" s="17" t="s">
        <v>722</v>
      </c>
      <c r="M145" t="s">
        <v>36</v>
      </c>
      <c r="N145" t="s">
        <v>189</v>
      </c>
      <c r="O145" t="s">
        <v>52</v>
      </c>
      <c r="P145" s="15">
        <v>27</v>
      </c>
      <c r="Q145" s="18">
        <v>93020</v>
      </c>
      <c r="R145" s="19">
        <v>15</v>
      </c>
      <c r="S145" s="14">
        <v>4.5</v>
      </c>
      <c r="T145" s="7">
        <v>84</v>
      </c>
      <c r="U145" s="15">
        <v>17</v>
      </c>
      <c r="V145" s="15">
        <v>8</v>
      </c>
      <c r="W145" s="15">
        <v>21</v>
      </c>
      <c r="X145" t="s">
        <v>39</v>
      </c>
      <c r="Y145" t="s">
        <v>40</v>
      </c>
      <c r="Z145" s="14">
        <v>10</v>
      </c>
      <c r="AA145" s="12">
        <f>YEAR(Table1[Hire_Date])</f>
        <v>2016</v>
      </c>
      <c r="AB14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146" spans="1:28" x14ac:dyDescent="0.25">
      <c r="A146" t="s">
        <v>723</v>
      </c>
      <c r="B146" s="16" t="s">
        <v>724</v>
      </c>
      <c r="C146" s="16" t="s">
        <v>725</v>
      </c>
      <c r="D146" t="s">
        <v>44</v>
      </c>
      <c r="E146" s="15">
        <v>28</v>
      </c>
      <c r="F146" s="16" t="s">
        <v>45</v>
      </c>
      <c r="G146" s="16" t="s">
        <v>82</v>
      </c>
      <c r="H146" s="16" t="s">
        <v>56</v>
      </c>
      <c r="I146" s="16" t="s">
        <v>57</v>
      </c>
      <c r="J146" s="16" t="s">
        <v>34</v>
      </c>
      <c r="K146" s="17" t="s">
        <v>726</v>
      </c>
      <c r="L146" s="17" t="s">
        <v>91</v>
      </c>
      <c r="M146" t="s">
        <v>76</v>
      </c>
      <c r="N146" t="s">
        <v>175</v>
      </c>
      <c r="O146" t="s">
        <v>38</v>
      </c>
      <c r="P146" s="15">
        <v>6</v>
      </c>
      <c r="Q146" s="18">
        <v>102076</v>
      </c>
      <c r="R146" s="19">
        <v>10</v>
      </c>
      <c r="S146" s="14">
        <v>4.9000000000000004</v>
      </c>
      <c r="T146" s="7">
        <v>80</v>
      </c>
      <c r="U146" s="15">
        <v>9</v>
      </c>
      <c r="V146" s="15">
        <v>5</v>
      </c>
      <c r="W146" s="15">
        <v>16</v>
      </c>
      <c r="X146" t="s">
        <v>39</v>
      </c>
      <c r="Y146" t="s">
        <v>62</v>
      </c>
      <c r="Z146" s="14">
        <v>9</v>
      </c>
      <c r="AA146" s="12">
        <f>YEAR(Table1[Hire_Date])</f>
        <v>2017</v>
      </c>
      <c r="AB14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147" spans="1:28" x14ac:dyDescent="0.25">
      <c r="A147" t="s">
        <v>727</v>
      </c>
      <c r="B147" s="16" t="s">
        <v>728</v>
      </c>
      <c r="C147" s="16" t="s">
        <v>729</v>
      </c>
      <c r="D147" t="s">
        <v>44</v>
      </c>
      <c r="E147" s="15">
        <v>40</v>
      </c>
      <c r="F147" s="16" t="s">
        <v>103</v>
      </c>
      <c r="G147" s="16" t="s">
        <v>13</v>
      </c>
      <c r="H147" s="16" t="s">
        <v>32</v>
      </c>
      <c r="I147" s="16" t="s">
        <v>48</v>
      </c>
      <c r="J147" s="16" t="s">
        <v>49</v>
      </c>
      <c r="K147" s="17" t="s">
        <v>730</v>
      </c>
      <c r="M147" t="s">
        <v>36</v>
      </c>
      <c r="N147" t="s">
        <v>731</v>
      </c>
      <c r="O147" t="s">
        <v>38</v>
      </c>
      <c r="P147" s="15">
        <v>33</v>
      </c>
      <c r="Q147" s="18">
        <v>85801</v>
      </c>
      <c r="R147" s="19">
        <v>9</v>
      </c>
      <c r="S147" s="14">
        <v>3.5</v>
      </c>
      <c r="T147" s="7">
        <v>90</v>
      </c>
      <c r="U147" s="15">
        <v>12</v>
      </c>
      <c r="V147" s="15">
        <v>6</v>
      </c>
      <c r="W147" s="15">
        <v>19</v>
      </c>
      <c r="X147" t="s">
        <v>39</v>
      </c>
      <c r="Y147" t="s">
        <v>62</v>
      </c>
      <c r="Z147" s="14">
        <v>4.8</v>
      </c>
      <c r="AA147" s="12">
        <f>YEAR(Table1[Hire_Date])</f>
        <v>2021</v>
      </c>
      <c r="AB14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148" spans="1:28" x14ac:dyDescent="0.25">
      <c r="A148" t="s">
        <v>732</v>
      </c>
      <c r="B148" s="16" t="s">
        <v>733</v>
      </c>
      <c r="C148" s="16" t="s">
        <v>734</v>
      </c>
      <c r="D148" t="s">
        <v>44</v>
      </c>
      <c r="E148" s="15">
        <v>31</v>
      </c>
      <c r="F148" s="16" t="s">
        <v>30</v>
      </c>
      <c r="G148" s="16" t="s">
        <v>13</v>
      </c>
      <c r="H148" s="16" t="s">
        <v>83</v>
      </c>
      <c r="I148" s="16" t="s">
        <v>57</v>
      </c>
      <c r="J148" s="16" t="s">
        <v>34</v>
      </c>
      <c r="K148" s="17" t="s">
        <v>735</v>
      </c>
      <c r="M148" t="s">
        <v>36</v>
      </c>
      <c r="N148" t="s">
        <v>224</v>
      </c>
      <c r="O148" t="s">
        <v>60</v>
      </c>
      <c r="P148" s="15">
        <v>8</v>
      </c>
      <c r="Q148" s="18">
        <v>141763</v>
      </c>
      <c r="R148" s="19">
        <v>22</v>
      </c>
      <c r="S148" s="14">
        <v>3</v>
      </c>
      <c r="T148" s="7">
        <v>61</v>
      </c>
      <c r="U148" s="15">
        <v>0</v>
      </c>
      <c r="V148" s="15">
        <v>51</v>
      </c>
      <c r="W148" s="15">
        <v>58</v>
      </c>
      <c r="X148" t="s">
        <v>39</v>
      </c>
      <c r="Y148" t="s">
        <v>62</v>
      </c>
      <c r="Z148" s="14">
        <v>7.2</v>
      </c>
      <c r="AA148" s="12">
        <f>YEAR(Table1[Hire_Date])</f>
        <v>2019</v>
      </c>
      <c r="AB14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149" spans="1:28" x14ac:dyDescent="0.25">
      <c r="A149" t="s">
        <v>736</v>
      </c>
      <c r="B149" s="16" t="s">
        <v>737</v>
      </c>
      <c r="C149" s="16" t="s">
        <v>738</v>
      </c>
      <c r="D149" t="s">
        <v>29</v>
      </c>
      <c r="E149" s="15">
        <v>56</v>
      </c>
      <c r="F149" s="16" t="s">
        <v>90</v>
      </c>
      <c r="G149" s="16" t="s">
        <v>281</v>
      </c>
      <c r="H149" s="16" t="s">
        <v>32</v>
      </c>
      <c r="I149" s="16" t="s">
        <v>33</v>
      </c>
      <c r="J149" s="16" t="s">
        <v>34</v>
      </c>
      <c r="K149" s="17" t="s">
        <v>739</v>
      </c>
      <c r="M149" t="s">
        <v>36</v>
      </c>
      <c r="N149" t="s">
        <v>51</v>
      </c>
      <c r="O149" t="s">
        <v>60</v>
      </c>
      <c r="P149" s="15">
        <v>2</v>
      </c>
      <c r="Q149" s="18">
        <v>42856</v>
      </c>
      <c r="R149" s="19">
        <v>13</v>
      </c>
      <c r="S149" s="14">
        <v>4.0999999999999996</v>
      </c>
      <c r="T149" s="7">
        <v>87</v>
      </c>
      <c r="U149" s="15">
        <v>10</v>
      </c>
      <c r="V149" s="15">
        <v>35</v>
      </c>
      <c r="W149" s="15">
        <v>71</v>
      </c>
      <c r="X149" t="s">
        <v>61</v>
      </c>
      <c r="Y149" t="s">
        <v>62</v>
      </c>
      <c r="Z149" s="14">
        <v>3.5</v>
      </c>
      <c r="AA149" s="12">
        <f>YEAR(Table1[Hire_Date])</f>
        <v>2023</v>
      </c>
      <c r="AB14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150" spans="1:28" x14ac:dyDescent="0.25">
      <c r="A150" t="s">
        <v>740</v>
      </c>
      <c r="B150" s="16" t="s">
        <v>741</v>
      </c>
      <c r="C150" s="16" t="s">
        <v>742</v>
      </c>
      <c r="D150" t="s">
        <v>44</v>
      </c>
      <c r="E150" s="15">
        <v>42</v>
      </c>
      <c r="F150" s="16" t="s">
        <v>72</v>
      </c>
      <c r="G150" s="16" t="s">
        <v>97</v>
      </c>
      <c r="H150" s="16" t="s">
        <v>83</v>
      </c>
      <c r="I150" s="16" t="s">
        <v>33</v>
      </c>
      <c r="J150" s="16" t="s">
        <v>34</v>
      </c>
      <c r="K150" s="17" t="s">
        <v>743</v>
      </c>
      <c r="M150" t="s">
        <v>36</v>
      </c>
      <c r="N150" t="s">
        <v>659</v>
      </c>
      <c r="O150" t="s">
        <v>38</v>
      </c>
      <c r="P150" s="15">
        <v>24</v>
      </c>
      <c r="Q150" s="18">
        <v>128867</v>
      </c>
      <c r="R150" s="19">
        <v>6</v>
      </c>
      <c r="S150" s="14">
        <v>3.7</v>
      </c>
      <c r="T150" s="7">
        <v>57</v>
      </c>
      <c r="U150" s="15">
        <v>11</v>
      </c>
      <c r="V150" s="15">
        <v>53</v>
      </c>
      <c r="W150" s="15">
        <v>25</v>
      </c>
      <c r="X150" t="s">
        <v>39</v>
      </c>
      <c r="Y150" t="s">
        <v>78</v>
      </c>
      <c r="Z150" s="14">
        <v>9.1</v>
      </c>
      <c r="AA150" s="12">
        <f>YEAR(Table1[Hire_Date])</f>
        <v>2017</v>
      </c>
      <c r="AB15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151" spans="1:28" x14ac:dyDescent="0.25">
      <c r="A151" t="s">
        <v>744</v>
      </c>
      <c r="B151" s="16" t="s">
        <v>745</v>
      </c>
      <c r="C151" s="16" t="s">
        <v>746</v>
      </c>
      <c r="D151" t="s">
        <v>44</v>
      </c>
      <c r="E151" s="15">
        <v>38</v>
      </c>
      <c r="F151" s="16" t="s">
        <v>30</v>
      </c>
      <c r="G151" s="16" t="s">
        <v>31</v>
      </c>
      <c r="H151" s="16" t="s">
        <v>56</v>
      </c>
      <c r="I151" s="16" t="s">
        <v>57</v>
      </c>
      <c r="J151" s="16" t="s">
        <v>49</v>
      </c>
      <c r="K151" s="17" t="s">
        <v>747</v>
      </c>
      <c r="M151" t="s">
        <v>36</v>
      </c>
      <c r="N151" t="s">
        <v>204</v>
      </c>
      <c r="O151" t="s">
        <v>60</v>
      </c>
      <c r="P151" s="15">
        <v>13</v>
      </c>
      <c r="Q151" s="18">
        <v>176447</v>
      </c>
      <c r="R151" s="19">
        <v>12</v>
      </c>
      <c r="S151" s="14">
        <v>2.5</v>
      </c>
      <c r="T151" s="7">
        <v>67</v>
      </c>
      <c r="U151" s="15">
        <v>16</v>
      </c>
      <c r="V151" s="15">
        <v>5</v>
      </c>
      <c r="W151" s="15">
        <v>40</v>
      </c>
      <c r="X151" t="s">
        <v>39</v>
      </c>
      <c r="Y151" t="s">
        <v>40</v>
      </c>
      <c r="Z151" s="14">
        <v>9</v>
      </c>
      <c r="AA151" s="12">
        <f>YEAR(Table1[Hire_Date])</f>
        <v>2017</v>
      </c>
      <c r="AB15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152" spans="1:28" x14ac:dyDescent="0.25">
      <c r="A152" t="s">
        <v>748</v>
      </c>
      <c r="B152" s="16" t="s">
        <v>749</v>
      </c>
      <c r="C152" s="16" t="s">
        <v>750</v>
      </c>
      <c r="D152" t="s">
        <v>29</v>
      </c>
      <c r="E152" s="15">
        <v>45</v>
      </c>
      <c r="F152" s="16" t="s">
        <v>90</v>
      </c>
      <c r="G152" s="16" t="s">
        <v>13</v>
      </c>
      <c r="H152" s="16" t="s">
        <v>66</v>
      </c>
      <c r="I152" s="16" t="s">
        <v>33</v>
      </c>
      <c r="J152" s="16" t="s">
        <v>49</v>
      </c>
      <c r="K152" s="17" t="s">
        <v>751</v>
      </c>
      <c r="M152" t="s">
        <v>36</v>
      </c>
      <c r="N152" t="s">
        <v>224</v>
      </c>
      <c r="O152" t="s">
        <v>38</v>
      </c>
      <c r="P152" s="15">
        <v>14</v>
      </c>
      <c r="Q152" s="18">
        <v>170640</v>
      </c>
      <c r="R152" s="19">
        <v>7</v>
      </c>
      <c r="S152" s="14">
        <v>2.9</v>
      </c>
      <c r="T152" s="7">
        <v>69</v>
      </c>
      <c r="U152" s="15">
        <v>1</v>
      </c>
      <c r="V152" s="15">
        <v>25</v>
      </c>
      <c r="W152" s="15">
        <v>11</v>
      </c>
      <c r="X152" t="s">
        <v>61</v>
      </c>
      <c r="Y152" t="s">
        <v>62</v>
      </c>
      <c r="Z152" s="14">
        <v>6.6</v>
      </c>
      <c r="AA152" s="12">
        <f>YEAR(Table1[Hire_Date])</f>
        <v>2019</v>
      </c>
      <c r="AB15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153" spans="1:28" x14ac:dyDescent="0.25">
      <c r="A153" t="s">
        <v>752</v>
      </c>
      <c r="B153" s="16" t="s">
        <v>753</v>
      </c>
      <c r="C153" s="16" t="s">
        <v>754</v>
      </c>
      <c r="D153" t="s">
        <v>44</v>
      </c>
      <c r="E153" s="15">
        <v>36</v>
      </c>
      <c r="F153" s="16" t="s">
        <v>124</v>
      </c>
      <c r="G153" s="16" t="s">
        <v>104</v>
      </c>
      <c r="H153" s="16" t="s">
        <v>83</v>
      </c>
      <c r="I153" s="16" t="s">
        <v>48</v>
      </c>
      <c r="J153" s="16" t="s">
        <v>49</v>
      </c>
      <c r="K153" s="17" t="s">
        <v>755</v>
      </c>
      <c r="M153" t="s">
        <v>36</v>
      </c>
      <c r="N153" t="s">
        <v>106</v>
      </c>
      <c r="O153" t="s">
        <v>52</v>
      </c>
      <c r="P153" s="15">
        <v>32</v>
      </c>
      <c r="Q153" s="18">
        <v>90972</v>
      </c>
      <c r="R153" s="19">
        <v>15</v>
      </c>
      <c r="S153" s="14">
        <v>3.6</v>
      </c>
      <c r="T153" s="7">
        <v>52</v>
      </c>
      <c r="U153" s="15">
        <v>15</v>
      </c>
      <c r="V153" s="15">
        <v>52</v>
      </c>
      <c r="W153" s="15">
        <v>26</v>
      </c>
      <c r="X153" t="s">
        <v>61</v>
      </c>
      <c r="Y153" t="s">
        <v>62</v>
      </c>
      <c r="Z153" s="14">
        <v>2.4</v>
      </c>
      <c r="AA153" s="12">
        <f>YEAR(Table1[Hire_Date])</f>
        <v>2024</v>
      </c>
      <c r="AB15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154" spans="1:28" x14ac:dyDescent="0.25">
      <c r="A154" t="s">
        <v>756</v>
      </c>
      <c r="B154" s="16" t="s">
        <v>757</v>
      </c>
      <c r="C154" s="16" t="s">
        <v>758</v>
      </c>
      <c r="D154" t="s">
        <v>44</v>
      </c>
      <c r="E154" s="15">
        <v>48</v>
      </c>
      <c r="F154" s="16" t="s">
        <v>124</v>
      </c>
      <c r="G154" s="16" t="s">
        <v>141</v>
      </c>
      <c r="H154" s="16" t="s">
        <v>47</v>
      </c>
      <c r="I154" s="16" t="s">
        <v>48</v>
      </c>
      <c r="J154" s="16" t="s">
        <v>49</v>
      </c>
      <c r="K154" s="17" t="s">
        <v>759</v>
      </c>
      <c r="M154" t="s">
        <v>36</v>
      </c>
      <c r="N154" t="s">
        <v>691</v>
      </c>
      <c r="O154" t="s">
        <v>38</v>
      </c>
      <c r="P154" s="15">
        <v>11</v>
      </c>
      <c r="Q154" s="18">
        <v>157468</v>
      </c>
      <c r="R154" s="19">
        <v>14</v>
      </c>
      <c r="S154" s="14">
        <v>3.1</v>
      </c>
      <c r="T154" s="7">
        <v>76</v>
      </c>
      <c r="U154" s="15">
        <v>3</v>
      </c>
      <c r="V154" s="15">
        <v>21</v>
      </c>
      <c r="W154" s="15">
        <v>8</v>
      </c>
      <c r="X154" t="s">
        <v>61</v>
      </c>
      <c r="Y154" t="s">
        <v>62</v>
      </c>
      <c r="Z154" s="14">
        <v>4.0999999999999996</v>
      </c>
      <c r="AA154" s="12">
        <f>YEAR(Table1[Hire_Date])</f>
        <v>2022</v>
      </c>
      <c r="AB15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155" spans="1:28" x14ac:dyDescent="0.25">
      <c r="A155" t="s">
        <v>760</v>
      </c>
      <c r="B155" s="16" t="s">
        <v>761</v>
      </c>
      <c r="C155" s="16" t="s">
        <v>762</v>
      </c>
      <c r="D155" t="s">
        <v>29</v>
      </c>
      <c r="E155" s="15">
        <v>38</v>
      </c>
      <c r="F155" s="16" t="s">
        <v>45</v>
      </c>
      <c r="G155" s="16" t="s">
        <v>82</v>
      </c>
      <c r="H155" s="16" t="s">
        <v>83</v>
      </c>
      <c r="I155" s="16" t="s">
        <v>57</v>
      </c>
      <c r="J155" s="16" t="s">
        <v>34</v>
      </c>
      <c r="K155" s="17" t="s">
        <v>763</v>
      </c>
      <c r="M155" t="s">
        <v>36</v>
      </c>
      <c r="N155" t="s">
        <v>536</v>
      </c>
      <c r="O155" t="s">
        <v>60</v>
      </c>
      <c r="P155" s="15">
        <v>4</v>
      </c>
      <c r="Q155" s="18">
        <v>167829</v>
      </c>
      <c r="R155" s="19">
        <v>20</v>
      </c>
      <c r="S155" s="14">
        <v>3.2</v>
      </c>
      <c r="T155" s="7">
        <v>89</v>
      </c>
      <c r="U155" s="15">
        <v>18</v>
      </c>
      <c r="V155" s="15">
        <v>31</v>
      </c>
      <c r="W155" s="15">
        <v>26</v>
      </c>
      <c r="X155" t="s">
        <v>61</v>
      </c>
      <c r="Y155" t="s">
        <v>78</v>
      </c>
      <c r="Z155" s="14">
        <v>4.7</v>
      </c>
      <c r="AA155" s="12">
        <f>YEAR(Table1[Hire_Date])</f>
        <v>2021</v>
      </c>
      <c r="AB15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156" spans="1:28" x14ac:dyDescent="0.25">
      <c r="A156" t="s">
        <v>764</v>
      </c>
      <c r="B156" s="16" t="s">
        <v>765</v>
      </c>
      <c r="C156" s="16" t="s">
        <v>766</v>
      </c>
      <c r="D156" t="s">
        <v>29</v>
      </c>
      <c r="E156" s="15">
        <v>51</v>
      </c>
      <c r="F156" s="16" t="s">
        <v>103</v>
      </c>
      <c r="G156" s="16" t="s">
        <v>147</v>
      </c>
      <c r="H156" s="16" t="s">
        <v>56</v>
      </c>
      <c r="I156" s="16" t="s">
        <v>48</v>
      </c>
      <c r="J156" s="16" t="s">
        <v>49</v>
      </c>
      <c r="K156" s="17" t="s">
        <v>767</v>
      </c>
      <c r="M156" t="s">
        <v>36</v>
      </c>
      <c r="N156" t="s">
        <v>469</v>
      </c>
      <c r="O156" t="s">
        <v>60</v>
      </c>
      <c r="P156" s="15">
        <v>4</v>
      </c>
      <c r="Q156" s="18">
        <v>50487</v>
      </c>
      <c r="R156" s="19">
        <v>21</v>
      </c>
      <c r="S156" s="14">
        <v>4.9000000000000004</v>
      </c>
      <c r="T156" s="7">
        <v>76</v>
      </c>
      <c r="U156" s="15">
        <v>16</v>
      </c>
      <c r="V156" s="15">
        <v>20</v>
      </c>
      <c r="W156" s="15">
        <v>39</v>
      </c>
      <c r="X156" t="s">
        <v>39</v>
      </c>
      <c r="Y156" t="s">
        <v>62</v>
      </c>
      <c r="Z156" s="14">
        <v>2.8</v>
      </c>
      <c r="AA156" s="12">
        <f>YEAR(Table1[Hire_Date])</f>
        <v>2023</v>
      </c>
      <c r="AB15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157" spans="1:28" x14ac:dyDescent="0.25">
      <c r="A157" t="s">
        <v>768</v>
      </c>
      <c r="B157" s="16" t="s">
        <v>769</v>
      </c>
      <c r="C157" s="16" t="s">
        <v>770</v>
      </c>
      <c r="D157" t="s">
        <v>44</v>
      </c>
      <c r="E157" s="15">
        <v>56</v>
      </c>
      <c r="F157" s="16" t="s">
        <v>103</v>
      </c>
      <c r="G157" s="16" t="s">
        <v>104</v>
      </c>
      <c r="H157" s="16" t="s">
        <v>83</v>
      </c>
      <c r="I157" s="16" t="s">
        <v>33</v>
      </c>
      <c r="J157" s="16" t="s">
        <v>49</v>
      </c>
      <c r="K157" s="17" t="s">
        <v>771</v>
      </c>
      <c r="M157" t="s">
        <v>36</v>
      </c>
      <c r="N157" t="s">
        <v>419</v>
      </c>
      <c r="O157" t="s">
        <v>60</v>
      </c>
      <c r="P157" s="15">
        <v>20</v>
      </c>
      <c r="Q157" s="18">
        <v>80860</v>
      </c>
      <c r="R157" s="19">
        <v>20</v>
      </c>
      <c r="S157" s="14">
        <v>2.9</v>
      </c>
      <c r="T157" s="7">
        <v>72</v>
      </c>
      <c r="U157" s="15">
        <v>15</v>
      </c>
      <c r="V157" s="15">
        <v>44</v>
      </c>
      <c r="W157" s="15">
        <v>47</v>
      </c>
      <c r="X157" t="s">
        <v>61</v>
      </c>
      <c r="Y157" t="s">
        <v>78</v>
      </c>
      <c r="Z157" s="14">
        <v>9.3000000000000007</v>
      </c>
      <c r="AA157" s="12">
        <f>YEAR(Table1[Hire_Date])</f>
        <v>2017</v>
      </c>
      <c r="AB15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158" spans="1:28" x14ac:dyDescent="0.25">
      <c r="A158" t="s">
        <v>772</v>
      </c>
      <c r="B158" s="16" t="s">
        <v>773</v>
      </c>
      <c r="C158" s="16" t="s">
        <v>774</v>
      </c>
      <c r="D158" t="s">
        <v>29</v>
      </c>
      <c r="E158" s="15">
        <v>38</v>
      </c>
      <c r="F158" s="16" t="s">
        <v>124</v>
      </c>
      <c r="G158" s="16" t="s">
        <v>141</v>
      </c>
      <c r="H158" s="16" t="s">
        <v>83</v>
      </c>
      <c r="I158" s="16" t="s">
        <v>48</v>
      </c>
      <c r="J158" s="16" t="s">
        <v>49</v>
      </c>
      <c r="K158" s="17" t="s">
        <v>775</v>
      </c>
      <c r="M158" t="s">
        <v>36</v>
      </c>
      <c r="N158" t="s">
        <v>358</v>
      </c>
      <c r="O158" t="s">
        <v>52</v>
      </c>
      <c r="P158" s="15">
        <v>23</v>
      </c>
      <c r="Q158" s="18">
        <v>100225</v>
      </c>
      <c r="R158" s="19">
        <v>25</v>
      </c>
      <c r="S158" s="14">
        <v>3.7</v>
      </c>
      <c r="T158" s="7">
        <v>90</v>
      </c>
      <c r="U158" s="15">
        <v>12</v>
      </c>
      <c r="V158" s="15">
        <v>28</v>
      </c>
      <c r="W158" s="15">
        <v>43</v>
      </c>
      <c r="X158" t="s">
        <v>61</v>
      </c>
      <c r="Y158" t="s">
        <v>78</v>
      </c>
      <c r="Z158" s="14">
        <v>4.4000000000000004</v>
      </c>
      <c r="AA158" s="12">
        <f>YEAR(Table1[Hire_Date])</f>
        <v>2022</v>
      </c>
      <c r="AB15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159" spans="1:28" x14ac:dyDescent="0.25">
      <c r="A159" t="s">
        <v>776</v>
      </c>
      <c r="B159" s="16" t="s">
        <v>777</v>
      </c>
      <c r="C159" s="16" t="s">
        <v>778</v>
      </c>
      <c r="D159" t="s">
        <v>29</v>
      </c>
      <c r="E159" s="15">
        <v>43</v>
      </c>
      <c r="F159" s="16" t="s">
        <v>124</v>
      </c>
      <c r="G159" s="16" t="s">
        <v>104</v>
      </c>
      <c r="H159" s="16" t="s">
        <v>83</v>
      </c>
      <c r="I159" s="16" t="s">
        <v>48</v>
      </c>
      <c r="J159" s="16" t="s">
        <v>49</v>
      </c>
      <c r="K159" s="17" t="s">
        <v>779</v>
      </c>
      <c r="M159" t="s">
        <v>36</v>
      </c>
      <c r="N159" t="s">
        <v>248</v>
      </c>
      <c r="O159" t="s">
        <v>60</v>
      </c>
      <c r="P159" s="15">
        <v>21</v>
      </c>
      <c r="Q159" s="18">
        <v>153378</v>
      </c>
      <c r="R159" s="19">
        <v>20</v>
      </c>
      <c r="S159" s="14">
        <v>2.6</v>
      </c>
      <c r="T159" s="7">
        <v>92</v>
      </c>
      <c r="U159" s="15">
        <v>0</v>
      </c>
      <c r="V159" s="15">
        <v>54</v>
      </c>
      <c r="W159" s="15">
        <v>36</v>
      </c>
      <c r="X159" t="s">
        <v>39</v>
      </c>
      <c r="Y159" t="s">
        <v>62</v>
      </c>
      <c r="Z159" s="14">
        <v>3.7</v>
      </c>
      <c r="AA159" s="12">
        <f>YEAR(Table1[Hire_Date])</f>
        <v>2022</v>
      </c>
      <c r="AB15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160" spans="1:28" x14ac:dyDescent="0.25">
      <c r="A160" t="s">
        <v>780</v>
      </c>
      <c r="B160" s="16" t="s">
        <v>781</v>
      </c>
      <c r="C160" s="16" t="s">
        <v>782</v>
      </c>
      <c r="D160" t="s">
        <v>44</v>
      </c>
      <c r="E160" s="15">
        <v>24</v>
      </c>
      <c r="F160" s="16" t="s">
        <v>45</v>
      </c>
      <c r="G160" s="16" t="s">
        <v>46</v>
      </c>
      <c r="H160" s="16" t="s">
        <v>56</v>
      </c>
      <c r="I160" s="16" t="s">
        <v>57</v>
      </c>
      <c r="J160" s="16" t="s">
        <v>34</v>
      </c>
      <c r="K160" s="17" t="s">
        <v>783</v>
      </c>
      <c r="M160" t="s">
        <v>36</v>
      </c>
      <c r="N160" t="s">
        <v>59</v>
      </c>
      <c r="O160" t="s">
        <v>38</v>
      </c>
      <c r="P160" s="15">
        <v>2</v>
      </c>
      <c r="Q160" s="18">
        <v>173568</v>
      </c>
      <c r="R160" s="19">
        <v>18</v>
      </c>
      <c r="S160" s="14">
        <v>3.4</v>
      </c>
      <c r="T160" s="7">
        <v>84</v>
      </c>
      <c r="U160" s="15">
        <v>17</v>
      </c>
      <c r="V160" s="15">
        <v>28</v>
      </c>
      <c r="W160" s="15">
        <v>26</v>
      </c>
      <c r="X160" t="s">
        <v>39</v>
      </c>
      <c r="Y160" t="s">
        <v>40</v>
      </c>
      <c r="Z160" s="14">
        <v>2.5</v>
      </c>
      <c r="AA160" s="12">
        <f>YEAR(Table1[Hire_Date])</f>
        <v>2024</v>
      </c>
      <c r="AB16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161" spans="1:28" x14ac:dyDescent="0.25">
      <c r="A161" t="s">
        <v>784</v>
      </c>
      <c r="B161" s="16" t="s">
        <v>785</v>
      </c>
      <c r="C161" s="16" t="s">
        <v>786</v>
      </c>
      <c r="D161" t="s">
        <v>44</v>
      </c>
      <c r="E161" s="15">
        <v>28</v>
      </c>
      <c r="F161" s="16" t="s">
        <v>103</v>
      </c>
      <c r="G161" s="16" t="s">
        <v>147</v>
      </c>
      <c r="H161" s="16" t="s">
        <v>83</v>
      </c>
      <c r="I161" s="16" t="s">
        <v>57</v>
      </c>
      <c r="J161" s="16" t="s">
        <v>34</v>
      </c>
      <c r="K161" s="17" t="s">
        <v>787</v>
      </c>
      <c r="L161" s="17" t="s">
        <v>788</v>
      </c>
      <c r="M161" t="s">
        <v>76</v>
      </c>
      <c r="N161" t="s">
        <v>385</v>
      </c>
      <c r="O161" t="s">
        <v>52</v>
      </c>
      <c r="P161" s="15">
        <v>19</v>
      </c>
      <c r="Q161" s="18">
        <v>55086</v>
      </c>
      <c r="R161" s="19">
        <v>24</v>
      </c>
      <c r="S161" s="14">
        <v>3.2</v>
      </c>
      <c r="T161" s="7">
        <v>83</v>
      </c>
      <c r="U161" s="15">
        <v>6</v>
      </c>
      <c r="V161" s="15">
        <v>19</v>
      </c>
      <c r="W161" s="15">
        <v>4</v>
      </c>
      <c r="X161" t="s">
        <v>39</v>
      </c>
      <c r="Y161" t="s">
        <v>78</v>
      </c>
      <c r="Z161" s="14">
        <v>8.1999999999999993</v>
      </c>
      <c r="AA161" s="12">
        <f>YEAR(Table1[Hire_Date])</f>
        <v>2018</v>
      </c>
      <c r="AB16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162" spans="1:28" x14ac:dyDescent="0.25">
      <c r="A162" t="s">
        <v>789</v>
      </c>
      <c r="B162" s="16" t="s">
        <v>790</v>
      </c>
      <c r="C162" s="16" t="s">
        <v>791</v>
      </c>
      <c r="D162" t="s">
        <v>29</v>
      </c>
      <c r="E162" s="15">
        <v>22</v>
      </c>
      <c r="F162" s="16" t="s">
        <v>103</v>
      </c>
      <c r="G162" s="16" t="s">
        <v>13</v>
      </c>
      <c r="H162" s="16" t="s">
        <v>56</v>
      </c>
      <c r="I162" s="16" t="s">
        <v>48</v>
      </c>
      <c r="J162" s="16" t="s">
        <v>49</v>
      </c>
      <c r="K162" s="17" t="s">
        <v>792</v>
      </c>
      <c r="M162" t="s">
        <v>36</v>
      </c>
      <c r="N162" t="s">
        <v>170</v>
      </c>
      <c r="O162" t="s">
        <v>52</v>
      </c>
      <c r="P162" s="15">
        <v>25</v>
      </c>
      <c r="Q162" s="18">
        <v>71916</v>
      </c>
      <c r="R162" s="19">
        <v>7</v>
      </c>
      <c r="S162" s="14">
        <v>4.0999999999999996</v>
      </c>
      <c r="T162" s="7">
        <v>62</v>
      </c>
      <c r="U162" s="15">
        <v>2</v>
      </c>
      <c r="V162" s="15">
        <v>29</v>
      </c>
      <c r="W162" s="15">
        <v>10</v>
      </c>
      <c r="X162" t="s">
        <v>39</v>
      </c>
      <c r="Y162" t="s">
        <v>78</v>
      </c>
      <c r="Z162" s="14">
        <v>4.4000000000000004</v>
      </c>
      <c r="AA162" s="12">
        <f>YEAR(Table1[Hire_Date])</f>
        <v>2022</v>
      </c>
      <c r="AB16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163" spans="1:28" x14ac:dyDescent="0.25">
      <c r="A163" t="s">
        <v>793</v>
      </c>
      <c r="B163" s="16" t="s">
        <v>794</v>
      </c>
      <c r="C163" s="16" t="s">
        <v>795</v>
      </c>
      <c r="D163" t="s">
        <v>44</v>
      </c>
      <c r="E163" s="15">
        <v>57</v>
      </c>
      <c r="F163" s="16" t="s">
        <v>90</v>
      </c>
      <c r="G163" s="16" t="s">
        <v>13</v>
      </c>
      <c r="H163" s="16" t="s">
        <v>83</v>
      </c>
      <c r="I163" s="16" t="s">
        <v>57</v>
      </c>
      <c r="J163" s="16" t="s">
        <v>49</v>
      </c>
      <c r="K163" s="17" t="s">
        <v>796</v>
      </c>
      <c r="M163" t="s">
        <v>36</v>
      </c>
      <c r="N163" t="s">
        <v>353</v>
      </c>
      <c r="O163" t="s">
        <v>52</v>
      </c>
      <c r="P163" s="15">
        <v>23</v>
      </c>
      <c r="Q163" s="18">
        <v>73033</v>
      </c>
      <c r="R163" s="19">
        <v>9</v>
      </c>
      <c r="S163" s="14">
        <v>4.0999999999999996</v>
      </c>
      <c r="T163" s="7">
        <v>92</v>
      </c>
      <c r="U163" s="15">
        <v>9</v>
      </c>
      <c r="V163" s="15">
        <v>38</v>
      </c>
      <c r="W163" s="15">
        <v>20</v>
      </c>
      <c r="X163" t="s">
        <v>61</v>
      </c>
      <c r="Y163" t="s">
        <v>62</v>
      </c>
      <c r="Z163" s="14">
        <v>3.7</v>
      </c>
      <c r="AA163" s="12">
        <f>YEAR(Table1[Hire_Date])</f>
        <v>2022</v>
      </c>
      <c r="AB16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164" spans="1:28" x14ac:dyDescent="0.25">
      <c r="A164" t="s">
        <v>797</v>
      </c>
      <c r="B164" s="16" t="s">
        <v>798</v>
      </c>
      <c r="C164" s="16" t="s">
        <v>799</v>
      </c>
      <c r="D164" t="s">
        <v>44</v>
      </c>
      <c r="E164" s="15">
        <v>57</v>
      </c>
      <c r="F164" s="16" t="s">
        <v>90</v>
      </c>
      <c r="G164" s="16" t="s">
        <v>281</v>
      </c>
      <c r="H164" s="16" t="s">
        <v>56</v>
      </c>
      <c r="I164" s="16" t="s">
        <v>48</v>
      </c>
      <c r="J164" s="16" t="s">
        <v>34</v>
      </c>
      <c r="K164" s="17" t="s">
        <v>800</v>
      </c>
      <c r="M164" t="s">
        <v>36</v>
      </c>
      <c r="N164" t="s">
        <v>380</v>
      </c>
      <c r="O164" t="s">
        <v>60</v>
      </c>
      <c r="P164" s="15">
        <v>8</v>
      </c>
      <c r="Q164" s="18">
        <v>159491</v>
      </c>
      <c r="R164" s="19">
        <v>18</v>
      </c>
      <c r="S164" s="14">
        <v>3.4</v>
      </c>
      <c r="T164" s="7">
        <v>83</v>
      </c>
      <c r="U164" s="15">
        <v>6</v>
      </c>
      <c r="V164" s="15">
        <v>19</v>
      </c>
      <c r="W164" s="15">
        <v>51</v>
      </c>
      <c r="X164" t="s">
        <v>61</v>
      </c>
      <c r="Y164" t="s">
        <v>62</v>
      </c>
      <c r="Z164" s="14">
        <v>6.5</v>
      </c>
      <c r="AA164" s="12">
        <f>YEAR(Table1[Hire_Date])</f>
        <v>2020</v>
      </c>
      <c r="AB16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165" spans="1:28" x14ac:dyDescent="0.25">
      <c r="A165" t="s">
        <v>801</v>
      </c>
      <c r="B165" s="16" t="s">
        <v>802</v>
      </c>
      <c r="C165" s="16" t="s">
        <v>803</v>
      </c>
      <c r="D165" t="s">
        <v>29</v>
      </c>
      <c r="E165" s="15">
        <v>23</v>
      </c>
      <c r="F165" s="16" t="s">
        <v>45</v>
      </c>
      <c r="G165" s="16" t="s">
        <v>46</v>
      </c>
      <c r="H165" s="16" t="s">
        <v>66</v>
      </c>
      <c r="I165" s="16" t="s">
        <v>48</v>
      </c>
      <c r="J165" s="16" t="s">
        <v>49</v>
      </c>
      <c r="K165" s="17" t="s">
        <v>804</v>
      </c>
      <c r="M165" t="s">
        <v>36</v>
      </c>
      <c r="N165" t="s">
        <v>93</v>
      </c>
      <c r="O165" t="s">
        <v>60</v>
      </c>
      <c r="P165" s="15">
        <v>22</v>
      </c>
      <c r="Q165" s="18">
        <v>110770</v>
      </c>
      <c r="R165" s="19">
        <v>10</v>
      </c>
      <c r="S165" s="14">
        <v>4.5</v>
      </c>
      <c r="T165" s="7">
        <v>78</v>
      </c>
      <c r="U165" s="15">
        <v>0</v>
      </c>
      <c r="V165" s="15">
        <v>18</v>
      </c>
      <c r="W165" s="15">
        <v>19</v>
      </c>
      <c r="X165" t="s">
        <v>39</v>
      </c>
      <c r="Y165" t="s">
        <v>62</v>
      </c>
      <c r="Z165" s="14">
        <v>4.3</v>
      </c>
      <c r="AA165" s="12">
        <f>YEAR(Table1[Hire_Date])</f>
        <v>2022</v>
      </c>
      <c r="AB16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166" spans="1:28" x14ac:dyDescent="0.25">
      <c r="A166" t="s">
        <v>805</v>
      </c>
      <c r="B166" s="16" t="s">
        <v>806</v>
      </c>
      <c r="C166" s="16" t="s">
        <v>807</v>
      </c>
      <c r="D166" t="s">
        <v>29</v>
      </c>
      <c r="E166" s="15">
        <v>23</v>
      </c>
      <c r="F166" s="16" t="s">
        <v>30</v>
      </c>
      <c r="G166" s="16" t="s">
        <v>31</v>
      </c>
      <c r="H166" s="16" t="s">
        <v>56</v>
      </c>
      <c r="I166" s="16" t="s">
        <v>48</v>
      </c>
      <c r="J166" s="16" t="s">
        <v>34</v>
      </c>
      <c r="K166" s="17" t="s">
        <v>808</v>
      </c>
      <c r="M166" t="s">
        <v>36</v>
      </c>
      <c r="N166" t="s">
        <v>588</v>
      </c>
      <c r="O166" t="s">
        <v>52</v>
      </c>
      <c r="P166" s="15">
        <v>28</v>
      </c>
      <c r="Q166" s="18">
        <v>50498</v>
      </c>
      <c r="R166" s="19">
        <v>23</v>
      </c>
      <c r="S166" s="14">
        <v>3.8</v>
      </c>
      <c r="T166" s="7">
        <v>56</v>
      </c>
      <c r="U166" s="15">
        <v>13</v>
      </c>
      <c r="V166" s="15">
        <v>42</v>
      </c>
      <c r="W166" s="15">
        <v>11</v>
      </c>
      <c r="X166" t="s">
        <v>39</v>
      </c>
      <c r="Y166" t="s">
        <v>40</v>
      </c>
      <c r="Z166" s="14">
        <v>4.7</v>
      </c>
      <c r="AA166" s="12">
        <f>YEAR(Table1[Hire_Date])</f>
        <v>2021</v>
      </c>
      <c r="AB16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167" spans="1:28" x14ac:dyDescent="0.25">
      <c r="A167" t="s">
        <v>809</v>
      </c>
      <c r="B167" s="16" t="s">
        <v>810</v>
      </c>
      <c r="C167" s="16" t="s">
        <v>811</v>
      </c>
      <c r="D167" t="s">
        <v>44</v>
      </c>
      <c r="E167" s="15">
        <v>40</v>
      </c>
      <c r="F167" s="16" t="s">
        <v>103</v>
      </c>
      <c r="G167" s="16" t="s">
        <v>13</v>
      </c>
      <c r="H167" s="16" t="s">
        <v>66</v>
      </c>
      <c r="I167" s="16" t="s">
        <v>48</v>
      </c>
      <c r="J167" s="16" t="s">
        <v>34</v>
      </c>
      <c r="K167" s="17" t="s">
        <v>812</v>
      </c>
      <c r="M167" t="s">
        <v>36</v>
      </c>
      <c r="N167" t="s">
        <v>180</v>
      </c>
      <c r="O167" t="s">
        <v>38</v>
      </c>
      <c r="P167" s="15">
        <v>25</v>
      </c>
      <c r="Q167" s="18">
        <v>163841</v>
      </c>
      <c r="R167" s="19">
        <v>23</v>
      </c>
      <c r="S167" s="14">
        <v>2.5</v>
      </c>
      <c r="T167" s="7">
        <v>75</v>
      </c>
      <c r="U167" s="15">
        <v>7</v>
      </c>
      <c r="V167" s="15">
        <v>12</v>
      </c>
      <c r="W167" s="15">
        <v>36</v>
      </c>
      <c r="X167" t="s">
        <v>61</v>
      </c>
      <c r="Y167" t="s">
        <v>62</v>
      </c>
      <c r="Z167" s="14">
        <v>8.5</v>
      </c>
      <c r="AA167" s="12">
        <f>YEAR(Table1[Hire_Date])</f>
        <v>2018</v>
      </c>
      <c r="AB16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168" spans="1:28" x14ac:dyDescent="0.25">
      <c r="A168" t="s">
        <v>813</v>
      </c>
      <c r="B168" s="16" t="s">
        <v>814</v>
      </c>
      <c r="C168" s="16" t="s">
        <v>815</v>
      </c>
      <c r="D168" t="s">
        <v>29</v>
      </c>
      <c r="E168" s="15">
        <v>45</v>
      </c>
      <c r="F168" s="16" t="s">
        <v>124</v>
      </c>
      <c r="G168" s="16" t="s">
        <v>13</v>
      </c>
      <c r="H168" s="16" t="s">
        <v>32</v>
      </c>
      <c r="I168" s="16" t="s">
        <v>57</v>
      </c>
      <c r="J168" s="16" t="s">
        <v>34</v>
      </c>
      <c r="K168" s="17" t="s">
        <v>816</v>
      </c>
      <c r="M168" t="s">
        <v>36</v>
      </c>
      <c r="N168" t="s">
        <v>491</v>
      </c>
      <c r="O168" t="s">
        <v>52</v>
      </c>
      <c r="P168" s="15">
        <v>18</v>
      </c>
      <c r="Q168" s="18">
        <v>167715</v>
      </c>
      <c r="R168" s="19">
        <v>10</v>
      </c>
      <c r="S168" s="14">
        <v>4.9000000000000004</v>
      </c>
      <c r="T168" s="7">
        <v>70</v>
      </c>
      <c r="U168" s="15">
        <v>8</v>
      </c>
      <c r="V168" s="15">
        <v>38</v>
      </c>
      <c r="W168" s="15">
        <v>46</v>
      </c>
      <c r="X168" t="s">
        <v>61</v>
      </c>
      <c r="Y168" t="s">
        <v>62</v>
      </c>
      <c r="Z168" s="14">
        <v>5.2</v>
      </c>
      <c r="AA168" s="12">
        <f>YEAR(Table1[Hire_Date])</f>
        <v>2021</v>
      </c>
      <c r="AB16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169" spans="1:28" x14ac:dyDescent="0.25">
      <c r="A169" t="s">
        <v>817</v>
      </c>
      <c r="B169" s="16" t="s">
        <v>818</v>
      </c>
      <c r="C169" s="16" t="s">
        <v>819</v>
      </c>
      <c r="D169" t="s">
        <v>29</v>
      </c>
      <c r="E169" s="15">
        <v>35</v>
      </c>
      <c r="F169" s="16" t="s">
        <v>124</v>
      </c>
      <c r="G169" s="16" t="s">
        <v>13</v>
      </c>
      <c r="H169" s="16" t="s">
        <v>56</v>
      </c>
      <c r="I169" s="16" t="s">
        <v>48</v>
      </c>
      <c r="J169" s="16" t="s">
        <v>34</v>
      </c>
      <c r="K169" s="17" t="s">
        <v>820</v>
      </c>
      <c r="L169" s="17" t="s">
        <v>821</v>
      </c>
      <c r="M169" t="s">
        <v>76</v>
      </c>
      <c r="N169" t="s">
        <v>295</v>
      </c>
      <c r="O169" t="s">
        <v>52</v>
      </c>
      <c r="P169" s="15">
        <v>27</v>
      </c>
      <c r="Q169" s="18">
        <v>40111</v>
      </c>
      <c r="R169" s="19">
        <v>15</v>
      </c>
      <c r="S169" s="14">
        <v>2.8</v>
      </c>
      <c r="T169" s="7">
        <v>56</v>
      </c>
      <c r="U169" s="15">
        <v>0</v>
      </c>
      <c r="V169" s="15">
        <v>9</v>
      </c>
      <c r="W169" s="15">
        <v>33</v>
      </c>
      <c r="X169" t="s">
        <v>61</v>
      </c>
      <c r="Y169" t="s">
        <v>40</v>
      </c>
      <c r="Z169" s="14">
        <v>7.4</v>
      </c>
      <c r="AA169" s="12">
        <f>YEAR(Table1[Hire_Date])</f>
        <v>2019</v>
      </c>
      <c r="AB16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170" spans="1:28" x14ac:dyDescent="0.25">
      <c r="A170" t="s">
        <v>822</v>
      </c>
      <c r="B170" s="16" t="s">
        <v>823</v>
      </c>
      <c r="C170" s="16" t="s">
        <v>824</v>
      </c>
      <c r="D170" t="s">
        <v>29</v>
      </c>
      <c r="E170" s="15">
        <v>56</v>
      </c>
      <c r="F170" s="16" t="s">
        <v>90</v>
      </c>
      <c r="G170" s="16" t="s">
        <v>13</v>
      </c>
      <c r="H170" s="16" t="s">
        <v>66</v>
      </c>
      <c r="I170" s="16" t="s">
        <v>48</v>
      </c>
      <c r="J170" s="16" t="s">
        <v>49</v>
      </c>
      <c r="K170" s="17" t="s">
        <v>825</v>
      </c>
      <c r="M170" t="s">
        <v>36</v>
      </c>
      <c r="N170" t="s">
        <v>253</v>
      </c>
      <c r="O170" t="s">
        <v>52</v>
      </c>
      <c r="P170" s="15">
        <v>20</v>
      </c>
      <c r="Q170" s="18">
        <v>149298</v>
      </c>
      <c r="R170" s="19">
        <v>7</v>
      </c>
      <c r="S170" s="14">
        <v>3.5</v>
      </c>
      <c r="T170" s="7">
        <v>60</v>
      </c>
      <c r="U170" s="15">
        <v>15</v>
      </c>
      <c r="V170" s="15">
        <v>57</v>
      </c>
      <c r="W170" s="15">
        <v>7</v>
      </c>
      <c r="X170" t="s">
        <v>39</v>
      </c>
      <c r="Y170" t="s">
        <v>78</v>
      </c>
      <c r="Z170" s="14">
        <v>7.5</v>
      </c>
      <c r="AA170" s="12">
        <f>YEAR(Table1[Hire_Date])</f>
        <v>2019</v>
      </c>
      <c r="AB17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171" spans="1:28" x14ac:dyDescent="0.25">
      <c r="A171" t="s">
        <v>826</v>
      </c>
      <c r="B171" s="16" t="s">
        <v>827</v>
      </c>
      <c r="C171" s="16" t="s">
        <v>828</v>
      </c>
      <c r="D171" t="s">
        <v>29</v>
      </c>
      <c r="E171" s="15">
        <v>27</v>
      </c>
      <c r="F171" s="16" t="s">
        <v>90</v>
      </c>
      <c r="G171" s="16" t="s">
        <v>13</v>
      </c>
      <c r="H171" s="16" t="s">
        <v>32</v>
      </c>
      <c r="I171" s="16" t="s">
        <v>57</v>
      </c>
      <c r="J171" s="16" t="s">
        <v>34</v>
      </c>
      <c r="K171" s="17" t="s">
        <v>829</v>
      </c>
      <c r="M171" t="s">
        <v>36</v>
      </c>
      <c r="N171" t="s">
        <v>155</v>
      </c>
      <c r="O171" t="s">
        <v>60</v>
      </c>
      <c r="P171" s="15">
        <v>21</v>
      </c>
      <c r="Q171" s="18">
        <v>128673</v>
      </c>
      <c r="R171" s="19">
        <v>5</v>
      </c>
      <c r="S171" s="14">
        <v>4.9000000000000004</v>
      </c>
      <c r="T171" s="7">
        <v>63</v>
      </c>
      <c r="U171" s="15">
        <v>8</v>
      </c>
      <c r="V171" s="15">
        <v>33</v>
      </c>
      <c r="W171" s="15">
        <v>74</v>
      </c>
      <c r="X171" t="s">
        <v>61</v>
      </c>
      <c r="Y171" t="s">
        <v>78</v>
      </c>
      <c r="Z171" s="14">
        <v>10</v>
      </c>
      <c r="AA171" s="12">
        <f>YEAR(Table1[Hire_Date])</f>
        <v>2016</v>
      </c>
      <c r="AB17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172" spans="1:28" x14ac:dyDescent="0.25">
      <c r="A172" t="s">
        <v>830</v>
      </c>
      <c r="B172" s="16" t="s">
        <v>831</v>
      </c>
      <c r="C172" s="16" t="s">
        <v>832</v>
      </c>
      <c r="D172" t="s">
        <v>29</v>
      </c>
      <c r="E172" s="15">
        <v>38</v>
      </c>
      <c r="F172" s="16" t="s">
        <v>30</v>
      </c>
      <c r="G172" s="16" t="s">
        <v>13</v>
      </c>
      <c r="H172" s="16" t="s">
        <v>66</v>
      </c>
      <c r="I172" s="16" t="s">
        <v>33</v>
      </c>
      <c r="J172" s="16" t="s">
        <v>34</v>
      </c>
      <c r="K172" s="17" t="s">
        <v>833</v>
      </c>
      <c r="M172" t="s">
        <v>36</v>
      </c>
      <c r="N172" t="s">
        <v>77</v>
      </c>
      <c r="O172" t="s">
        <v>38</v>
      </c>
      <c r="P172" s="15">
        <v>14</v>
      </c>
      <c r="Q172" s="18">
        <v>115583</v>
      </c>
      <c r="R172" s="19">
        <v>8</v>
      </c>
      <c r="S172" s="14">
        <v>3.6</v>
      </c>
      <c r="T172" s="7">
        <v>70</v>
      </c>
      <c r="U172" s="15">
        <v>0</v>
      </c>
      <c r="V172" s="15">
        <v>16</v>
      </c>
      <c r="W172" s="15">
        <v>6</v>
      </c>
      <c r="X172" t="s">
        <v>61</v>
      </c>
      <c r="Y172" t="s">
        <v>62</v>
      </c>
      <c r="Z172" s="14">
        <v>9.3000000000000007</v>
      </c>
      <c r="AA172" s="12">
        <f>YEAR(Table1[Hire_Date])</f>
        <v>2017</v>
      </c>
      <c r="AB17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173" spans="1:28" x14ac:dyDescent="0.25">
      <c r="A173" t="s">
        <v>834</v>
      </c>
      <c r="B173" s="16" t="s">
        <v>835</v>
      </c>
      <c r="C173" s="16" t="s">
        <v>836</v>
      </c>
      <c r="D173" t="s">
        <v>29</v>
      </c>
      <c r="E173" s="15">
        <v>58</v>
      </c>
      <c r="F173" s="16" t="s">
        <v>45</v>
      </c>
      <c r="G173" s="16" t="s">
        <v>82</v>
      </c>
      <c r="H173" s="16" t="s">
        <v>56</v>
      </c>
      <c r="I173" s="16" t="s">
        <v>57</v>
      </c>
      <c r="J173" s="16" t="s">
        <v>49</v>
      </c>
      <c r="K173" s="17" t="s">
        <v>837</v>
      </c>
      <c r="M173" t="s">
        <v>36</v>
      </c>
      <c r="N173" t="s">
        <v>165</v>
      </c>
      <c r="O173" t="s">
        <v>38</v>
      </c>
      <c r="P173" s="15">
        <v>22</v>
      </c>
      <c r="Q173" s="18">
        <v>108291</v>
      </c>
      <c r="R173" s="19">
        <v>7</v>
      </c>
      <c r="S173" s="14">
        <v>4.5999999999999996</v>
      </c>
      <c r="T173" s="7">
        <v>100</v>
      </c>
      <c r="U173" s="15">
        <v>13</v>
      </c>
      <c r="V173" s="15">
        <v>30</v>
      </c>
      <c r="W173" s="15">
        <v>40</v>
      </c>
      <c r="X173" t="s">
        <v>61</v>
      </c>
      <c r="Y173" t="s">
        <v>40</v>
      </c>
      <c r="Z173" s="14">
        <v>9.8000000000000007</v>
      </c>
      <c r="AA173" s="12">
        <f>YEAR(Table1[Hire_Date])</f>
        <v>2016</v>
      </c>
      <c r="AB17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174" spans="1:28" x14ac:dyDescent="0.25">
      <c r="A174" t="s">
        <v>838</v>
      </c>
      <c r="B174" s="16" t="s">
        <v>839</v>
      </c>
      <c r="C174" s="16" t="s">
        <v>840</v>
      </c>
      <c r="D174" t="s">
        <v>29</v>
      </c>
      <c r="E174" s="15">
        <v>26</v>
      </c>
      <c r="F174" s="16" t="s">
        <v>90</v>
      </c>
      <c r="G174" s="16" t="s">
        <v>281</v>
      </c>
      <c r="H174" s="16" t="s">
        <v>32</v>
      </c>
      <c r="I174" s="16" t="s">
        <v>57</v>
      </c>
      <c r="J174" s="16" t="s">
        <v>49</v>
      </c>
      <c r="K174" s="17" t="s">
        <v>841</v>
      </c>
      <c r="M174" t="s">
        <v>36</v>
      </c>
      <c r="N174" t="s">
        <v>333</v>
      </c>
      <c r="O174" t="s">
        <v>52</v>
      </c>
      <c r="P174" s="15">
        <v>15</v>
      </c>
      <c r="Q174" s="18">
        <v>82214</v>
      </c>
      <c r="R174" s="19">
        <v>9</v>
      </c>
      <c r="S174" s="14">
        <v>4.8</v>
      </c>
      <c r="T174" s="7">
        <v>64</v>
      </c>
      <c r="U174" s="15">
        <v>11</v>
      </c>
      <c r="V174" s="15">
        <v>17</v>
      </c>
      <c r="W174" s="15">
        <v>17</v>
      </c>
      <c r="X174" t="s">
        <v>61</v>
      </c>
      <c r="Y174" t="s">
        <v>40</v>
      </c>
      <c r="Z174" s="14">
        <v>6.7</v>
      </c>
      <c r="AA174" s="12">
        <f>YEAR(Table1[Hire_Date])</f>
        <v>2019</v>
      </c>
      <c r="AB17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175" spans="1:28" x14ac:dyDescent="0.25">
      <c r="A175" t="s">
        <v>842</v>
      </c>
      <c r="B175" s="16" t="s">
        <v>843</v>
      </c>
      <c r="C175" s="16" t="s">
        <v>844</v>
      </c>
      <c r="D175" t="s">
        <v>44</v>
      </c>
      <c r="E175" s="15">
        <v>54</v>
      </c>
      <c r="F175" s="16" t="s">
        <v>124</v>
      </c>
      <c r="G175" s="16" t="s">
        <v>141</v>
      </c>
      <c r="H175" s="16" t="s">
        <v>66</v>
      </c>
      <c r="I175" s="16" t="s">
        <v>57</v>
      </c>
      <c r="J175" s="16" t="s">
        <v>49</v>
      </c>
      <c r="K175" s="17" t="s">
        <v>845</v>
      </c>
      <c r="M175" t="s">
        <v>36</v>
      </c>
      <c r="N175" t="s">
        <v>654</v>
      </c>
      <c r="O175" t="s">
        <v>38</v>
      </c>
      <c r="P175" s="15">
        <v>5</v>
      </c>
      <c r="Q175" s="18">
        <v>40710</v>
      </c>
      <c r="R175" s="19">
        <v>6</v>
      </c>
      <c r="S175" s="14">
        <v>3</v>
      </c>
      <c r="T175" s="7">
        <v>89</v>
      </c>
      <c r="U175" s="15">
        <v>19</v>
      </c>
      <c r="V175" s="15">
        <v>26</v>
      </c>
      <c r="W175" s="15">
        <v>78</v>
      </c>
      <c r="X175" t="s">
        <v>61</v>
      </c>
      <c r="Y175" t="s">
        <v>78</v>
      </c>
      <c r="Z175" s="14">
        <v>2.4</v>
      </c>
      <c r="AA175" s="12">
        <f>YEAR(Table1[Hire_Date])</f>
        <v>2024</v>
      </c>
      <c r="AB17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176" spans="1:28" x14ac:dyDescent="0.25">
      <c r="A176" t="s">
        <v>846</v>
      </c>
      <c r="B176" s="16" t="s">
        <v>847</v>
      </c>
      <c r="C176" s="16" t="s">
        <v>848</v>
      </c>
      <c r="D176" t="s">
        <v>29</v>
      </c>
      <c r="E176" s="15">
        <v>45</v>
      </c>
      <c r="F176" s="16" t="s">
        <v>30</v>
      </c>
      <c r="G176" s="16" t="s">
        <v>13</v>
      </c>
      <c r="H176" s="16" t="s">
        <v>47</v>
      </c>
      <c r="I176" s="16" t="s">
        <v>57</v>
      </c>
      <c r="J176" s="16" t="s">
        <v>49</v>
      </c>
      <c r="K176" s="17" t="s">
        <v>849</v>
      </c>
      <c r="M176" t="s">
        <v>36</v>
      </c>
      <c r="N176" t="s">
        <v>353</v>
      </c>
      <c r="O176" t="s">
        <v>60</v>
      </c>
      <c r="P176" s="15">
        <v>11</v>
      </c>
      <c r="Q176" s="18">
        <v>71295</v>
      </c>
      <c r="R176" s="19">
        <v>10</v>
      </c>
      <c r="S176" s="14">
        <v>2.7</v>
      </c>
      <c r="T176" s="7">
        <v>81</v>
      </c>
      <c r="U176" s="15">
        <v>20</v>
      </c>
      <c r="V176" s="15">
        <v>42</v>
      </c>
      <c r="W176" s="15">
        <v>55</v>
      </c>
      <c r="X176" t="s">
        <v>61</v>
      </c>
      <c r="Y176" t="s">
        <v>78</v>
      </c>
      <c r="Z176" s="14">
        <v>0.9</v>
      </c>
      <c r="AA176" s="12">
        <f>YEAR(Table1[Hire_Date])</f>
        <v>2025</v>
      </c>
      <c r="AB17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177" spans="1:28" x14ac:dyDescent="0.25">
      <c r="A177" t="s">
        <v>850</v>
      </c>
      <c r="B177" s="16" t="s">
        <v>851</v>
      </c>
      <c r="C177" s="16" t="s">
        <v>852</v>
      </c>
      <c r="D177" t="s">
        <v>44</v>
      </c>
      <c r="E177" s="15">
        <v>42</v>
      </c>
      <c r="F177" s="16" t="s">
        <v>103</v>
      </c>
      <c r="G177" s="16" t="s">
        <v>13</v>
      </c>
      <c r="H177" s="16" t="s">
        <v>47</v>
      </c>
      <c r="I177" s="16" t="s">
        <v>57</v>
      </c>
      <c r="J177" s="16" t="s">
        <v>49</v>
      </c>
      <c r="K177" s="17" t="s">
        <v>853</v>
      </c>
      <c r="M177" t="s">
        <v>36</v>
      </c>
      <c r="N177" t="s">
        <v>106</v>
      </c>
      <c r="O177" t="s">
        <v>38</v>
      </c>
      <c r="P177" s="15">
        <v>0</v>
      </c>
      <c r="Q177" s="18">
        <v>149239</v>
      </c>
      <c r="R177" s="19">
        <v>24</v>
      </c>
      <c r="S177" s="14">
        <v>2.8</v>
      </c>
      <c r="T177" s="7">
        <v>85</v>
      </c>
      <c r="U177" s="15">
        <v>18</v>
      </c>
      <c r="V177" s="15">
        <v>27</v>
      </c>
      <c r="W177" s="15">
        <v>2</v>
      </c>
      <c r="X177" t="s">
        <v>39</v>
      </c>
      <c r="Y177" t="s">
        <v>40</v>
      </c>
      <c r="Z177" s="14">
        <v>9.8000000000000007</v>
      </c>
      <c r="AA177" s="12">
        <f>YEAR(Table1[Hire_Date])</f>
        <v>2016</v>
      </c>
      <c r="AB17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178" spans="1:28" x14ac:dyDescent="0.25">
      <c r="A178" t="s">
        <v>854</v>
      </c>
      <c r="B178" s="16" t="s">
        <v>855</v>
      </c>
      <c r="C178" s="16" t="s">
        <v>856</v>
      </c>
      <c r="D178" t="s">
        <v>29</v>
      </c>
      <c r="E178" s="15">
        <v>50</v>
      </c>
      <c r="F178" s="16" t="s">
        <v>30</v>
      </c>
      <c r="G178" s="16" t="s">
        <v>31</v>
      </c>
      <c r="H178" s="16" t="s">
        <v>56</v>
      </c>
      <c r="I178" s="16" t="s">
        <v>48</v>
      </c>
      <c r="J178" s="16" t="s">
        <v>34</v>
      </c>
      <c r="K178" s="17" t="s">
        <v>857</v>
      </c>
      <c r="M178" t="s">
        <v>36</v>
      </c>
      <c r="N178" t="s">
        <v>858</v>
      </c>
      <c r="O178" t="s">
        <v>38</v>
      </c>
      <c r="P178" s="15">
        <v>6</v>
      </c>
      <c r="Q178" s="18">
        <v>116544</v>
      </c>
      <c r="R178" s="19">
        <v>20</v>
      </c>
      <c r="S178" s="14">
        <v>5</v>
      </c>
      <c r="T178" s="7">
        <v>58</v>
      </c>
      <c r="U178" s="15">
        <v>18</v>
      </c>
      <c r="V178" s="15">
        <v>3</v>
      </c>
      <c r="W178" s="15">
        <v>71</v>
      </c>
      <c r="X178" t="s">
        <v>61</v>
      </c>
      <c r="Y178" t="s">
        <v>78</v>
      </c>
      <c r="Z178" s="14">
        <v>3.6</v>
      </c>
      <c r="AA178" s="12">
        <f>YEAR(Table1[Hire_Date])</f>
        <v>2022</v>
      </c>
      <c r="AB17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179" spans="1:28" x14ac:dyDescent="0.25">
      <c r="A179" t="s">
        <v>859</v>
      </c>
      <c r="B179" s="16" t="s">
        <v>860</v>
      </c>
      <c r="C179" s="16" t="s">
        <v>861</v>
      </c>
      <c r="D179" t="s">
        <v>29</v>
      </c>
      <c r="E179" s="15">
        <v>31</v>
      </c>
      <c r="F179" s="16" t="s">
        <v>45</v>
      </c>
      <c r="G179" s="16" t="s">
        <v>82</v>
      </c>
      <c r="H179" s="16" t="s">
        <v>56</v>
      </c>
      <c r="I179" s="16" t="s">
        <v>48</v>
      </c>
      <c r="J179" s="16" t="s">
        <v>34</v>
      </c>
      <c r="K179" s="17" t="s">
        <v>862</v>
      </c>
      <c r="M179" t="s">
        <v>36</v>
      </c>
      <c r="N179" t="s">
        <v>510</v>
      </c>
      <c r="O179" t="s">
        <v>60</v>
      </c>
      <c r="P179" s="15">
        <v>31</v>
      </c>
      <c r="Q179" s="18">
        <v>51296</v>
      </c>
      <c r="R179" s="19">
        <v>14</v>
      </c>
      <c r="S179" s="14">
        <v>3.7</v>
      </c>
      <c r="T179" s="7">
        <v>82</v>
      </c>
      <c r="U179" s="15">
        <v>7</v>
      </c>
      <c r="V179" s="15">
        <v>44</v>
      </c>
      <c r="W179" s="15">
        <v>16</v>
      </c>
      <c r="X179" t="s">
        <v>39</v>
      </c>
      <c r="Y179" t="s">
        <v>78</v>
      </c>
      <c r="Z179" s="14">
        <v>5</v>
      </c>
      <c r="AA179" s="12">
        <f>YEAR(Table1[Hire_Date])</f>
        <v>2021</v>
      </c>
      <c r="AB17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180" spans="1:28" x14ac:dyDescent="0.25">
      <c r="A180" t="s">
        <v>863</v>
      </c>
      <c r="B180" s="16" t="s">
        <v>864</v>
      </c>
      <c r="C180" s="16" t="s">
        <v>865</v>
      </c>
      <c r="D180" t="s">
        <v>44</v>
      </c>
      <c r="E180" s="15">
        <v>34</v>
      </c>
      <c r="F180" s="16" t="s">
        <v>90</v>
      </c>
      <c r="G180" s="16" t="s">
        <v>13</v>
      </c>
      <c r="H180" s="16" t="s">
        <v>56</v>
      </c>
      <c r="I180" s="16" t="s">
        <v>48</v>
      </c>
      <c r="J180" s="16" t="s">
        <v>34</v>
      </c>
      <c r="K180" s="17" t="s">
        <v>866</v>
      </c>
      <c r="M180" t="s">
        <v>36</v>
      </c>
      <c r="N180" t="s">
        <v>131</v>
      </c>
      <c r="O180" t="s">
        <v>38</v>
      </c>
      <c r="P180" s="15">
        <v>11</v>
      </c>
      <c r="Q180" s="18">
        <v>162069</v>
      </c>
      <c r="R180" s="19">
        <v>17</v>
      </c>
      <c r="S180" s="14">
        <v>2.9</v>
      </c>
      <c r="T180" s="7">
        <v>73</v>
      </c>
      <c r="U180" s="15">
        <v>9</v>
      </c>
      <c r="V180" s="15">
        <v>45</v>
      </c>
      <c r="W180" s="15">
        <v>65</v>
      </c>
      <c r="X180" t="s">
        <v>39</v>
      </c>
      <c r="Y180" t="s">
        <v>78</v>
      </c>
      <c r="Z180" s="14">
        <v>4.5</v>
      </c>
      <c r="AA180" s="12">
        <f>YEAR(Table1[Hire_Date])</f>
        <v>2022</v>
      </c>
      <c r="AB18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181" spans="1:28" x14ac:dyDescent="0.25">
      <c r="A181" t="s">
        <v>867</v>
      </c>
      <c r="B181" s="16" t="s">
        <v>868</v>
      </c>
      <c r="C181" s="16" t="s">
        <v>869</v>
      </c>
      <c r="D181" t="s">
        <v>44</v>
      </c>
      <c r="E181" s="15">
        <v>21</v>
      </c>
      <c r="F181" s="16" t="s">
        <v>45</v>
      </c>
      <c r="G181" s="16" t="s">
        <v>82</v>
      </c>
      <c r="H181" s="16" t="s">
        <v>32</v>
      </c>
      <c r="I181" s="16" t="s">
        <v>57</v>
      </c>
      <c r="J181" s="16" t="s">
        <v>49</v>
      </c>
      <c r="K181" s="17" t="s">
        <v>870</v>
      </c>
      <c r="M181" t="s">
        <v>36</v>
      </c>
      <c r="N181" t="s">
        <v>268</v>
      </c>
      <c r="O181" t="s">
        <v>52</v>
      </c>
      <c r="P181" s="15">
        <v>20</v>
      </c>
      <c r="Q181" s="18">
        <v>81369</v>
      </c>
      <c r="R181" s="19">
        <v>19</v>
      </c>
      <c r="S181" s="14">
        <v>2.7</v>
      </c>
      <c r="T181" s="7">
        <v>50</v>
      </c>
      <c r="U181" s="15">
        <v>2</v>
      </c>
      <c r="V181" s="15">
        <v>21</v>
      </c>
      <c r="W181" s="15">
        <v>57</v>
      </c>
      <c r="X181" t="s">
        <v>61</v>
      </c>
      <c r="Y181" t="s">
        <v>78</v>
      </c>
      <c r="Z181" s="14">
        <v>10.3</v>
      </c>
      <c r="AA181" s="12">
        <f>YEAR(Table1[Hire_Date])</f>
        <v>2016</v>
      </c>
      <c r="AB18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182" spans="1:28" x14ac:dyDescent="0.25">
      <c r="A182" t="s">
        <v>871</v>
      </c>
      <c r="B182" s="16" t="s">
        <v>872</v>
      </c>
      <c r="C182" s="16" t="s">
        <v>873</v>
      </c>
      <c r="D182" t="s">
        <v>29</v>
      </c>
      <c r="E182" s="15">
        <v>24</v>
      </c>
      <c r="F182" s="16" t="s">
        <v>103</v>
      </c>
      <c r="G182" s="16" t="s">
        <v>104</v>
      </c>
      <c r="H182" s="16" t="s">
        <v>83</v>
      </c>
      <c r="I182" s="16" t="s">
        <v>33</v>
      </c>
      <c r="J182" s="16" t="s">
        <v>49</v>
      </c>
      <c r="K182" s="17" t="s">
        <v>874</v>
      </c>
      <c r="M182" t="s">
        <v>36</v>
      </c>
      <c r="N182" t="s">
        <v>253</v>
      </c>
      <c r="O182" t="s">
        <v>38</v>
      </c>
      <c r="P182" s="15">
        <v>28</v>
      </c>
      <c r="Q182" s="18">
        <v>164608</v>
      </c>
      <c r="R182" s="19">
        <v>17</v>
      </c>
      <c r="S182" s="14">
        <v>5</v>
      </c>
      <c r="T182" s="7">
        <v>58</v>
      </c>
      <c r="U182" s="15">
        <v>9</v>
      </c>
      <c r="V182" s="15">
        <v>8</v>
      </c>
      <c r="W182" s="15">
        <v>57</v>
      </c>
      <c r="X182" t="s">
        <v>39</v>
      </c>
      <c r="Y182" t="s">
        <v>78</v>
      </c>
      <c r="Z182" s="14">
        <v>5.2</v>
      </c>
      <c r="AA182" s="12">
        <f>YEAR(Table1[Hire_Date])</f>
        <v>2021</v>
      </c>
      <c r="AB18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183" spans="1:28" x14ac:dyDescent="0.25">
      <c r="A183" t="s">
        <v>875</v>
      </c>
      <c r="B183" s="16" t="s">
        <v>876</v>
      </c>
      <c r="C183" s="16" t="s">
        <v>877</v>
      </c>
      <c r="D183" t="s">
        <v>44</v>
      </c>
      <c r="E183" s="15">
        <v>25</v>
      </c>
      <c r="F183" s="16" t="s">
        <v>72</v>
      </c>
      <c r="G183" s="16" t="s">
        <v>97</v>
      </c>
      <c r="H183" s="16" t="s">
        <v>47</v>
      </c>
      <c r="I183" s="16" t="s">
        <v>48</v>
      </c>
      <c r="J183" s="16" t="s">
        <v>49</v>
      </c>
      <c r="K183" s="17" t="s">
        <v>878</v>
      </c>
      <c r="M183" t="s">
        <v>36</v>
      </c>
      <c r="N183" t="s">
        <v>126</v>
      </c>
      <c r="O183" t="s">
        <v>38</v>
      </c>
      <c r="P183" s="15">
        <v>1</v>
      </c>
      <c r="Q183" s="18">
        <v>150931</v>
      </c>
      <c r="R183" s="19">
        <v>20</v>
      </c>
      <c r="S183" s="14">
        <v>3.7</v>
      </c>
      <c r="T183" s="7">
        <v>68</v>
      </c>
      <c r="U183" s="15">
        <v>16</v>
      </c>
      <c r="V183" s="15">
        <v>44</v>
      </c>
      <c r="W183" s="15">
        <v>29</v>
      </c>
      <c r="X183" t="s">
        <v>39</v>
      </c>
      <c r="Y183" t="s">
        <v>62</v>
      </c>
      <c r="Z183" s="14">
        <v>2.4</v>
      </c>
      <c r="AA183" s="12">
        <f>YEAR(Table1[Hire_Date])</f>
        <v>2024</v>
      </c>
      <c r="AB18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184" spans="1:28" x14ac:dyDescent="0.25">
      <c r="A184" t="s">
        <v>879</v>
      </c>
      <c r="B184" s="16" t="s">
        <v>880</v>
      </c>
      <c r="C184" s="16" t="s">
        <v>881</v>
      </c>
      <c r="D184" t="s">
        <v>29</v>
      </c>
      <c r="E184" s="15">
        <v>31</v>
      </c>
      <c r="F184" s="16" t="s">
        <v>90</v>
      </c>
      <c r="G184" s="16" t="s">
        <v>281</v>
      </c>
      <c r="H184" s="16" t="s">
        <v>56</v>
      </c>
      <c r="I184" s="16" t="s">
        <v>33</v>
      </c>
      <c r="J184" s="16" t="s">
        <v>49</v>
      </c>
      <c r="K184" s="17" t="s">
        <v>882</v>
      </c>
      <c r="M184" t="s">
        <v>36</v>
      </c>
      <c r="N184" t="s">
        <v>395</v>
      </c>
      <c r="O184" t="s">
        <v>38</v>
      </c>
      <c r="P184" s="15">
        <v>24</v>
      </c>
      <c r="Q184" s="18">
        <v>62777</v>
      </c>
      <c r="R184" s="19">
        <v>21</v>
      </c>
      <c r="S184" s="14">
        <v>4</v>
      </c>
      <c r="T184" s="7">
        <v>52</v>
      </c>
      <c r="U184" s="15">
        <v>17</v>
      </c>
      <c r="V184" s="15">
        <v>20</v>
      </c>
      <c r="W184" s="15">
        <v>31</v>
      </c>
      <c r="X184" t="s">
        <v>61</v>
      </c>
      <c r="Y184" t="s">
        <v>40</v>
      </c>
      <c r="Z184" s="14">
        <v>2.7</v>
      </c>
      <c r="AA184" s="12">
        <f>YEAR(Table1[Hire_Date])</f>
        <v>2023</v>
      </c>
      <c r="AB18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185" spans="1:28" x14ac:dyDescent="0.25">
      <c r="A185" t="s">
        <v>883</v>
      </c>
      <c r="B185" s="16" t="s">
        <v>884</v>
      </c>
      <c r="C185" s="16" t="s">
        <v>885</v>
      </c>
      <c r="D185" t="s">
        <v>29</v>
      </c>
      <c r="E185" s="15">
        <v>27</v>
      </c>
      <c r="F185" s="16" t="s">
        <v>90</v>
      </c>
      <c r="G185" s="16" t="s">
        <v>13</v>
      </c>
      <c r="H185" s="16" t="s">
        <v>66</v>
      </c>
      <c r="I185" s="16" t="s">
        <v>57</v>
      </c>
      <c r="J185" s="16" t="s">
        <v>34</v>
      </c>
      <c r="K185" s="17" t="s">
        <v>886</v>
      </c>
      <c r="M185" t="s">
        <v>36</v>
      </c>
      <c r="N185" t="s">
        <v>59</v>
      </c>
      <c r="O185" t="s">
        <v>52</v>
      </c>
      <c r="P185" s="15">
        <v>4</v>
      </c>
      <c r="Q185" s="18">
        <v>60017</v>
      </c>
      <c r="R185" s="19">
        <v>17</v>
      </c>
      <c r="S185" s="14">
        <v>4.8</v>
      </c>
      <c r="T185" s="7">
        <v>59</v>
      </c>
      <c r="U185" s="15">
        <v>19</v>
      </c>
      <c r="V185" s="15">
        <v>30</v>
      </c>
      <c r="W185" s="15">
        <v>73</v>
      </c>
      <c r="X185" t="s">
        <v>61</v>
      </c>
      <c r="Y185" t="s">
        <v>62</v>
      </c>
      <c r="Z185" s="14">
        <v>1</v>
      </c>
      <c r="AA185" s="12">
        <f>YEAR(Table1[Hire_Date])</f>
        <v>2025</v>
      </c>
      <c r="AB18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186" spans="1:28" x14ac:dyDescent="0.25">
      <c r="A186" t="s">
        <v>887</v>
      </c>
      <c r="B186" s="16" t="s">
        <v>888</v>
      </c>
      <c r="C186" s="16" t="s">
        <v>889</v>
      </c>
      <c r="D186" t="s">
        <v>29</v>
      </c>
      <c r="E186" s="15">
        <v>47</v>
      </c>
      <c r="F186" s="16" t="s">
        <v>30</v>
      </c>
      <c r="G186" s="16" t="s">
        <v>13</v>
      </c>
      <c r="H186" s="16" t="s">
        <v>83</v>
      </c>
      <c r="I186" s="16" t="s">
        <v>33</v>
      </c>
      <c r="J186" s="16" t="s">
        <v>49</v>
      </c>
      <c r="K186" s="17" t="s">
        <v>890</v>
      </c>
      <c r="L186" s="17" t="s">
        <v>891</v>
      </c>
      <c r="M186" t="s">
        <v>76</v>
      </c>
      <c r="N186" t="s">
        <v>669</v>
      </c>
      <c r="O186" t="s">
        <v>60</v>
      </c>
      <c r="P186" s="15">
        <v>21</v>
      </c>
      <c r="Q186" s="18">
        <v>133249</v>
      </c>
      <c r="R186" s="19">
        <v>25</v>
      </c>
      <c r="S186" s="14">
        <v>4</v>
      </c>
      <c r="T186" s="7">
        <v>98</v>
      </c>
      <c r="U186" s="15">
        <v>18</v>
      </c>
      <c r="V186" s="15">
        <v>21</v>
      </c>
      <c r="W186" s="15">
        <v>53</v>
      </c>
      <c r="X186" t="s">
        <v>61</v>
      </c>
      <c r="Y186" t="s">
        <v>78</v>
      </c>
      <c r="Z186" s="14">
        <v>10.4</v>
      </c>
      <c r="AA186" s="12">
        <f>YEAR(Table1[Hire_Date])</f>
        <v>2016</v>
      </c>
      <c r="AB18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187" spans="1:28" x14ac:dyDescent="0.25">
      <c r="A187" t="s">
        <v>892</v>
      </c>
      <c r="B187" s="16" t="s">
        <v>893</v>
      </c>
      <c r="C187" s="16" t="s">
        <v>894</v>
      </c>
      <c r="D187" t="s">
        <v>44</v>
      </c>
      <c r="E187" s="15">
        <v>23</v>
      </c>
      <c r="F187" s="16" t="s">
        <v>90</v>
      </c>
      <c r="G187" s="16" t="s">
        <v>13</v>
      </c>
      <c r="H187" s="16" t="s">
        <v>32</v>
      </c>
      <c r="I187" s="16" t="s">
        <v>48</v>
      </c>
      <c r="J187" s="16" t="s">
        <v>34</v>
      </c>
      <c r="K187" s="17" t="s">
        <v>895</v>
      </c>
      <c r="M187" t="s">
        <v>36</v>
      </c>
      <c r="N187" t="s">
        <v>896</v>
      </c>
      <c r="O187" t="s">
        <v>60</v>
      </c>
      <c r="P187" s="15">
        <v>9</v>
      </c>
      <c r="Q187" s="18">
        <v>77629</v>
      </c>
      <c r="R187" s="19">
        <v>10</v>
      </c>
      <c r="S187" s="14">
        <v>4.9000000000000004</v>
      </c>
      <c r="T187" s="7">
        <v>73</v>
      </c>
      <c r="U187" s="15">
        <v>16</v>
      </c>
      <c r="V187" s="15">
        <v>15</v>
      </c>
      <c r="W187" s="15">
        <v>80</v>
      </c>
      <c r="X187" t="s">
        <v>61</v>
      </c>
      <c r="Y187" t="s">
        <v>40</v>
      </c>
      <c r="Z187" s="14">
        <v>8.4</v>
      </c>
      <c r="AA187" s="12">
        <f>YEAR(Table1[Hire_Date])</f>
        <v>2018</v>
      </c>
      <c r="AB18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188" spans="1:28" x14ac:dyDescent="0.25">
      <c r="A188" t="s">
        <v>897</v>
      </c>
      <c r="B188" s="16" t="s">
        <v>898</v>
      </c>
      <c r="C188" s="16" t="s">
        <v>899</v>
      </c>
      <c r="D188" t="s">
        <v>44</v>
      </c>
      <c r="E188" s="15">
        <v>21</v>
      </c>
      <c r="F188" s="16" t="s">
        <v>124</v>
      </c>
      <c r="G188" s="16" t="s">
        <v>104</v>
      </c>
      <c r="H188" s="16" t="s">
        <v>32</v>
      </c>
      <c r="I188" s="16" t="s">
        <v>48</v>
      </c>
      <c r="J188" s="16" t="s">
        <v>34</v>
      </c>
      <c r="K188" s="17" t="s">
        <v>900</v>
      </c>
      <c r="M188" t="s">
        <v>36</v>
      </c>
      <c r="N188" t="s">
        <v>149</v>
      </c>
      <c r="O188" t="s">
        <v>60</v>
      </c>
      <c r="P188" s="15">
        <v>23</v>
      </c>
      <c r="Q188" s="18">
        <v>93652</v>
      </c>
      <c r="R188" s="19">
        <v>24</v>
      </c>
      <c r="S188" s="14">
        <v>3</v>
      </c>
      <c r="T188" s="7">
        <v>51</v>
      </c>
      <c r="U188" s="15">
        <v>6</v>
      </c>
      <c r="V188" s="15">
        <v>57</v>
      </c>
      <c r="W188" s="15">
        <v>7</v>
      </c>
      <c r="X188" t="s">
        <v>61</v>
      </c>
      <c r="Y188" t="s">
        <v>62</v>
      </c>
      <c r="Z188" s="14">
        <v>8.5</v>
      </c>
      <c r="AA188" s="12">
        <f>YEAR(Table1[Hire_Date])</f>
        <v>2018</v>
      </c>
      <c r="AB18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189" spans="1:28" x14ac:dyDescent="0.25">
      <c r="A189" t="s">
        <v>901</v>
      </c>
      <c r="B189" s="16" t="s">
        <v>902</v>
      </c>
      <c r="C189" s="16" t="s">
        <v>903</v>
      </c>
      <c r="D189" t="s">
        <v>44</v>
      </c>
      <c r="E189" s="15">
        <v>49</v>
      </c>
      <c r="F189" s="16" t="s">
        <v>124</v>
      </c>
      <c r="G189" s="16" t="s">
        <v>141</v>
      </c>
      <c r="H189" s="16" t="s">
        <v>83</v>
      </c>
      <c r="I189" s="16" t="s">
        <v>48</v>
      </c>
      <c r="J189" s="16" t="s">
        <v>34</v>
      </c>
      <c r="K189" s="17" t="s">
        <v>904</v>
      </c>
      <c r="M189" t="s">
        <v>36</v>
      </c>
      <c r="N189" t="s">
        <v>510</v>
      </c>
      <c r="O189" t="s">
        <v>38</v>
      </c>
      <c r="P189" s="15">
        <v>2</v>
      </c>
      <c r="Q189" s="18">
        <v>65729</v>
      </c>
      <c r="R189" s="19">
        <v>9</v>
      </c>
      <c r="S189" s="14">
        <v>3.1</v>
      </c>
      <c r="T189" s="7">
        <v>91</v>
      </c>
      <c r="U189" s="15">
        <v>19</v>
      </c>
      <c r="V189" s="15">
        <v>54</v>
      </c>
      <c r="W189" s="15">
        <v>21</v>
      </c>
      <c r="X189" t="s">
        <v>61</v>
      </c>
      <c r="Y189" t="s">
        <v>40</v>
      </c>
      <c r="Z189" s="14">
        <v>6</v>
      </c>
      <c r="AA189" s="12">
        <f>YEAR(Table1[Hire_Date])</f>
        <v>2020</v>
      </c>
      <c r="AB18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190" spans="1:28" x14ac:dyDescent="0.25">
      <c r="A190" t="s">
        <v>905</v>
      </c>
      <c r="B190" s="16" t="s">
        <v>906</v>
      </c>
      <c r="C190" s="16" t="s">
        <v>907</v>
      </c>
      <c r="D190" t="s">
        <v>29</v>
      </c>
      <c r="E190" s="15">
        <v>25</v>
      </c>
      <c r="F190" s="16" t="s">
        <v>72</v>
      </c>
      <c r="G190" s="16" t="s">
        <v>135</v>
      </c>
      <c r="H190" s="16" t="s">
        <v>83</v>
      </c>
      <c r="I190" s="16" t="s">
        <v>33</v>
      </c>
      <c r="J190" s="16" t="s">
        <v>49</v>
      </c>
      <c r="K190" s="17" t="s">
        <v>908</v>
      </c>
      <c r="M190" t="s">
        <v>36</v>
      </c>
      <c r="N190" t="s">
        <v>229</v>
      </c>
      <c r="O190" t="s">
        <v>52</v>
      </c>
      <c r="P190" s="15">
        <v>15</v>
      </c>
      <c r="Q190" s="18">
        <v>125175</v>
      </c>
      <c r="R190" s="19">
        <v>14</v>
      </c>
      <c r="S190" s="14">
        <v>4.9000000000000004</v>
      </c>
      <c r="T190" s="7">
        <v>77</v>
      </c>
      <c r="U190" s="15">
        <v>3</v>
      </c>
      <c r="V190" s="15">
        <v>6</v>
      </c>
      <c r="W190" s="15">
        <v>73</v>
      </c>
      <c r="X190" t="s">
        <v>39</v>
      </c>
      <c r="Y190" t="s">
        <v>62</v>
      </c>
      <c r="Z190" s="14">
        <v>6</v>
      </c>
      <c r="AA190" s="12">
        <f>YEAR(Table1[Hire_Date])</f>
        <v>2020</v>
      </c>
      <c r="AB19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191" spans="1:28" x14ac:dyDescent="0.25">
      <c r="A191" t="s">
        <v>909</v>
      </c>
      <c r="B191" s="16" t="s">
        <v>910</v>
      </c>
      <c r="C191" s="16" t="s">
        <v>911</v>
      </c>
      <c r="D191" t="s">
        <v>29</v>
      </c>
      <c r="E191" s="15">
        <v>23</v>
      </c>
      <c r="F191" s="16" t="s">
        <v>72</v>
      </c>
      <c r="G191" s="16" t="s">
        <v>135</v>
      </c>
      <c r="H191" s="16" t="s">
        <v>56</v>
      </c>
      <c r="I191" s="16" t="s">
        <v>48</v>
      </c>
      <c r="J191" s="16" t="s">
        <v>34</v>
      </c>
      <c r="K191" s="17" t="s">
        <v>912</v>
      </c>
      <c r="M191" t="s">
        <v>36</v>
      </c>
      <c r="N191" t="s">
        <v>180</v>
      </c>
      <c r="O191" t="s">
        <v>52</v>
      </c>
      <c r="P191" s="15">
        <v>33</v>
      </c>
      <c r="Q191" s="18">
        <v>148472</v>
      </c>
      <c r="R191" s="19">
        <v>18</v>
      </c>
      <c r="S191" s="14">
        <v>3.2</v>
      </c>
      <c r="T191" s="7">
        <v>74</v>
      </c>
      <c r="U191" s="15">
        <v>20</v>
      </c>
      <c r="V191" s="15">
        <v>60</v>
      </c>
      <c r="W191" s="15">
        <v>53</v>
      </c>
      <c r="X191" t="s">
        <v>39</v>
      </c>
      <c r="Y191" t="s">
        <v>62</v>
      </c>
      <c r="Z191" s="14">
        <v>9</v>
      </c>
      <c r="AA191" s="12">
        <f>YEAR(Table1[Hire_Date])</f>
        <v>2017</v>
      </c>
      <c r="AB19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192" spans="1:28" x14ac:dyDescent="0.25">
      <c r="A192" t="s">
        <v>913</v>
      </c>
      <c r="B192" s="16" t="s">
        <v>914</v>
      </c>
      <c r="C192" s="16" t="s">
        <v>915</v>
      </c>
      <c r="D192" t="s">
        <v>29</v>
      </c>
      <c r="E192" s="15">
        <v>24</v>
      </c>
      <c r="F192" s="16" t="s">
        <v>30</v>
      </c>
      <c r="G192" s="16" t="s">
        <v>31</v>
      </c>
      <c r="H192" s="16" t="s">
        <v>47</v>
      </c>
      <c r="I192" s="16" t="s">
        <v>33</v>
      </c>
      <c r="J192" s="16" t="s">
        <v>34</v>
      </c>
      <c r="K192" s="17" t="s">
        <v>193</v>
      </c>
      <c r="M192" t="s">
        <v>36</v>
      </c>
      <c r="N192" t="s">
        <v>367</v>
      </c>
      <c r="O192" t="s">
        <v>52</v>
      </c>
      <c r="P192" s="15">
        <v>27</v>
      </c>
      <c r="Q192" s="18">
        <v>149763</v>
      </c>
      <c r="R192" s="19">
        <v>22</v>
      </c>
      <c r="S192" s="14">
        <v>2.8</v>
      </c>
      <c r="T192" s="7">
        <v>99</v>
      </c>
      <c r="U192" s="15">
        <v>6</v>
      </c>
      <c r="V192" s="15">
        <v>56</v>
      </c>
      <c r="W192" s="15">
        <v>50</v>
      </c>
      <c r="X192" t="s">
        <v>39</v>
      </c>
      <c r="Y192" t="s">
        <v>78</v>
      </c>
      <c r="Z192" s="14">
        <v>8.9</v>
      </c>
      <c r="AA192" s="12">
        <f>YEAR(Table1[Hire_Date])</f>
        <v>2017</v>
      </c>
      <c r="AB19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193" spans="1:28" x14ac:dyDescent="0.25">
      <c r="A193" t="s">
        <v>916</v>
      </c>
      <c r="B193" s="16" t="s">
        <v>917</v>
      </c>
      <c r="C193" s="16" t="s">
        <v>918</v>
      </c>
      <c r="D193" t="s">
        <v>44</v>
      </c>
      <c r="E193" s="15">
        <v>46</v>
      </c>
      <c r="F193" s="16" t="s">
        <v>45</v>
      </c>
      <c r="G193" s="16" t="s">
        <v>46</v>
      </c>
      <c r="H193" s="16" t="s">
        <v>66</v>
      </c>
      <c r="I193" s="16" t="s">
        <v>33</v>
      </c>
      <c r="J193" s="16" t="s">
        <v>34</v>
      </c>
      <c r="K193" s="17" t="s">
        <v>718</v>
      </c>
      <c r="M193" t="s">
        <v>36</v>
      </c>
      <c r="N193" t="s">
        <v>277</v>
      </c>
      <c r="O193" t="s">
        <v>52</v>
      </c>
      <c r="P193" s="15">
        <v>3</v>
      </c>
      <c r="Q193" s="18">
        <v>75582</v>
      </c>
      <c r="R193" s="19">
        <v>18</v>
      </c>
      <c r="S193" s="14">
        <v>4.4000000000000004</v>
      </c>
      <c r="T193" s="7">
        <v>79</v>
      </c>
      <c r="U193" s="15">
        <v>13</v>
      </c>
      <c r="V193" s="15">
        <v>9</v>
      </c>
      <c r="W193" s="15">
        <v>36</v>
      </c>
      <c r="X193" t="s">
        <v>39</v>
      </c>
      <c r="Y193" t="s">
        <v>78</v>
      </c>
      <c r="Z193" s="14">
        <v>8.4</v>
      </c>
      <c r="AA193" s="12">
        <f>YEAR(Table1[Hire_Date])</f>
        <v>2018</v>
      </c>
      <c r="AB19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194" spans="1:28" x14ac:dyDescent="0.25">
      <c r="A194" t="s">
        <v>919</v>
      </c>
      <c r="B194" s="16" t="s">
        <v>920</v>
      </c>
      <c r="C194" s="16" t="s">
        <v>921</v>
      </c>
      <c r="D194" t="s">
        <v>29</v>
      </c>
      <c r="E194" s="15">
        <v>40</v>
      </c>
      <c r="F194" s="16" t="s">
        <v>30</v>
      </c>
      <c r="G194" s="16" t="s">
        <v>31</v>
      </c>
      <c r="H194" s="16" t="s">
        <v>83</v>
      </c>
      <c r="I194" s="16" t="s">
        <v>48</v>
      </c>
      <c r="J194" s="16" t="s">
        <v>34</v>
      </c>
      <c r="K194" s="17" t="s">
        <v>922</v>
      </c>
      <c r="M194" t="s">
        <v>36</v>
      </c>
      <c r="N194" t="s">
        <v>491</v>
      </c>
      <c r="O194" t="s">
        <v>38</v>
      </c>
      <c r="P194" s="15">
        <v>27</v>
      </c>
      <c r="Q194" s="18">
        <v>118745</v>
      </c>
      <c r="R194" s="19">
        <v>15</v>
      </c>
      <c r="S194" s="14">
        <v>3.8</v>
      </c>
      <c r="T194" s="7">
        <v>73</v>
      </c>
      <c r="U194" s="15">
        <v>6</v>
      </c>
      <c r="V194" s="15">
        <v>14</v>
      </c>
      <c r="W194" s="15">
        <v>11</v>
      </c>
      <c r="X194" t="s">
        <v>61</v>
      </c>
      <c r="Y194" t="s">
        <v>78</v>
      </c>
      <c r="Z194" s="14">
        <v>0.9</v>
      </c>
      <c r="AA194" s="12">
        <f>YEAR(Table1[Hire_Date])</f>
        <v>2025</v>
      </c>
      <c r="AB19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195" spans="1:28" x14ac:dyDescent="0.25">
      <c r="A195" t="s">
        <v>923</v>
      </c>
      <c r="B195" s="16" t="s">
        <v>924</v>
      </c>
      <c r="C195" s="16" t="s">
        <v>925</v>
      </c>
      <c r="D195" t="s">
        <v>29</v>
      </c>
      <c r="E195" s="15">
        <v>43</v>
      </c>
      <c r="F195" s="16" t="s">
        <v>72</v>
      </c>
      <c r="G195" s="16" t="s">
        <v>97</v>
      </c>
      <c r="H195" s="16" t="s">
        <v>32</v>
      </c>
      <c r="I195" s="16" t="s">
        <v>57</v>
      </c>
      <c r="J195" s="16" t="s">
        <v>49</v>
      </c>
      <c r="K195" s="17" t="s">
        <v>926</v>
      </c>
      <c r="M195" t="s">
        <v>36</v>
      </c>
      <c r="N195" t="s">
        <v>277</v>
      </c>
      <c r="O195" t="s">
        <v>52</v>
      </c>
      <c r="P195" s="15">
        <v>33</v>
      </c>
      <c r="Q195" s="18">
        <v>149333</v>
      </c>
      <c r="R195" s="19">
        <v>20</v>
      </c>
      <c r="S195" s="14">
        <v>3.3</v>
      </c>
      <c r="T195" s="7">
        <v>92</v>
      </c>
      <c r="U195" s="15">
        <v>14</v>
      </c>
      <c r="V195" s="15">
        <v>16</v>
      </c>
      <c r="W195" s="15">
        <v>38</v>
      </c>
      <c r="X195" t="s">
        <v>39</v>
      </c>
      <c r="Y195" t="s">
        <v>40</v>
      </c>
      <c r="Z195" s="14">
        <v>9.1</v>
      </c>
      <c r="AA195" s="12">
        <f>YEAR(Table1[Hire_Date])</f>
        <v>2017</v>
      </c>
      <c r="AB19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196" spans="1:28" x14ac:dyDescent="0.25">
      <c r="A196" t="s">
        <v>927</v>
      </c>
      <c r="B196" s="16" t="s">
        <v>928</v>
      </c>
      <c r="C196" s="16" t="s">
        <v>929</v>
      </c>
      <c r="D196" t="s">
        <v>29</v>
      </c>
      <c r="E196" s="15">
        <v>46</v>
      </c>
      <c r="F196" s="16" t="s">
        <v>90</v>
      </c>
      <c r="G196" s="16" t="s">
        <v>13</v>
      </c>
      <c r="H196" s="16" t="s">
        <v>66</v>
      </c>
      <c r="I196" s="16" t="s">
        <v>33</v>
      </c>
      <c r="J196" s="16" t="s">
        <v>49</v>
      </c>
      <c r="K196" s="17" t="s">
        <v>930</v>
      </c>
      <c r="M196" t="s">
        <v>36</v>
      </c>
      <c r="N196" t="s">
        <v>77</v>
      </c>
      <c r="O196" t="s">
        <v>38</v>
      </c>
      <c r="P196" s="15">
        <v>12</v>
      </c>
      <c r="Q196" s="18">
        <v>110672</v>
      </c>
      <c r="R196" s="19">
        <v>10</v>
      </c>
      <c r="S196" s="14">
        <v>2.5</v>
      </c>
      <c r="T196" s="7">
        <v>64</v>
      </c>
      <c r="U196" s="15">
        <v>5</v>
      </c>
      <c r="V196" s="15">
        <v>25</v>
      </c>
      <c r="W196" s="15">
        <v>77</v>
      </c>
      <c r="X196" t="s">
        <v>39</v>
      </c>
      <c r="Y196" t="s">
        <v>78</v>
      </c>
      <c r="Z196" s="14">
        <v>6.7</v>
      </c>
      <c r="AA196" s="12">
        <f>YEAR(Table1[Hire_Date])</f>
        <v>2019</v>
      </c>
      <c r="AB19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197" spans="1:28" x14ac:dyDescent="0.25">
      <c r="A197" t="s">
        <v>931</v>
      </c>
      <c r="B197" s="16" t="s">
        <v>932</v>
      </c>
      <c r="C197" s="16" t="s">
        <v>933</v>
      </c>
      <c r="D197" t="s">
        <v>29</v>
      </c>
      <c r="E197" s="15">
        <v>43</v>
      </c>
      <c r="F197" s="16" t="s">
        <v>103</v>
      </c>
      <c r="G197" s="16" t="s">
        <v>104</v>
      </c>
      <c r="H197" s="16" t="s">
        <v>32</v>
      </c>
      <c r="I197" s="16" t="s">
        <v>57</v>
      </c>
      <c r="J197" s="16" t="s">
        <v>49</v>
      </c>
      <c r="K197" s="17" t="s">
        <v>934</v>
      </c>
      <c r="M197" t="s">
        <v>36</v>
      </c>
      <c r="N197" t="s">
        <v>419</v>
      </c>
      <c r="O197" t="s">
        <v>60</v>
      </c>
      <c r="P197" s="15">
        <v>34</v>
      </c>
      <c r="Q197" s="18">
        <v>114078</v>
      </c>
      <c r="R197" s="19">
        <v>5</v>
      </c>
      <c r="S197" s="14">
        <v>2.6</v>
      </c>
      <c r="T197" s="7">
        <v>84</v>
      </c>
      <c r="U197" s="15">
        <v>19</v>
      </c>
      <c r="V197" s="15">
        <v>14</v>
      </c>
      <c r="W197" s="15">
        <v>47</v>
      </c>
      <c r="X197" t="s">
        <v>39</v>
      </c>
      <c r="Y197" t="s">
        <v>62</v>
      </c>
      <c r="Z197" s="14">
        <v>4.2</v>
      </c>
      <c r="AA197" s="12">
        <f>YEAR(Table1[Hire_Date])</f>
        <v>2022</v>
      </c>
      <c r="AB19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198" spans="1:28" x14ac:dyDescent="0.25">
      <c r="A198" t="s">
        <v>935</v>
      </c>
      <c r="B198" s="16" t="s">
        <v>936</v>
      </c>
      <c r="C198" s="16" t="s">
        <v>937</v>
      </c>
      <c r="D198" t="s">
        <v>29</v>
      </c>
      <c r="E198" s="15">
        <v>32</v>
      </c>
      <c r="F198" s="16" t="s">
        <v>124</v>
      </c>
      <c r="G198" s="16" t="s">
        <v>13</v>
      </c>
      <c r="H198" s="16" t="s">
        <v>83</v>
      </c>
      <c r="I198" s="16" t="s">
        <v>57</v>
      </c>
      <c r="J198" s="16" t="s">
        <v>49</v>
      </c>
      <c r="K198" s="17" t="s">
        <v>341</v>
      </c>
      <c r="M198" t="s">
        <v>36</v>
      </c>
      <c r="N198" t="s">
        <v>550</v>
      </c>
      <c r="O198" t="s">
        <v>52</v>
      </c>
      <c r="P198" s="15">
        <v>11</v>
      </c>
      <c r="Q198" s="18">
        <v>157592</v>
      </c>
      <c r="R198" s="19">
        <v>7</v>
      </c>
      <c r="S198" s="14">
        <v>4.8</v>
      </c>
      <c r="T198" s="7">
        <v>88</v>
      </c>
      <c r="U198" s="15">
        <v>20</v>
      </c>
      <c r="V198" s="15">
        <v>33</v>
      </c>
      <c r="W198" s="15">
        <v>20</v>
      </c>
      <c r="X198" t="s">
        <v>39</v>
      </c>
      <c r="Y198" t="s">
        <v>62</v>
      </c>
      <c r="Z198" s="14">
        <v>5.0999999999999996</v>
      </c>
      <c r="AA198" s="12">
        <f>YEAR(Table1[Hire_Date])</f>
        <v>2021</v>
      </c>
      <c r="AB19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199" spans="1:28" x14ac:dyDescent="0.25">
      <c r="A199" t="s">
        <v>938</v>
      </c>
      <c r="B199" s="16" t="s">
        <v>939</v>
      </c>
      <c r="C199" s="16" t="s">
        <v>940</v>
      </c>
      <c r="D199" t="s">
        <v>44</v>
      </c>
      <c r="E199" s="15">
        <v>35</v>
      </c>
      <c r="F199" s="16" t="s">
        <v>45</v>
      </c>
      <c r="G199" s="16" t="s">
        <v>82</v>
      </c>
      <c r="H199" s="16" t="s">
        <v>83</v>
      </c>
      <c r="I199" s="16" t="s">
        <v>57</v>
      </c>
      <c r="J199" s="16" t="s">
        <v>34</v>
      </c>
      <c r="K199" s="17" t="s">
        <v>941</v>
      </c>
      <c r="M199" t="s">
        <v>36</v>
      </c>
      <c r="N199" t="s">
        <v>309</v>
      </c>
      <c r="O199" t="s">
        <v>60</v>
      </c>
      <c r="P199" s="15">
        <v>32</v>
      </c>
      <c r="Q199" s="18">
        <v>58420</v>
      </c>
      <c r="R199" s="19">
        <v>6</v>
      </c>
      <c r="S199" s="14">
        <v>4.4000000000000004</v>
      </c>
      <c r="T199" s="7">
        <v>99</v>
      </c>
      <c r="U199" s="15">
        <v>12</v>
      </c>
      <c r="V199" s="15">
        <v>21</v>
      </c>
      <c r="W199" s="15">
        <v>80</v>
      </c>
      <c r="X199" t="s">
        <v>39</v>
      </c>
      <c r="Y199" t="s">
        <v>78</v>
      </c>
      <c r="Z199" s="14">
        <v>6.4</v>
      </c>
      <c r="AA199" s="12">
        <f>YEAR(Table1[Hire_Date])</f>
        <v>2020</v>
      </c>
      <c r="AB19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200" spans="1:28" x14ac:dyDescent="0.25">
      <c r="A200" t="s">
        <v>942</v>
      </c>
      <c r="B200" s="16" t="s">
        <v>943</v>
      </c>
      <c r="C200" s="16" t="s">
        <v>944</v>
      </c>
      <c r="D200" t="s">
        <v>44</v>
      </c>
      <c r="E200" s="15">
        <v>27</v>
      </c>
      <c r="F200" s="16" t="s">
        <v>72</v>
      </c>
      <c r="G200" s="16" t="s">
        <v>73</v>
      </c>
      <c r="H200" s="16" t="s">
        <v>83</v>
      </c>
      <c r="I200" s="16" t="s">
        <v>48</v>
      </c>
      <c r="J200" s="16" t="s">
        <v>34</v>
      </c>
      <c r="K200" s="17" t="s">
        <v>945</v>
      </c>
      <c r="L200" s="17" t="s">
        <v>946</v>
      </c>
      <c r="M200" t="s">
        <v>76</v>
      </c>
      <c r="N200" t="s">
        <v>214</v>
      </c>
      <c r="O200" t="s">
        <v>38</v>
      </c>
      <c r="P200" s="15">
        <v>6</v>
      </c>
      <c r="Q200" s="18">
        <v>151540</v>
      </c>
      <c r="R200" s="19">
        <v>22</v>
      </c>
      <c r="S200" s="14">
        <v>3.5</v>
      </c>
      <c r="T200" s="7">
        <v>62</v>
      </c>
      <c r="U200" s="15">
        <v>10</v>
      </c>
      <c r="V200" s="15">
        <v>56</v>
      </c>
      <c r="W200" s="15">
        <v>48</v>
      </c>
      <c r="X200" t="s">
        <v>61</v>
      </c>
      <c r="Y200" t="s">
        <v>40</v>
      </c>
      <c r="Z200" s="14">
        <v>8.3000000000000007</v>
      </c>
      <c r="AA200" s="12">
        <f>YEAR(Table1[Hire_Date])</f>
        <v>2018</v>
      </c>
      <c r="AB20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201" spans="1:28" x14ac:dyDescent="0.25">
      <c r="A201" t="s">
        <v>947</v>
      </c>
      <c r="B201" s="16" t="s">
        <v>948</v>
      </c>
      <c r="C201" s="16" t="s">
        <v>949</v>
      </c>
      <c r="D201" t="s">
        <v>44</v>
      </c>
      <c r="E201" s="15">
        <v>56</v>
      </c>
      <c r="F201" s="16" t="s">
        <v>103</v>
      </c>
      <c r="G201" s="16" t="s">
        <v>13</v>
      </c>
      <c r="H201" s="16" t="s">
        <v>32</v>
      </c>
      <c r="I201" s="16" t="s">
        <v>57</v>
      </c>
      <c r="J201" s="16" t="s">
        <v>34</v>
      </c>
      <c r="K201" s="17" t="s">
        <v>950</v>
      </c>
      <c r="M201" t="s">
        <v>36</v>
      </c>
      <c r="N201" t="s">
        <v>263</v>
      </c>
      <c r="O201" t="s">
        <v>52</v>
      </c>
      <c r="P201" s="15">
        <v>5</v>
      </c>
      <c r="Q201" s="18">
        <v>62582</v>
      </c>
      <c r="R201" s="19">
        <v>22</v>
      </c>
      <c r="S201" s="14">
        <v>3.2</v>
      </c>
      <c r="T201" s="7">
        <v>61</v>
      </c>
      <c r="U201" s="15">
        <v>13</v>
      </c>
      <c r="V201" s="15">
        <v>29</v>
      </c>
      <c r="W201" s="15">
        <v>33</v>
      </c>
      <c r="X201" t="s">
        <v>61</v>
      </c>
      <c r="Y201" t="s">
        <v>40</v>
      </c>
      <c r="Z201" s="14">
        <v>0.2</v>
      </c>
      <c r="AA201" s="12">
        <f>YEAR(Table1[Hire_Date])</f>
        <v>2026</v>
      </c>
      <c r="AB20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202" spans="1:28" x14ac:dyDescent="0.25">
      <c r="A202" t="s">
        <v>951</v>
      </c>
      <c r="B202" s="16" t="s">
        <v>952</v>
      </c>
      <c r="C202" s="16" t="s">
        <v>953</v>
      </c>
      <c r="D202" t="s">
        <v>44</v>
      </c>
      <c r="E202" s="15">
        <v>54</v>
      </c>
      <c r="F202" s="16" t="s">
        <v>103</v>
      </c>
      <c r="G202" s="16" t="s">
        <v>13</v>
      </c>
      <c r="H202" s="16" t="s">
        <v>47</v>
      </c>
      <c r="I202" s="16" t="s">
        <v>48</v>
      </c>
      <c r="J202" s="16" t="s">
        <v>34</v>
      </c>
      <c r="K202" s="17" t="s">
        <v>954</v>
      </c>
      <c r="M202" t="s">
        <v>36</v>
      </c>
      <c r="N202" t="s">
        <v>367</v>
      </c>
      <c r="O202" t="s">
        <v>52</v>
      </c>
      <c r="P202" s="15">
        <v>14</v>
      </c>
      <c r="Q202" s="18">
        <v>125660</v>
      </c>
      <c r="R202" s="19">
        <v>22</v>
      </c>
      <c r="S202" s="14">
        <v>2.6</v>
      </c>
      <c r="T202" s="7">
        <v>73</v>
      </c>
      <c r="U202" s="15">
        <v>7</v>
      </c>
      <c r="V202" s="15">
        <v>45</v>
      </c>
      <c r="W202" s="15">
        <v>76</v>
      </c>
      <c r="X202" t="s">
        <v>39</v>
      </c>
      <c r="Y202" t="s">
        <v>62</v>
      </c>
      <c r="Z202" s="14">
        <v>4.8</v>
      </c>
      <c r="AA202" s="12">
        <f>YEAR(Table1[Hire_Date])</f>
        <v>2021</v>
      </c>
      <c r="AB20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203" spans="1:28" x14ac:dyDescent="0.25">
      <c r="A203" t="s">
        <v>955</v>
      </c>
      <c r="B203" s="16" t="s">
        <v>956</v>
      </c>
      <c r="C203" s="16" t="s">
        <v>957</v>
      </c>
      <c r="D203" t="s">
        <v>44</v>
      </c>
      <c r="E203" s="15">
        <v>41</v>
      </c>
      <c r="F203" s="16" t="s">
        <v>45</v>
      </c>
      <c r="G203" s="16" t="s">
        <v>46</v>
      </c>
      <c r="H203" s="16" t="s">
        <v>47</v>
      </c>
      <c r="I203" s="16" t="s">
        <v>33</v>
      </c>
      <c r="J203" s="16" t="s">
        <v>49</v>
      </c>
      <c r="K203" s="17" t="s">
        <v>958</v>
      </c>
      <c r="M203" t="s">
        <v>36</v>
      </c>
      <c r="N203" t="s">
        <v>286</v>
      </c>
      <c r="O203" t="s">
        <v>52</v>
      </c>
      <c r="P203" s="15">
        <v>31</v>
      </c>
      <c r="Q203" s="18">
        <v>99749</v>
      </c>
      <c r="R203" s="19">
        <v>24</v>
      </c>
      <c r="S203" s="14">
        <v>3.1</v>
      </c>
      <c r="T203" s="7">
        <v>94</v>
      </c>
      <c r="U203" s="15">
        <v>15</v>
      </c>
      <c r="V203" s="15">
        <v>50</v>
      </c>
      <c r="W203" s="15">
        <v>5</v>
      </c>
      <c r="X203" t="s">
        <v>61</v>
      </c>
      <c r="Y203" t="s">
        <v>40</v>
      </c>
      <c r="Z203" s="14">
        <v>2.6</v>
      </c>
      <c r="AA203" s="12">
        <f>YEAR(Table1[Hire_Date])</f>
        <v>2024</v>
      </c>
      <c r="AB20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204" spans="1:28" x14ac:dyDescent="0.25">
      <c r="A204" t="s">
        <v>959</v>
      </c>
      <c r="B204" s="16" t="s">
        <v>960</v>
      </c>
      <c r="C204" s="16" t="s">
        <v>961</v>
      </c>
      <c r="D204" t="s">
        <v>29</v>
      </c>
      <c r="E204" s="15">
        <v>24</v>
      </c>
      <c r="F204" s="16" t="s">
        <v>90</v>
      </c>
      <c r="G204" s="16" t="s">
        <v>281</v>
      </c>
      <c r="H204" s="16" t="s">
        <v>66</v>
      </c>
      <c r="I204" s="16" t="s">
        <v>48</v>
      </c>
      <c r="J204" s="16" t="s">
        <v>49</v>
      </c>
      <c r="K204" s="17" t="s">
        <v>962</v>
      </c>
      <c r="M204" t="s">
        <v>36</v>
      </c>
      <c r="N204" t="s">
        <v>68</v>
      </c>
      <c r="O204" t="s">
        <v>52</v>
      </c>
      <c r="P204" s="15">
        <v>3</v>
      </c>
      <c r="Q204" s="18">
        <v>60980</v>
      </c>
      <c r="R204" s="19">
        <v>15</v>
      </c>
      <c r="S204" s="14">
        <v>5</v>
      </c>
      <c r="T204" s="7">
        <v>74</v>
      </c>
      <c r="U204" s="15">
        <v>20</v>
      </c>
      <c r="V204" s="15">
        <v>51</v>
      </c>
      <c r="W204" s="15">
        <v>59</v>
      </c>
      <c r="X204" t="s">
        <v>61</v>
      </c>
      <c r="Y204" t="s">
        <v>62</v>
      </c>
      <c r="Z204" s="14">
        <v>5.2</v>
      </c>
      <c r="AA204" s="12">
        <f>YEAR(Table1[Hire_Date])</f>
        <v>2021</v>
      </c>
      <c r="AB20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205" spans="1:28" x14ac:dyDescent="0.25">
      <c r="A205" t="s">
        <v>963</v>
      </c>
      <c r="B205" s="16" t="s">
        <v>964</v>
      </c>
      <c r="C205" s="16" t="s">
        <v>965</v>
      </c>
      <c r="D205" t="s">
        <v>44</v>
      </c>
      <c r="E205" s="15">
        <v>30</v>
      </c>
      <c r="F205" s="16" t="s">
        <v>72</v>
      </c>
      <c r="G205" s="16" t="s">
        <v>97</v>
      </c>
      <c r="H205" s="16" t="s">
        <v>56</v>
      </c>
      <c r="I205" s="16" t="s">
        <v>33</v>
      </c>
      <c r="J205" s="16" t="s">
        <v>49</v>
      </c>
      <c r="K205" s="17" t="s">
        <v>966</v>
      </c>
      <c r="M205" t="s">
        <v>36</v>
      </c>
      <c r="N205" t="s">
        <v>314</v>
      </c>
      <c r="O205" t="s">
        <v>52</v>
      </c>
      <c r="P205" s="15">
        <v>15</v>
      </c>
      <c r="Q205" s="18">
        <v>53406</v>
      </c>
      <c r="R205" s="19">
        <v>20</v>
      </c>
      <c r="S205" s="14">
        <v>3.3</v>
      </c>
      <c r="T205" s="7">
        <v>59</v>
      </c>
      <c r="U205" s="15">
        <v>7</v>
      </c>
      <c r="V205" s="15">
        <v>47</v>
      </c>
      <c r="W205" s="15">
        <v>14</v>
      </c>
      <c r="X205" t="s">
        <v>39</v>
      </c>
      <c r="Y205" t="s">
        <v>40</v>
      </c>
      <c r="Z205" s="14">
        <v>7.4</v>
      </c>
      <c r="AA205" s="12">
        <f>YEAR(Table1[Hire_Date])</f>
        <v>2019</v>
      </c>
      <c r="AB20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206" spans="1:28" x14ac:dyDescent="0.25">
      <c r="A206" t="s">
        <v>967</v>
      </c>
      <c r="B206" s="16" t="s">
        <v>968</v>
      </c>
      <c r="C206" s="16" t="s">
        <v>969</v>
      </c>
      <c r="D206" t="s">
        <v>44</v>
      </c>
      <c r="E206" s="15">
        <v>51</v>
      </c>
      <c r="F206" s="16" t="s">
        <v>124</v>
      </c>
      <c r="G206" s="16" t="s">
        <v>13</v>
      </c>
      <c r="H206" s="16" t="s">
        <v>83</v>
      </c>
      <c r="I206" s="16" t="s">
        <v>57</v>
      </c>
      <c r="J206" s="16" t="s">
        <v>49</v>
      </c>
      <c r="K206" s="17" t="s">
        <v>970</v>
      </c>
      <c r="M206" t="s">
        <v>36</v>
      </c>
      <c r="N206" t="s">
        <v>137</v>
      </c>
      <c r="O206" t="s">
        <v>60</v>
      </c>
      <c r="P206" s="15">
        <v>26</v>
      </c>
      <c r="Q206" s="18">
        <v>86579</v>
      </c>
      <c r="R206" s="19">
        <v>19</v>
      </c>
      <c r="S206" s="14">
        <v>2.6</v>
      </c>
      <c r="T206" s="7">
        <v>72</v>
      </c>
      <c r="U206" s="15">
        <v>13</v>
      </c>
      <c r="V206" s="15">
        <v>46</v>
      </c>
      <c r="W206" s="15">
        <v>0</v>
      </c>
      <c r="X206" t="s">
        <v>61</v>
      </c>
      <c r="Y206" t="s">
        <v>40</v>
      </c>
      <c r="Z206" s="14">
        <v>2.5</v>
      </c>
      <c r="AA206" s="12">
        <f>YEAR(Table1[Hire_Date])</f>
        <v>2024</v>
      </c>
      <c r="AB20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207" spans="1:28" x14ac:dyDescent="0.25">
      <c r="A207" t="s">
        <v>971</v>
      </c>
      <c r="B207" s="16" t="s">
        <v>972</v>
      </c>
      <c r="C207" s="16" t="s">
        <v>973</v>
      </c>
      <c r="D207" t="s">
        <v>29</v>
      </c>
      <c r="E207" s="15">
        <v>23</v>
      </c>
      <c r="F207" s="16" t="s">
        <v>72</v>
      </c>
      <c r="G207" s="16" t="s">
        <v>135</v>
      </c>
      <c r="H207" s="16" t="s">
        <v>83</v>
      </c>
      <c r="I207" s="16" t="s">
        <v>33</v>
      </c>
      <c r="J207" s="16" t="s">
        <v>49</v>
      </c>
      <c r="K207" s="17" t="s">
        <v>974</v>
      </c>
      <c r="M207" t="s">
        <v>36</v>
      </c>
      <c r="N207" t="s">
        <v>175</v>
      </c>
      <c r="O207" t="s">
        <v>60</v>
      </c>
      <c r="P207" s="15">
        <v>33</v>
      </c>
      <c r="Q207" s="18">
        <v>134439</v>
      </c>
      <c r="R207" s="19">
        <v>9</v>
      </c>
      <c r="S207" s="14">
        <v>3.1</v>
      </c>
      <c r="T207" s="7">
        <v>55</v>
      </c>
      <c r="U207" s="15">
        <v>17</v>
      </c>
      <c r="V207" s="15">
        <v>45</v>
      </c>
      <c r="W207" s="15">
        <v>24</v>
      </c>
      <c r="X207" t="s">
        <v>39</v>
      </c>
      <c r="Y207" t="s">
        <v>78</v>
      </c>
      <c r="Z207" s="14">
        <v>4.5999999999999996</v>
      </c>
      <c r="AA207" s="12">
        <f>YEAR(Table1[Hire_Date])</f>
        <v>2021</v>
      </c>
      <c r="AB20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208" spans="1:28" x14ac:dyDescent="0.25">
      <c r="A208" t="s">
        <v>975</v>
      </c>
      <c r="B208" s="16" t="s">
        <v>976</v>
      </c>
      <c r="C208" s="16" t="s">
        <v>977</v>
      </c>
      <c r="D208" t="s">
        <v>44</v>
      </c>
      <c r="E208" s="15">
        <v>40</v>
      </c>
      <c r="F208" s="16" t="s">
        <v>103</v>
      </c>
      <c r="G208" s="16" t="s">
        <v>147</v>
      </c>
      <c r="H208" s="16" t="s">
        <v>83</v>
      </c>
      <c r="I208" s="16" t="s">
        <v>48</v>
      </c>
      <c r="J208" s="16" t="s">
        <v>34</v>
      </c>
      <c r="K208" s="17" t="s">
        <v>978</v>
      </c>
      <c r="L208" s="17" t="s">
        <v>979</v>
      </c>
      <c r="M208" t="s">
        <v>76</v>
      </c>
      <c r="N208" t="s">
        <v>214</v>
      </c>
      <c r="O208" t="s">
        <v>52</v>
      </c>
      <c r="P208" s="15">
        <v>33</v>
      </c>
      <c r="Q208" s="18">
        <v>60396</v>
      </c>
      <c r="R208" s="19">
        <v>11</v>
      </c>
      <c r="S208" s="14">
        <v>3.9</v>
      </c>
      <c r="T208" s="7">
        <v>64</v>
      </c>
      <c r="U208" s="15">
        <v>4</v>
      </c>
      <c r="V208" s="15">
        <v>28</v>
      </c>
      <c r="W208" s="15">
        <v>8</v>
      </c>
      <c r="X208" t="s">
        <v>61</v>
      </c>
      <c r="Y208" t="s">
        <v>40</v>
      </c>
      <c r="Z208" s="14">
        <v>0.8</v>
      </c>
      <c r="AA208" s="12">
        <f>YEAR(Table1[Hire_Date])</f>
        <v>2025</v>
      </c>
      <c r="AB20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209" spans="1:28" x14ac:dyDescent="0.25">
      <c r="A209" t="s">
        <v>980</v>
      </c>
      <c r="B209" s="16" t="s">
        <v>981</v>
      </c>
      <c r="C209" s="16" t="s">
        <v>982</v>
      </c>
      <c r="D209" t="s">
        <v>44</v>
      </c>
      <c r="E209" s="15">
        <v>36</v>
      </c>
      <c r="F209" s="16" t="s">
        <v>72</v>
      </c>
      <c r="G209" s="16" t="s">
        <v>73</v>
      </c>
      <c r="H209" s="16" t="s">
        <v>56</v>
      </c>
      <c r="I209" s="16" t="s">
        <v>48</v>
      </c>
      <c r="J209" s="16" t="s">
        <v>49</v>
      </c>
      <c r="K209" s="17" t="s">
        <v>983</v>
      </c>
      <c r="M209" t="s">
        <v>36</v>
      </c>
      <c r="N209" t="s">
        <v>654</v>
      </c>
      <c r="O209" t="s">
        <v>38</v>
      </c>
      <c r="P209" s="15">
        <v>15</v>
      </c>
      <c r="Q209" s="18">
        <v>125031</v>
      </c>
      <c r="R209" s="19">
        <v>11</v>
      </c>
      <c r="S209" s="14">
        <v>2.6</v>
      </c>
      <c r="T209" s="7">
        <v>52</v>
      </c>
      <c r="U209" s="15">
        <v>3</v>
      </c>
      <c r="V209" s="15">
        <v>27</v>
      </c>
      <c r="W209" s="15">
        <v>14</v>
      </c>
      <c r="X209" t="s">
        <v>39</v>
      </c>
      <c r="Y209" t="s">
        <v>62</v>
      </c>
      <c r="Z209" s="14">
        <v>7.6</v>
      </c>
      <c r="AA209" s="12">
        <f>YEAR(Table1[Hire_Date])</f>
        <v>2019</v>
      </c>
      <c r="AB20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210" spans="1:28" x14ac:dyDescent="0.25">
      <c r="A210" t="s">
        <v>984</v>
      </c>
      <c r="B210" s="16" t="s">
        <v>985</v>
      </c>
      <c r="C210" s="16" t="s">
        <v>986</v>
      </c>
      <c r="D210" t="s">
        <v>29</v>
      </c>
      <c r="E210" s="15">
        <v>37</v>
      </c>
      <c r="F210" s="16" t="s">
        <v>30</v>
      </c>
      <c r="G210" s="16" t="s">
        <v>31</v>
      </c>
      <c r="H210" s="16" t="s">
        <v>83</v>
      </c>
      <c r="I210" s="16" t="s">
        <v>57</v>
      </c>
      <c r="J210" s="16" t="s">
        <v>34</v>
      </c>
      <c r="K210" s="17" t="s">
        <v>987</v>
      </c>
      <c r="M210" t="s">
        <v>36</v>
      </c>
      <c r="N210" t="s">
        <v>659</v>
      </c>
      <c r="O210" t="s">
        <v>60</v>
      </c>
      <c r="P210" s="15">
        <v>16</v>
      </c>
      <c r="Q210" s="18">
        <v>147519</v>
      </c>
      <c r="R210" s="19">
        <v>25</v>
      </c>
      <c r="S210" s="14">
        <v>3.6</v>
      </c>
      <c r="T210" s="7">
        <v>61</v>
      </c>
      <c r="U210" s="15">
        <v>7</v>
      </c>
      <c r="V210" s="15">
        <v>58</v>
      </c>
      <c r="W210" s="15">
        <v>17</v>
      </c>
      <c r="X210" t="s">
        <v>39</v>
      </c>
      <c r="Y210" t="s">
        <v>40</v>
      </c>
      <c r="Z210" s="14">
        <v>8.4</v>
      </c>
      <c r="AA210" s="12">
        <f>YEAR(Table1[Hire_Date])</f>
        <v>2018</v>
      </c>
      <c r="AB21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211" spans="1:28" x14ac:dyDescent="0.25">
      <c r="A211" t="s">
        <v>988</v>
      </c>
      <c r="B211" s="16" t="s">
        <v>989</v>
      </c>
      <c r="C211" s="16" t="s">
        <v>990</v>
      </c>
      <c r="D211" t="s">
        <v>29</v>
      </c>
      <c r="E211" s="15">
        <v>45</v>
      </c>
      <c r="F211" s="16" t="s">
        <v>30</v>
      </c>
      <c r="G211" s="16" t="s">
        <v>31</v>
      </c>
      <c r="H211" s="16" t="s">
        <v>47</v>
      </c>
      <c r="I211" s="16" t="s">
        <v>57</v>
      </c>
      <c r="J211" s="16" t="s">
        <v>49</v>
      </c>
      <c r="K211" s="17" t="s">
        <v>991</v>
      </c>
      <c r="M211" t="s">
        <v>36</v>
      </c>
      <c r="N211" t="s">
        <v>277</v>
      </c>
      <c r="O211" t="s">
        <v>60</v>
      </c>
      <c r="P211" s="15">
        <v>25</v>
      </c>
      <c r="Q211" s="18">
        <v>66765</v>
      </c>
      <c r="R211" s="19">
        <v>11</v>
      </c>
      <c r="S211" s="14">
        <v>3.4</v>
      </c>
      <c r="T211" s="7">
        <v>60</v>
      </c>
      <c r="U211" s="15">
        <v>10</v>
      </c>
      <c r="V211" s="15">
        <v>53</v>
      </c>
      <c r="W211" s="15">
        <v>28</v>
      </c>
      <c r="X211" t="s">
        <v>61</v>
      </c>
      <c r="Y211" t="s">
        <v>40</v>
      </c>
      <c r="Z211" s="14">
        <v>1.9</v>
      </c>
      <c r="AA211" s="12">
        <f>YEAR(Table1[Hire_Date])</f>
        <v>2024</v>
      </c>
      <c r="AB21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212" spans="1:28" x14ac:dyDescent="0.25">
      <c r="A212" t="s">
        <v>992</v>
      </c>
      <c r="B212" s="16" t="s">
        <v>993</v>
      </c>
      <c r="C212" s="16" t="s">
        <v>994</v>
      </c>
      <c r="D212" t="s">
        <v>29</v>
      </c>
      <c r="E212" s="15">
        <v>46</v>
      </c>
      <c r="F212" s="16" t="s">
        <v>72</v>
      </c>
      <c r="G212" s="16" t="s">
        <v>97</v>
      </c>
      <c r="H212" s="16" t="s">
        <v>47</v>
      </c>
      <c r="I212" s="16" t="s">
        <v>57</v>
      </c>
      <c r="J212" s="16" t="s">
        <v>34</v>
      </c>
      <c r="K212" s="17" t="s">
        <v>995</v>
      </c>
      <c r="L212" s="17" t="s">
        <v>477</v>
      </c>
      <c r="M212" t="s">
        <v>76</v>
      </c>
      <c r="N212" t="s">
        <v>333</v>
      </c>
      <c r="O212" t="s">
        <v>60</v>
      </c>
      <c r="P212" s="15">
        <v>15</v>
      </c>
      <c r="Q212" s="18">
        <v>58566</v>
      </c>
      <c r="R212" s="19">
        <v>13</v>
      </c>
      <c r="S212" s="14">
        <v>4.2</v>
      </c>
      <c r="T212" s="7">
        <v>88</v>
      </c>
      <c r="U212" s="15">
        <v>5</v>
      </c>
      <c r="V212" s="15">
        <v>33</v>
      </c>
      <c r="W212" s="15">
        <v>30</v>
      </c>
      <c r="X212" t="s">
        <v>39</v>
      </c>
      <c r="Y212" t="s">
        <v>78</v>
      </c>
      <c r="Z212" s="14">
        <v>9.8000000000000007</v>
      </c>
      <c r="AA212" s="12">
        <f>YEAR(Table1[Hire_Date])</f>
        <v>2016</v>
      </c>
      <c r="AB21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213" spans="1:28" x14ac:dyDescent="0.25">
      <c r="A213" t="s">
        <v>996</v>
      </c>
      <c r="B213" s="16" t="s">
        <v>997</v>
      </c>
      <c r="C213" s="16" t="s">
        <v>998</v>
      </c>
      <c r="D213" t="s">
        <v>44</v>
      </c>
      <c r="E213" s="15">
        <v>33</v>
      </c>
      <c r="F213" s="16" t="s">
        <v>72</v>
      </c>
      <c r="G213" s="16" t="s">
        <v>73</v>
      </c>
      <c r="H213" s="16" t="s">
        <v>66</v>
      </c>
      <c r="I213" s="16" t="s">
        <v>33</v>
      </c>
      <c r="J213" s="16" t="s">
        <v>49</v>
      </c>
      <c r="K213" s="17" t="s">
        <v>999</v>
      </c>
      <c r="M213" t="s">
        <v>36</v>
      </c>
      <c r="N213" t="s">
        <v>337</v>
      </c>
      <c r="O213" t="s">
        <v>52</v>
      </c>
      <c r="P213" s="15">
        <v>24</v>
      </c>
      <c r="Q213" s="18">
        <v>163757</v>
      </c>
      <c r="R213" s="19">
        <v>16</v>
      </c>
      <c r="S213" s="14">
        <v>4</v>
      </c>
      <c r="T213" s="7">
        <v>52</v>
      </c>
      <c r="U213" s="15">
        <v>20</v>
      </c>
      <c r="V213" s="15">
        <v>23</v>
      </c>
      <c r="W213" s="15">
        <v>19</v>
      </c>
      <c r="X213" t="s">
        <v>39</v>
      </c>
      <c r="Y213" t="s">
        <v>40</v>
      </c>
      <c r="Z213" s="14">
        <v>4.0999999999999996</v>
      </c>
      <c r="AA213" s="12">
        <f>YEAR(Table1[Hire_Date])</f>
        <v>2022</v>
      </c>
      <c r="AB21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214" spans="1:28" x14ac:dyDescent="0.25">
      <c r="A214" t="s">
        <v>1000</v>
      </c>
      <c r="B214" s="16" t="s">
        <v>1001</v>
      </c>
      <c r="C214" s="16" t="s">
        <v>1002</v>
      </c>
      <c r="D214" t="s">
        <v>29</v>
      </c>
      <c r="E214" s="15">
        <v>24</v>
      </c>
      <c r="F214" s="16" t="s">
        <v>90</v>
      </c>
      <c r="G214" s="16" t="s">
        <v>13</v>
      </c>
      <c r="H214" s="16" t="s">
        <v>83</v>
      </c>
      <c r="I214" s="16" t="s">
        <v>33</v>
      </c>
      <c r="J214" s="16" t="s">
        <v>49</v>
      </c>
      <c r="K214" s="17" t="s">
        <v>1003</v>
      </c>
      <c r="M214" t="s">
        <v>36</v>
      </c>
      <c r="N214" t="s">
        <v>669</v>
      </c>
      <c r="O214" t="s">
        <v>38</v>
      </c>
      <c r="P214" s="15">
        <v>3</v>
      </c>
      <c r="Q214" s="18">
        <v>122735</v>
      </c>
      <c r="R214" s="19">
        <v>21</v>
      </c>
      <c r="S214" s="14">
        <v>2.6</v>
      </c>
      <c r="T214" s="7">
        <v>53</v>
      </c>
      <c r="U214" s="15">
        <v>19</v>
      </c>
      <c r="V214" s="15">
        <v>19</v>
      </c>
      <c r="W214" s="15">
        <v>53</v>
      </c>
      <c r="X214" t="s">
        <v>61</v>
      </c>
      <c r="Y214" t="s">
        <v>40</v>
      </c>
      <c r="Z214" s="14">
        <v>3.7</v>
      </c>
      <c r="AA214" s="12">
        <f>YEAR(Table1[Hire_Date])</f>
        <v>2022</v>
      </c>
      <c r="AB21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215" spans="1:28" x14ac:dyDescent="0.25">
      <c r="A215" t="s">
        <v>1004</v>
      </c>
      <c r="B215" s="16" t="s">
        <v>1005</v>
      </c>
      <c r="C215" s="16" t="s">
        <v>1006</v>
      </c>
      <c r="D215" t="s">
        <v>44</v>
      </c>
      <c r="E215" s="15">
        <v>44</v>
      </c>
      <c r="F215" s="16" t="s">
        <v>124</v>
      </c>
      <c r="G215" s="16" t="s">
        <v>13</v>
      </c>
      <c r="H215" s="16" t="s">
        <v>83</v>
      </c>
      <c r="I215" s="16" t="s">
        <v>57</v>
      </c>
      <c r="J215" s="16" t="s">
        <v>34</v>
      </c>
      <c r="K215" s="17" t="s">
        <v>1007</v>
      </c>
      <c r="M215" t="s">
        <v>36</v>
      </c>
      <c r="N215" t="s">
        <v>59</v>
      </c>
      <c r="O215" t="s">
        <v>38</v>
      </c>
      <c r="P215" s="15">
        <v>9</v>
      </c>
      <c r="Q215" s="18">
        <v>120817</v>
      </c>
      <c r="R215" s="19">
        <v>14</v>
      </c>
      <c r="S215" s="14">
        <v>3.9</v>
      </c>
      <c r="T215" s="7">
        <v>99</v>
      </c>
      <c r="U215" s="15">
        <v>14</v>
      </c>
      <c r="V215" s="15">
        <v>42</v>
      </c>
      <c r="W215" s="15">
        <v>34</v>
      </c>
      <c r="X215" t="s">
        <v>39</v>
      </c>
      <c r="Y215" t="s">
        <v>62</v>
      </c>
      <c r="Z215" s="14">
        <v>2.9</v>
      </c>
      <c r="AA215" s="12">
        <f>YEAR(Table1[Hire_Date])</f>
        <v>2023</v>
      </c>
      <c r="AB21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216" spans="1:28" x14ac:dyDescent="0.25">
      <c r="A216" t="s">
        <v>1008</v>
      </c>
      <c r="B216" s="16" t="s">
        <v>1009</v>
      </c>
      <c r="C216" s="16" t="s">
        <v>1010</v>
      </c>
      <c r="D216" t="s">
        <v>29</v>
      </c>
      <c r="E216" s="15">
        <v>55</v>
      </c>
      <c r="F216" s="16" t="s">
        <v>45</v>
      </c>
      <c r="G216" s="16" t="s">
        <v>82</v>
      </c>
      <c r="H216" s="16" t="s">
        <v>56</v>
      </c>
      <c r="I216" s="16" t="s">
        <v>57</v>
      </c>
      <c r="J216" s="16" t="s">
        <v>49</v>
      </c>
      <c r="K216" s="17" t="s">
        <v>1011</v>
      </c>
      <c r="M216" t="s">
        <v>36</v>
      </c>
      <c r="N216" t="s">
        <v>219</v>
      </c>
      <c r="O216" t="s">
        <v>60</v>
      </c>
      <c r="P216" s="15">
        <v>14</v>
      </c>
      <c r="Q216" s="18">
        <v>157230</v>
      </c>
      <c r="R216" s="19">
        <v>14</v>
      </c>
      <c r="S216" s="14">
        <v>2.5</v>
      </c>
      <c r="T216" s="7">
        <v>77</v>
      </c>
      <c r="U216" s="15">
        <v>5</v>
      </c>
      <c r="V216" s="15">
        <v>24</v>
      </c>
      <c r="W216" s="15">
        <v>49</v>
      </c>
      <c r="X216" t="s">
        <v>61</v>
      </c>
      <c r="Y216" t="s">
        <v>40</v>
      </c>
      <c r="Z216" s="14">
        <v>2.6</v>
      </c>
      <c r="AA216" s="12">
        <f>YEAR(Table1[Hire_Date])</f>
        <v>2024</v>
      </c>
      <c r="AB21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217" spans="1:28" x14ac:dyDescent="0.25">
      <c r="A217" t="s">
        <v>1012</v>
      </c>
      <c r="B217" s="16" t="s">
        <v>1013</v>
      </c>
      <c r="C217" s="16" t="s">
        <v>1014</v>
      </c>
      <c r="D217" t="s">
        <v>29</v>
      </c>
      <c r="E217" s="15">
        <v>22</v>
      </c>
      <c r="F217" s="16" t="s">
        <v>30</v>
      </c>
      <c r="G217" s="16" t="s">
        <v>31</v>
      </c>
      <c r="H217" s="16" t="s">
        <v>56</v>
      </c>
      <c r="I217" s="16" t="s">
        <v>57</v>
      </c>
      <c r="J217" s="16" t="s">
        <v>34</v>
      </c>
      <c r="K217" s="17" t="s">
        <v>1015</v>
      </c>
      <c r="M217" t="s">
        <v>36</v>
      </c>
      <c r="N217" t="s">
        <v>491</v>
      </c>
      <c r="O217" t="s">
        <v>60</v>
      </c>
      <c r="P217" s="15">
        <v>0</v>
      </c>
      <c r="Q217" s="18">
        <v>162943</v>
      </c>
      <c r="R217" s="19">
        <v>14</v>
      </c>
      <c r="S217" s="14">
        <v>3.4</v>
      </c>
      <c r="T217" s="7">
        <v>96</v>
      </c>
      <c r="U217" s="15">
        <v>18</v>
      </c>
      <c r="V217" s="15">
        <v>0</v>
      </c>
      <c r="W217" s="15">
        <v>24</v>
      </c>
      <c r="X217" t="s">
        <v>39</v>
      </c>
      <c r="Y217" t="s">
        <v>62</v>
      </c>
      <c r="Z217" s="14">
        <v>2.7</v>
      </c>
      <c r="AA217" s="12">
        <f>YEAR(Table1[Hire_Date])</f>
        <v>2023</v>
      </c>
      <c r="AB21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218" spans="1:28" x14ac:dyDescent="0.25">
      <c r="A218" t="s">
        <v>1016</v>
      </c>
      <c r="B218" s="16" t="s">
        <v>1017</v>
      </c>
      <c r="C218" s="16" t="s">
        <v>1018</v>
      </c>
      <c r="D218" t="s">
        <v>29</v>
      </c>
      <c r="E218" s="15">
        <v>57</v>
      </c>
      <c r="F218" s="16" t="s">
        <v>90</v>
      </c>
      <c r="G218" s="16" t="s">
        <v>13</v>
      </c>
      <c r="H218" s="16" t="s">
        <v>83</v>
      </c>
      <c r="I218" s="16" t="s">
        <v>57</v>
      </c>
      <c r="J218" s="16" t="s">
        <v>34</v>
      </c>
      <c r="K218" s="17" t="s">
        <v>1019</v>
      </c>
      <c r="M218" t="s">
        <v>36</v>
      </c>
      <c r="N218" t="s">
        <v>243</v>
      </c>
      <c r="O218" t="s">
        <v>60</v>
      </c>
      <c r="P218" s="15">
        <v>25</v>
      </c>
      <c r="Q218" s="18">
        <v>74412</v>
      </c>
      <c r="R218" s="19">
        <v>15</v>
      </c>
      <c r="S218" s="14">
        <v>3.8</v>
      </c>
      <c r="T218" s="7">
        <v>73</v>
      </c>
      <c r="U218" s="15">
        <v>0</v>
      </c>
      <c r="V218" s="15">
        <v>20</v>
      </c>
      <c r="W218" s="15">
        <v>59</v>
      </c>
      <c r="X218" t="s">
        <v>61</v>
      </c>
      <c r="Y218" t="s">
        <v>40</v>
      </c>
      <c r="Z218" s="14">
        <v>7.3</v>
      </c>
      <c r="AA218" s="12">
        <f>YEAR(Table1[Hire_Date])</f>
        <v>2019</v>
      </c>
      <c r="AB21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219" spans="1:28" x14ac:dyDescent="0.25">
      <c r="A219" t="s">
        <v>1020</v>
      </c>
      <c r="B219" s="16" t="s">
        <v>1021</v>
      </c>
      <c r="C219" s="16" t="s">
        <v>1022</v>
      </c>
      <c r="D219" t="s">
        <v>44</v>
      </c>
      <c r="E219" s="15">
        <v>35</v>
      </c>
      <c r="F219" s="16" t="s">
        <v>30</v>
      </c>
      <c r="G219" s="16" t="s">
        <v>13</v>
      </c>
      <c r="H219" s="16" t="s">
        <v>32</v>
      </c>
      <c r="I219" s="16" t="s">
        <v>57</v>
      </c>
      <c r="J219" s="16" t="s">
        <v>49</v>
      </c>
      <c r="K219" s="17" t="s">
        <v>1023</v>
      </c>
      <c r="M219" t="s">
        <v>36</v>
      </c>
      <c r="N219" t="s">
        <v>631</v>
      </c>
      <c r="O219" t="s">
        <v>60</v>
      </c>
      <c r="P219" s="15">
        <v>22</v>
      </c>
      <c r="Q219" s="18">
        <v>101731</v>
      </c>
      <c r="R219" s="19">
        <v>22</v>
      </c>
      <c r="S219" s="14">
        <v>4</v>
      </c>
      <c r="T219" s="7">
        <v>63</v>
      </c>
      <c r="U219" s="15">
        <v>1</v>
      </c>
      <c r="V219" s="15">
        <v>3</v>
      </c>
      <c r="W219" s="15">
        <v>62</v>
      </c>
      <c r="X219" t="s">
        <v>39</v>
      </c>
      <c r="Y219" t="s">
        <v>62</v>
      </c>
      <c r="Z219" s="14">
        <v>3.2</v>
      </c>
      <c r="AA219" s="12">
        <f>YEAR(Table1[Hire_Date])</f>
        <v>2023</v>
      </c>
      <c r="AB21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220" spans="1:28" x14ac:dyDescent="0.25">
      <c r="A220" t="s">
        <v>1024</v>
      </c>
      <c r="B220" s="16" t="s">
        <v>1025</v>
      </c>
      <c r="C220" s="16" t="s">
        <v>1026</v>
      </c>
      <c r="D220" t="s">
        <v>29</v>
      </c>
      <c r="E220" s="15">
        <v>29</v>
      </c>
      <c r="F220" s="16" t="s">
        <v>124</v>
      </c>
      <c r="G220" s="16" t="s">
        <v>141</v>
      </c>
      <c r="H220" s="16" t="s">
        <v>32</v>
      </c>
      <c r="I220" s="16" t="s">
        <v>48</v>
      </c>
      <c r="J220" s="16" t="s">
        <v>49</v>
      </c>
      <c r="K220" s="17" t="s">
        <v>644</v>
      </c>
      <c r="M220" t="s">
        <v>36</v>
      </c>
      <c r="N220" t="s">
        <v>505</v>
      </c>
      <c r="O220" t="s">
        <v>52</v>
      </c>
      <c r="P220" s="15">
        <v>21</v>
      </c>
      <c r="Q220" s="18">
        <v>169182</v>
      </c>
      <c r="R220" s="19">
        <v>18</v>
      </c>
      <c r="S220" s="14">
        <v>4.3</v>
      </c>
      <c r="T220" s="7">
        <v>96</v>
      </c>
      <c r="U220" s="15">
        <v>8</v>
      </c>
      <c r="V220" s="15">
        <v>9</v>
      </c>
      <c r="W220" s="15">
        <v>9</v>
      </c>
      <c r="X220" t="s">
        <v>61</v>
      </c>
      <c r="Y220" t="s">
        <v>40</v>
      </c>
      <c r="Z220" s="14">
        <v>3.8</v>
      </c>
      <c r="AA220" s="12">
        <f>YEAR(Table1[Hire_Date])</f>
        <v>2022</v>
      </c>
      <c r="AB22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221" spans="1:28" x14ac:dyDescent="0.25">
      <c r="A221" t="s">
        <v>1027</v>
      </c>
      <c r="B221" s="16" t="s">
        <v>1028</v>
      </c>
      <c r="C221" s="16" t="s">
        <v>1029</v>
      </c>
      <c r="D221" t="s">
        <v>29</v>
      </c>
      <c r="E221" s="15">
        <v>21</v>
      </c>
      <c r="F221" s="16" t="s">
        <v>45</v>
      </c>
      <c r="G221" s="16" t="s">
        <v>46</v>
      </c>
      <c r="H221" s="16" t="s">
        <v>32</v>
      </c>
      <c r="I221" s="16" t="s">
        <v>48</v>
      </c>
      <c r="J221" s="16" t="s">
        <v>34</v>
      </c>
      <c r="K221" s="17" t="s">
        <v>1030</v>
      </c>
      <c r="L221" s="17" t="s">
        <v>1031</v>
      </c>
      <c r="M221" t="s">
        <v>76</v>
      </c>
      <c r="N221" t="s">
        <v>234</v>
      </c>
      <c r="O221" t="s">
        <v>52</v>
      </c>
      <c r="P221" s="15">
        <v>19</v>
      </c>
      <c r="Q221" s="18">
        <v>78657</v>
      </c>
      <c r="R221" s="19">
        <v>13</v>
      </c>
      <c r="S221" s="14">
        <v>3.1</v>
      </c>
      <c r="T221" s="7">
        <v>65</v>
      </c>
      <c r="U221" s="15">
        <v>17</v>
      </c>
      <c r="V221" s="15">
        <v>44</v>
      </c>
      <c r="W221" s="15">
        <v>37</v>
      </c>
      <c r="X221" t="s">
        <v>61</v>
      </c>
      <c r="Y221" t="s">
        <v>78</v>
      </c>
      <c r="Z221" s="14">
        <v>9.6</v>
      </c>
      <c r="AA221" s="12">
        <f>YEAR(Table1[Hire_Date])</f>
        <v>2016</v>
      </c>
      <c r="AB22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222" spans="1:28" x14ac:dyDescent="0.25">
      <c r="A222" t="s">
        <v>1032</v>
      </c>
      <c r="B222" s="16" t="s">
        <v>1033</v>
      </c>
      <c r="C222" s="16" t="s">
        <v>1034</v>
      </c>
      <c r="D222" t="s">
        <v>29</v>
      </c>
      <c r="E222" s="15">
        <v>47</v>
      </c>
      <c r="F222" s="16" t="s">
        <v>124</v>
      </c>
      <c r="G222" s="16" t="s">
        <v>104</v>
      </c>
      <c r="H222" s="16" t="s">
        <v>83</v>
      </c>
      <c r="I222" s="16" t="s">
        <v>48</v>
      </c>
      <c r="J222" s="16" t="s">
        <v>34</v>
      </c>
      <c r="K222" s="17" t="s">
        <v>1035</v>
      </c>
      <c r="M222" t="s">
        <v>36</v>
      </c>
      <c r="N222" t="s">
        <v>654</v>
      </c>
      <c r="O222" t="s">
        <v>60</v>
      </c>
      <c r="P222" s="15">
        <v>24</v>
      </c>
      <c r="Q222" s="18">
        <v>164907</v>
      </c>
      <c r="R222" s="19">
        <v>20</v>
      </c>
      <c r="S222" s="14">
        <v>3.5</v>
      </c>
      <c r="T222" s="7">
        <v>98</v>
      </c>
      <c r="U222" s="15">
        <v>11</v>
      </c>
      <c r="V222" s="15">
        <v>31</v>
      </c>
      <c r="W222" s="15">
        <v>42</v>
      </c>
      <c r="X222" t="s">
        <v>61</v>
      </c>
      <c r="Y222" t="s">
        <v>78</v>
      </c>
      <c r="Z222" s="14">
        <v>3.9</v>
      </c>
      <c r="AA222" s="12">
        <f>YEAR(Table1[Hire_Date])</f>
        <v>2022</v>
      </c>
      <c r="AB22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223" spans="1:28" x14ac:dyDescent="0.25">
      <c r="A223" t="s">
        <v>1036</v>
      </c>
      <c r="B223" s="16" t="s">
        <v>1037</v>
      </c>
      <c r="C223" s="16" t="s">
        <v>1038</v>
      </c>
      <c r="D223" t="s">
        <v>29</v>
      </c>
      <c r="E223" s="15">
        <v>56</v>
      </c>
      <c r="F223" s="16" t="s">
        <v>90</v>
      </c>
      <c r="G223" s="16" t="s">
        <v>281</v>
      </c>
      <c r="H223" s="16" t="s">
        <v>56</v>
      </c>
      <c r="I223" s="16" t="s">
        <v>48</v>
      </c>
      <c r="J223" s="16" t="s">
        <v>34</v>
      </c>
      <c r="K223" s="17" t="s">
        <v>1039</v>
      </c>
      <c r="L223" s="17" t="s">
        <v>1040</v>
      </c>
      <c r="M223" t="s">
        <v>76</v>
      </c>
      <c r="N223" t="s">
        <v>219</v>
      </c>
      <c r="O223" t="s">
        <v>52</v>
      </c>
      <c r="P223" s="15">
        <v>5</v>
      </c>
      <c r="Q223" s="18">
        <v>69781</v>
      </c>
      <c r="R223" s="19">
        <v>15</v>
      </c>
      <c r="S223" s="14">
        <v>3.1</v>
      </c>
      <c r="T223" s="7">
        <v>95</v>
      </c>
      <c r="U223" s="15">
        <v>6</v>
      </c>
      <c r="V223" s="15">
        <v>46</v>
      </c>
      <c r="W223" s="15">
        <v>1</v>
      </c>
      <c r="X223" t="s">
        <v>39</v>
      </c>
      <c r="Y223" t="s">
        <v>62</v>
      </c>
      <c r="Z223" s="14">
        <v>9.1</v>
      </c>
      <c r="AA223" s="12">
        <f>YEAR(Table1[Hire_Date])</f>
        <v>2017</v>
      </c>
      <c r="AB22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224" spans="1:28" x14ac:dyDescent="0.25">
      <c r="A224" t="s">
        <v>1041</v>
      </c>
      <c r="B224" s="16" t="s">
        <v>1042</v>
      </c>
      <c r="C224" s="16" t="s">
        <v>1043</v>
      </c>
      <c r="D224" t="s">
        <v>29</v>
      </c>
      <c r="E224" s="15">
        <v>31</v>
      </c>
      <c r="F224" s="16" t="s">
        <v>124</v>
      </c>
      <c r="G224" s="16" t="s">
        <v>13</v>
      </c>
      <c r="H224" s="16" t="s">
        <v>66</v>
      </c>
      <c r="I224" s="16" t="s">
        <v>48</v>
      </c>
      <c r="J224" s="16" t="s">
        <v>34</v>
      </c>
      <c r="K224" s="17" t="s">
        <v>1044</v>
      </c>
      <c r="M224" t="s">
        <v>36</v>
      </c>
      <c r="N224" t="s">
        <v>858</v>
      </c>
      <c r="O224" t="s">
        <v>38</v>
      </c>
      <c r="P224" s="15">
        <v>11</v>
      </c>
      <c r="Q224" s="18">
        <v>85260</v>
      </c>
      <c r="R224" s="19">
        <v>25</v>
      </c>
      <c r="S224" s="14">
        <v>4.3</v>
      </c>
      <c r="T224" s="7">
        <v>76</v>
      </c>
      <c r="U224" s="15">
        <v>14</v>
      </c>
      <c r="V224" s="15">
        <v>55</v>
      </c>
      <c r="W224" s="15">
        <v>72</v>
      </c>
      <c r="X224" t="s">
        <v>61</v>
      </c>
      <c r="Y224" t="s">
        <v>78</v>
      </c>
      <c r="Z224" s="14">
        <v>5.9</v>
      </c>
      <c r="AA224" s="12">
        <f>YEAR(Table1[Hire_Date])</f>
        <v>2020</v>
      </c>
      <c r="AB22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225" spans="1:28" x14ac:dyDescent="0.25">
      <c r="A225" t="s">
        <v>1045</v>
      </c>
      <c r="B225" s="16" t="s">
        <v>1046</v>
      </c>
      <c r="C225" s="16" t="s">
        <v>1047</v>
      </c>
      <c r="D225" t="s">
        <v>29</v>
      </c>
      <c r="E225" s="15">
        <v>36</v>
      </c>
      <c r="F225" s="16" t="s">
        <v>30</v>
      </c>
      <c r="G225" s="16" t="s">
        <v>31</v>
      </c>
      <c r="H225" s="16" t="s">
        <v>66</v>
      </c>
      <c r="I225" s="16" t="s">
        <v>33</v>
      </c>
      <c r="J225" s="16" t="s">
        <v>34</v>
      </c>
      <c r="K225" s="17" t="s">
        <v>1048</v>
      </c>
      <c r="M225" t="s">
        <v>36</v>
      </c>
      <c r="N225" t="s">
        <v>323</v>
      </c>
      <c r="O225" t="s">
        <v>38</v>
      </c>
      <c r="P225" s="15">
        <v>11</v>
      </c>
      <c r="Q225" s="18">
        <v>172210</v>
      </c>
      <c r="R225" s="19">
        <v>24</v>
      </c>
      <c r="S225" s="14">
        <v>3</v>
      </c>
      <c r="T225" s="7">
        <v>66</v>
      </c>
      <c r="U225" s="15">
        <v>15</v>
      </c>
      <c r="V225" s="15">
        <v>30</v>
      </c>
      <c r="W225" s="15">
        <v>25</v>
      </c>
      <c r="X225" t="s">
        <v>39</v>
      </c>
      <c r="Y225" t="s">
        <v>62</v>
      </c>
      <c r="Z225" s="14">
        <v>9.6999999999999993</v>
      </c>
      <c r="AA225" s="12">
        <f>YEAR(Table1[Hire_Date])</f>
        <v>2016</v>
      </c>
      <c r="AB22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226" spans="1:28" x14ac:dyDescent="0.25">
      <c r="A226" t="s">
        <v>1049</v>
      </c>
      <c r="B226" s="16" t="s">
        <v>1050</v>
      </c>
      <c r="C226" s="16" t="s">
        <v>1051</v>
      </c>
      <c r="D226" t="s">
        <v>44</v>
      </c>
      <c r="E226" s="15">
        <v>22</v>
      </c>
      <c r="F226" s="16" t="s">
        <v>30</v>
      </c>
      <c r="G226" s="16" t="s">
        <v>13</v>
      </c>
      <c r="H226" s="16" t="s">
        <v>47</v>
      </c>
      <c r="I226" s="16" t="s">
        <v>57</v>
      </c>
      <c r="J226" s="16" t="s">
        <v>34</v>
      </c>
      <c r="K226" s="17" t="s">
        <v>1052</v>
      </c>
      <c r="M226" t="s">
        <v>36</v>
      </c>
      <c r="N226" t="s">
        <v>165</v>
      </c>
      <c r="O226" t="s">
        <v>38</v>
      </c>
      <c r="P226" s="15">
        <v>28</v>
      </c>
      <c r="Q226" s="18">
        <v>68445</v>
      </c>
      <c r="R226" s="19">
        <v>12</v>
      </c>
      <c r="S226" s="14">
        <v>4.8</v>
      </c>
      <c r="T226" s="7">
        <v>68</v>
      </c>
      <c r="U226" s="15">
        <v>18</v>
      </c>
      <c r="V226" s="15">
        <v>31</v>
      </c>
      <c r="W226" s="15">
        <v>57</v>
      </c>
      <c r="X226" t="s">
        <v>39</v>
      </c>
      <c r="Y226" t="s">
        <v>62</v>
      </c>
      <c r="Z226" s="14">
        <v>2.2000000000000002</v>
      </c>
      <c r="AA226" s="12">
        <f>YEAR(Table1[Hire_Date])</f>
        <v>2024</v>
      </c>
      <c r="AB22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227" spans="1:28" x14ac:dyDescent="0.25">
      <c r="A227" t="s">
        <v>1053</v>
      </c>
      <c r="B227" s="16" t="s">
        <v>1054</v>
      </c>
      <c r="C227" s="16" t="s">
        <v>1055</v>
      </c>
      <c r="D227" t="s">
        <v>29</v>
      </c>
      <c r="E227" s="15">
        <v>26</v>
      </c>
      <c r="F227" s="16" t="s">
        <v>30</v>
      </c>
      <c r="G227" s="16" t="s">
        <v>13</v>
      </c>
      <c r="H227" s="16" t="s">
        <v>32</v>
      </c>
      <c r="I227" s="16" t="s">
        <v>33</v>
      </c>
      <c r="J227" s="16" t="s">
        <v>34</v>
      </c>
      <c r="K227" s="17" t="s">
        <v>1056</v>
      </c>
      <c r="M227" t="s">
        <v>36</v>
      </c>
      <c r="N227" t="s">
        <v>337</v>
      </c>
      <c r="O227" t="s">
        <v>52</v>
      </c>
      <c r="P227" s="15">
        <v>33</v>
      </c>
      <c r="Q227" s="18">
        <v>91232</v>
      </c>
      <c r="R227" s="19">
        <v>6</v>
      </c>
      <c r="S227" s="14">
        <v>4.0999999999999996</v>
      </c>
      <c r="T227" s="7">
        <v>83</v>
      </c>
      <c r="U227" s="15">
        <v>15</v>
      </c>
      <c r="V227" s="15">
        <v>20</v>
      </c>
      <c r="W227" s="15">
        <v>34</v>
      </c>
      <c r="X227" t="s">
        <v>39</v>
      </c>
      <c r="Y227" t="s">
        <v>62</v>
      </c>
      <c r="Z227" s="14">
        <v>3.1</v>
      </c>
      <c r="AA227" s="12">
        <f>YEAR(Table1[Hire_Date])</f>
        <v>2023</v>
      </c>
      <c r="AB22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228" spans="1:28" x14ac:dyDescent="0.25">
      <c r="A228" t="s">
        <v>1057</v>
      </c>
      <c r="B228" s="16" t="s">
        <v>1058</v>
      </c>
      <c r="C228" s="16" t="s">
        <v>1059</v>
      </c>
      <c r="D228" t="s">
        <v>44</v>
      </c>
      <c r="E228" s="15">
        <v>40</v>
      </c>
      <c r="F228" s="16" t="s">
        <v>103</v>
      </c>
      <c r="G228" s="16" t="s">
        <v>13</v>
      </c>
      <c r="H228" s="16" t="s">
        <v>32</v>
      </c>
      <c r="I228" s="16" t="s">
        <v>48</v>
      </c>
      <c r="J228" s="16" t="s">
        <v>34</v>
      </c>
      <c r="K228" s="17" t="s">
        <v>1060</v>
      </c>
      <c r="M228" t="s">
        <v>36</v>
      </c>
      <c r="N228" t="s">
        <v>395</v>
      </c>
      <c r="O228" t="s">
        <v>38</v>
      </c>
      <c r="P228" s="15">
        <v>8</v>
      </c>
      <c r="Q228" s="18">
        <v>175877</v>
      </c>
      <c r="R228" s="19">
        <v>21</v>
      </c>
      <c r="S228" s="14">
        <v>4</v>
      </c>
      <c r="T228" s="7">
        <v>87</v>
      </c>
      <c r="U228" s="15">
        <v>15</v>
      </c>
      <c r="V228" s="15">
        <v>12</v>
      </c>
      <c r="W228" s="15">
        <v>5</v>
      </c>
      <c r="X228" t="s">
        <v>61</v>
      </c>
      <c r="Y228" t="s">
        <v>78</v>
      </c>
      <c r="Z228" s="14">
        <v>3.1</v>
      </c>
      <c r="AA228" s="12">
        <f>YEAR(Table1[Hire_Date])</f>
        <v>2023</v>
      </c>
      <c r="AB22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229" spans="1:28" x14ac:dyDescent="0.25">
      <c r="A229" t="s">
        <v>1061</v>
      </c>
      <c r="B229" s="16" t="s">
        <v>1062</v>
      </c>
      <c r="C229" s="16" t="s">
        <v>1063</v>
      </c>
      <c r="D229" t="s">
        <v>29</v>
      </c>
      <c r="E229" s="15">
        <v>38</v>
      </c>
      <c r="F229" s="16" t="s">
        <v>124</v>
      </c>
      <c r="G229" s="16" t="s">
        <v>104</v>
      </c>
      <c r="H229" s="16" t="s">
        <v>83</v>
      </c>
      <c r="I229" s="16" t="s">
        <v>48</v>
      </c>
      <c r="J229" s="16" t="s">
        <v>34</v>
      </c>
      <c r="K229" s="17" t="s">
        <v>1064</v>
      </c>
      <c r="M229" t="s">
        <v>36</v>
      </c>
      <c r="N229" t="s">
        <v>348</v>
      </c>
      <c r="O229" t="s">
        <v>38</v>
      </c>
      <c r="P229" s="15">
        <v>22</v>
      </c>
      <c r="Q229" s="18">
        <v>57233</v>
      </c>
      <c r="R229" s="19">
        <v>9</v>
      </c>
      <c r="S229" s="14">
        <v>3.8</v>
      </c>
      <c r="T229" s="7">
        <v>99</v>
      </c>
      <c r="U229" s="15">
        <v>1</v>
      </c>
      <c r="V229" s="15">
        <v>4</v>
      </c>
      <c r="W229" s="15">
        <v>12</v>
      </c>
      <c r="X229" t="s">
        <v>61</v>
      </c>
      <c r="Y229" t="s">
        <v>78</v>
      </c>
      <c r="Z229" s="14">
        <v>5.7</v>
      </c>
      <c r="AA229" s="12">
        <f>YEAR(Table1[Hire_Date])</f>
        <v>2020</v>
      </c>
      <c r="AB22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230" spans="1:28" x14ac:dyDescent="0.25">
      <c r="A230" t="s">
        <v>1065</v>
      </c>
      <c r="B230" s="16" t="s">
        <v>1066</v>
      </c>
      <c r="C230" s="16" t="s">
        <v>1067</v>
      </c>
      <c r="D230" t="s">
        <v>44</v>
      </c>
      <c r="E230" s="15">
        <v>46</v>
      </c>
      <c r="F230" s="16" t="s">
        <v>72</v>
      </c>
      <c r="G230" s="16" t="s">
        <v>135</v>
      </c>
      <c r="H230" s="16" t="s">
        <v>47</v>
      </c>
      <c r="I230" s="16" t="s">
        <v>33</v>
      </c>
      <c r="J230" s="16" t="s">
        <v>49</v>
      </c>
      <c r="K230" s="17" t="s">
        <v>1068</v>
      </c>
      <c r="M230" t="s">
        <v>36</v>
      </c>
      <c r="N230" t="s">
        <v>1069</v>
      </c>
      <c r="O230" t="s">
        <v>38</v>
      </c>
      <c r="P230" s="15">
        <v>18</v>
      </c>
      <c r="Q230" s="18">
        <v>80370</v>
      </c>
      <c r="R230" s="19">
        <v>11</v>
      </c>
      <c r="S230" s="14">
        <v>3.7</v>
      </c>
      <c r="T230" s="7">
        <v>71</v>
      </c>
      <c r="U230" s="15">
        <v>12</v>
      </c>
      <c r="V230" s="15">
        <v>13</v>
      </c>
      <c r="W230" s="15">
        <v>18</v>
      </c>
      <c r="X230" t="s">
        <v>61</v>
      </c>
      <c r="Y230" t="s">
        <v>78</v>
      </c>
      <c r="Z230" s="14">
        <v>8.9</v>
      </c>
      <c r="AA230" s="12">
        <f>YEAR(Table1[Hire_Date])</f>
        <v>2017</v>
      </c>
      <c r="AB23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231" spans="1:28" x14ac:dyDescent="0.25">
      <c r="A231" t="s">
        <v>1070</v>
      </c>
      <c r="B231" s="16" t="s">
        <v>1071</v>
      </c>
      <c r="C231" s="16" t="s">
        <v>1072</v>
      </c>
      <c r="D231" t="s">
        <v>29</v>
      </c>
      <c r="E231" s="15">
        <v>42</v>
      </c>
      <c r="F231" s="16" t="s">
        <v>124</v>
      </c>
      <c r="G231" s="16" t="s">
        <v>104</v>
      </c>
      <c r="H231" s="16" t="s">
        <v>83</v>
      </c>
      <c r="I231" s="16" t="s">
        <v>57</v>
      </c>
      <c r="J231" s="16" t="s">
        <v>34</v>
      </c>
      <c r="K231" s="17" t="s">
        <v>1073</v>
      </c>
      <c r="M231" t="s">
        <v>36</v>
      </c>
      <c r="N231" t="s">
        <v>333</v>
      </c>
      <c r="O231" t="s">
        <v>38</v>
      </c>
      <c r="P231" s="15">
        <v>2</v>
      </c>
      <c r="Q231" s="18">
        <v>91219</v>
      </c>
      <c r="R231" s="19">
        <v>7</v>
      </c>
      <c r="S231" s="14">
        <v>3</v>
      </c>
      <c r="T231" s="7">
        <v>97</v>
      </c>
      <c r="U231" s="15">
        <v>17</v>
      </c>
      <c r="V231" s="15">
        <v>22</v>
      </c>
      <c r="W231" s="15">
        <v>55</v>
      </c>
      <c r="X231" t="s">
        <v>61</v>
      </c>
      <c r="Y231" t="s">
        <v>40</v>
      </c>
      <c r="Z231" s="14">
        <v>5.4</v>
      </c>
      <c r="AA231" s="12">
        <f>YEAR(Table1[Hire_Date])</f>
        <v>2021</v>
      </c>
      <c r="AB23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232" spans="1:28" x14ac:dyDescent="0.25">
      <c r="A232" t="s">
        <v>1074</v>
      </c>
      <c r="B232" s="16" t="s">
        <v>1075</v>
      </c>
      <c r="C232" s="16" t="s">
        <v>1076</v>
      </c>
      <c r="D232" t="s">
        <v>44</v>
      </c>
      <c r="E232" s="15">
        <v>25</v>
      </c>
      <c r="F232" s="16" t="s">
        <v>90</v>
      </c>
      <c r="G232" s="16" t="s">
        <v>281</v>
      </c>
      <c r="H232" s="16" t="s">
        <v>56</v>
      </c>
      <c r="I232" s="16" t="s">
        <v>57</v>
      </c>
      <c r="J232" s="16" t="s">
        <v>49</v>
      </c>
      <c r="K232" s="17" t="s">
        <v>1077</v>
      </c>
      <c r="M232" t="s">
        <v>36</v>
      </c>
      <c r="N232" t="s">
        <v>550</v>
      </c>
      <c r="O232" t="s">
        <v>60</v>
      </c>
      <c r="P232" s="15">
        <v>23</v>
      </c>
      <c r="Q232" s="18">
        <v>54370</v>
      </c>
      <c r="R232" s="19">
        <v>23</v>
      </c>
      <c r="S232" s="14">
        <v>3.3</v>
      </c>
      <c r="T232" s="7">
        <v>59</v>
      </c>
      <c r="U232" s="15">
        <v>15</v>
      </c>
      <c r="V232" s="15">
        <v>29</v>
      </c>
      <c r="W232" s="15">
        <v>10</v>
      </c>
      <c r="X232" t="s">
        <v>61</v>
      </c>
      <c r="Y232" t="s">
        <v>40</v>
      </c>
      <c r="Z232" s="14">
        <v>5.0999999999999996</v>
      </c>
      <c r="AA232" s="12">
        <f>YEAR(Table1[Hire_Date])</f>
        <v>2021</v>
      </c>
      <c r="AB23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233" spans="1:28" x14ac:dyDescent="0.25">
      <c r="A233" t="s">
        <v>1078</v>
      </c>
      <c r="B233" s="16" t="s">
        <v>1079</v>
      </c>
      <c r="C233" s="16" t="s">
        <v>1080</v>
      </c>
      <c r="D233" t="s">
        <v>44</v>
      </c>
      <c r="E233" s="15">
        <v>31</v>
      </c>
      <c r="F233" s="16" t="s">
        <v>103</v>
      </c>
      <c r="G233" s="16" t="s">
        <v>147</v>
      </c>
      <c r="H233" s="16" t="s">
        <v>83</v>
      </c>
      <c r="I233" s="16" t="s">
        <v>48</v>
      </c>
      <c r="J233" s="16" t="s">
        <v>49</v>
      </c>
      <c r="K233" s="17" t="s">
        <v>1081</v>
      </c>
      <c r="M233" t="s">
        <v>36</v>
      </c>
      <c r="N233" t="s">
        <v>219</v>
      </c>
      <c r="O233" t="s">
        <v>52</v>
      </c>
      <c r="P233" s="15">
        <v>32</v>
      </c>
      <c r="Q233" s="18">
        <v>45108</v>
      </c>
      <c r="R233" s="19">
        <v>12</v>
      </c>
      <c r="S233" s="14">
        <v>3.9</v>
      </c>
      <c r="T233" s="7">
        <v>99</v>
      </c>
      <c r="U233" s="15">
        <v>8</v>
      </c>
      <c r="V233" s="15">
        <v>50</v>
      </c>
      <c r="W233" s="15">
        <v>21</v>
      </c>
      <c r="X233" t="s">
        <v>39</v>
      </c>
      <c r="Y233" t="s">
        <v>78</v>
      </c>
      <c r="Z233" s="14">
        <v>7.7</v>
      </c>
      <c r="AA233" s="12">
        <f>YEAR(Table1[Hire_Date])</f>
        <v>2018</v>
      </c>
      <c r="AB23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234" spans="1:28" x14ac:dyDescent="0.25">
      <c r="A234" t="s">
        <v>1082</v>
      </c>
      <c r="B234" s="16" t="s">
        <v>1083</v>
      </c>
      <c r="C234" s="16" t="s">
        <v>1084</v>
      </c>
      <c r="D234" t="s">
        <v>29</v>
      </c>
      <c r="E234" s="15">
        <v>28</v>
      </c>
      <c r="F234" s="16" t="s">
        <v>124</v>
      </c>
      <c r="G234" s="16" t="s">
        <v>13</v>
      </c>
      <c r="H234" s="16" t="s">
        <v>56</v>
      </c>
      <c r="I234" s="16" t="s">
        <v>33</v>
      </c>
      <c r="J234" s="16" t="s">
        <v>34</v>
      </c>
      <c r="K234" s="17" t="s">
        <v>1085</v>
      </c>
      <c r="M234" t="s">
        <v>36</v>
      </c>
      <c r="N234" t="s">
        <v>385</v>
      </c>
      <c r="O234" t="s">
        <v>60</v>
      </c>
      <c r="P234" s="15">
        <v>22</v>
      </c>
      <c r="Q234" s="18">
        <v>131034</v>
      </c>
      <c r="R234" s="19">
        <v>10</v>
      </c>
      <c r="S234" s="14">
        <v>3.5</v>
      </c>
      <c r="T234" s="7">
        <v>50</v>
      </c>
      <c r="U234" s="15">
        <v>2</v>
      </c>
      <c r="V234" s="15">
        <v>1</v>
      </c>
      <c r="W234" s="15">
        <v>68</v>
      </c>
      <c r="X234" t="s">
        <v>39</v>
      </c>
      <c r="Y234" t="s">
        <v>78</v>
      </c>
      <c r="Z234" s="14">
        <v>3.1</v>
      </c>
      <c r="AA234" s="12">
        <f>YEAR(Table1[Hire_Date])</f>
        <v>2023</v>
      </c>
      <c r="AB23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235" spans="1:28" x14ac:dyDescent="0.25">
      <c r="A235" t="s">
        <v>1086</v>
      </c>
      <c r="B235" s="16" t="s">
        <v>1087</v>
      </c>
      <c r="C235" s="16" t="s">
        <v>1088</v>
      </c>
      <c r="D235" t="s">
        <v>44</v>
      </c>
      <c r="E235" s="15">
        <v>48</v>
      </c>
      <c r="F235" s="16" t="s">
        <v>30</v>
      </c>
      <c r="G235" s="16" t="s">
        <v>31</v>
      </c>
      <c r="H235" s="16" t="s">
        <v>47</v>
      </c>
      <c r="I235" s="16" t="s">
        <v>57</v>
      </c>
      <c r="J235" s="16" t="s">
        <v>49</v>
      </c>
      <c r="K235" s="17" t="s">
        <v>1089</v>
      </c>
      <c r="M235" t="s">
        <v>36</v>
      </c>
      <c r="N235" t="s">
        <v>59</v>
      </c>
      <c r="O235" t="s">
        <v>60</v>
      </c>
      <c r="P235" s="15">
        <v>6</v>
      </c>
      <c r="Q235" s="18">
        <v>164668</v>
      </c>
      <c r="R235" s="19">
        <v>23</v>
      </c>
      <c r="S235" s="14">
        <v>3.1</v>
      </c>
      <c r="T235" s="7">
        <v>72</v>
      </c>
      <c r="U235" s="15">
        <v>2</v>
      </c>
      <c r="V235" s="15">
        <v>13</v>
      </c>
      <c r="W235" s="15">
        <v>2</v>
      </c>
      <c r="X235" t="s">
        <v>39</v>
      </c>
      <c r="Y235" t="s">
        <v>62</v>
      </c>
      <c r="Z235" s="14">
        <v>4.9000000000000004</v>
      </c>
      <c r="AA235" s="12">
        <f>YEAR(Table1[Hire_Date])</f>
        <v>2021</v>
      </c>
      <c r="AB23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236" spans="1:28" x14ac:dyDescent="0.25">
      <c r="A236" t="s">
        <v>1090</v>
      </c>
      <c r="B236" s="16" t="s">
        <v>1091</v>
      </c>
      <c r="C236" s="16" t="s">
        <v>1092</v>
      </c>
      <c r="D236" t="s">
        <v>44</v>
      </c>
      <c r="E236" s="15">
        <v>39</v>
      </c>
      <c r="F236" s="16" t="s">
        <v>124</v>
      </c>
      <c r="G236" s="16" t="s">
        <v>141</v>
      </c>
      <c r="H236" s="16" t="s">
        <v>83</v>
      </c>
      <c r="I236" s="16" t="s">
        <v>33</v>
      </c>
      <c r="J236" s="16" t="s">
        <v>49</v>
      </c>
      <c r="K236" s="17" t="s">
        <v>1093</v>
      </c>
      <c r="M236" t="s">
        <v>36</v>
      </c>
      <c r="N236" t="s">
        <v>106</v>
      </c>
      <c r="O236" t="s">
        <v>52</v>
      </c>
      <c r="P236" s="15">
        <v>8</v>
      </c>
      <c r="Q236" s="18">
        <v>93998</v>
      </c>
      <c r="R236" s="19">
        <v>22</v>
      </c>
      <c r="S236" s="14">
        <v>4</v>
      </c>
      <c r="T236" s="7">
        <v>96</v>
      </c>
      <c r="U236" s="15">
        <v>13</v>
      </c>
      <c r="V236" s="15">
        <v>51</v>
      </c>
      <c r="W236" s="15">
        <v>24</v>
      </c>
      <c r="X236" t="s">
        <v>61</v>
      </c>
      <c r="Y236" t="s">
        <v>40</v>
      </c>
      <c r="Z236" s="14">
        <v>1.1000000000000001</v>
      </c>
      <c r="AA236" s="12">
        <f>YEAR(Table1[Hire_Date])</f>
        <v>2025</v>
      </c>
      <c r="AB23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237" spans="1:28" x14ac:dyDescent="0.25">
      <c r="A237" t="s">
        <v>1094</v>
      </c>
      <c r="B237" s="16" t="s">
        <v>1095</v>
      </c>
      <c r="C237" s="16" t="s">
        <v>1096</v>
      </c>
      <c r="D237" t="s">
        <v>44</v>
      </c>
      <c r="E237" s="15">
        <v>29</v>
      </c>
      <c r="F237" s="16" t="s">
        <v>124</v>
      </c>
      <c r="G237" s="16" t="s">
        <v>104</v>
      </c>
      <c r="H237" s="16" t="s">
        <v>56</v>
      </c>
      <c r="I237" s="16" t="s">
        <v>48</v>
      </c>
      <c r="J237" s="16" t="s">
        <v>34</v>
      </c>
      <c r="K237" s="17" t="s">
        <v>1097</v>
      </c>
      <c r="M237" t="s">
        <v>36</v>
      </c>
      <c r="N237" t="s">
        <v>189</v>
      </c>
      <c r="O237" t="s">
        <v>38</v>
      </c>
      <c r="P237" s="15">
        <v>29</v>
      </c>
      <c r="Q237" s="18">
        <v>62583</v>
      </c>
      <c r="R237" s="19">
        <v>17</v>
      </c>
      <c r="S237" s="14">
        <v>4.4000000000000004</v>
      </c>
      <c r="T237" s="7">
        <v>94</v>
      </c>
      <c r="U237" s="15">
        <v>20</v>
      </c>
      <c r="V237" s="15">
        <v>39</v>
      </c>
      <c r="W237" s="15">
        <v>52</v>
      </c>
      <c r="X237" t="s">
        <v>61</v>
      </c>
      <c r="Y237" t="s">
        <v>40</v>
      </c>
      <c r="Z237" s="14">
        <v>4.2</v>
      </c>
      <c r="AA237" s="12">
        <f>YEAR(Table1[Hire_Date])</f>
        <v>2022</v>
      </c>
      <c r="AB23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238" spans="1:28" x14ac:dyDescent="0.25">
      <c r="A238" t="s">
        <v>1098</v>
      </c>
      <c r="B238" s="16" t="s">
        <v>1099</v>
      </c>
      <c r="C238" s="16" t="s">
        <v>1100</v>
      </c>
      <c r="D238" t="s">
        <v>44</v>
      </c>
      <c r="E238" s="15">
        <v>53</v>
      </c>
      <c r="F238" s="16" t="s">
        <v>30</v>
      </c>
      <c r="G238" s="16" t="s">
        <v>31</v>
      </c>
      <c r="H238" s="16" t="s">
        <v>47</v>
      </c>
      <c r="I238" s="16" t="s">
        <v>57</v>
      </c>
      <c r="J238" s="16" t="s">
        <v>34</v>
      </c>
      <c r="K238" s="17" t="s">
        <v>1101</v>
      </c>
      <c r="M238" t="s">
        <v>36</v>
      </c>
      <c r="N238" t="s">
        <v>268</v>
      </c>
      <c r="O238" t="s">
        <v>60</v>
      </c>
      <c r="P238" s="15">
        <v>16</v>
      </c>
      <c r="Q238" s="18">
        <v>179096</v>
      </c>
      <c r="R238" s="19">
        <v>14</v>
      </c>
      <c r="S238" s="14">
        <v>4.2</v>
      </c>
      <c r="T238" s="7">
        <v>83</v>
      </c>
      <c r="U238" s="15">
        <v>7</v>
      </c>
      <c r="V238" s="15">
        <v>40</v>
      </c>
      <c r="W238" s="15">
        <v>18</v>
      </c>
      <c r="X238" t="s">
        <v>39</v>
      </c>
      <c r="Y238" t="s">
        <v>62</v>
      </c>
      <c r="Z238" s="14">
        <v>10.5</v>
      </c>
      <c r="AA238" s="12">
        <f>YEAR(Table1[Hire_Date])</f>
        <v>2016</v>
      </c>
      <c r="AB23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239" spans="1:28" x14ac:dyDescent="0.25">
      <c r="A239" t="s">
        <v>1102</v>
      </c>
      <c r="B239" s="16" t="s">
        <v>1103</v>
      </c>
      <c r="C239" s="16" t="s">
        <v>1104</v>
      </c>
      <c r="D239" t="s">
        <v>44</v>
      </c>
      <c r="E239" s="15">
        <v>23</v>
      </c>
      <c r="F239" s="16" t="s">
        <v>103</v>
      </c>
      <c r="G239" s="16" t="s">
        <v>104</v>
      </c>
      <c r="H239" s="16" t="s">
        <v>32</v>
      </c>
      <c r="I239" s="16" t="s">
        <v>48</v>
      </c>
      <c r="J239" s="16" t="s">
        <v>34</v>
      </c>
      <c r="K239" s="17" t="s">
        <v>1105</v>
      </c>
      <c r="M239" t="s">
        <v>36</v>
      </c>
      <c r="N239" t="s">
        <v>189</v>
      </c>
      <c r="O239" t="s">
        <v>52</v>
      </c>
      <c r="P239" s="15">
        <v>35</v>
      </c>
      <c r="Q239" s="18">
        <v>154250</v>
      </c>
      <c r="R239" s="19">
        <v>13</v>
      </c>
      <c r="S239" s="14">
        <v>3.2</v>
      </c>
      <c r="T239" s="7">
        <v>55</v>
      </c>
      <c r="U239" s="15">
        <v>14</v>
      </c>
      <c r="V239" s="15">
        <v>36</v>
      </c>
      <c r="W239" s="15">
        <v>63</v>
      </c>
      <c r="X239" t="s">
        <v>61</v>
      </c>
      <c r="Y239" t="s">
        <v>62</v>
      </c>
      <c r="Z239" s="14">
        <v>1.2</v>
      </c>
      <c r="AA239" s="12">
        <f>YEAR(Table1[Hire_Date])</f>
        <v>2025</v>
      </c>
      <c r="AB23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240" spans="1:28" x14ac:dyDescent="0.25">
      <c r="A240" t="s">
        <v>1106</v>
      </c>
      <c r="B240" s="16" t="s">
        <v>1107</v>
      </c>
      <c r="C240" s="16" t="s">
        <v>1108</v>
      </c>
      <c r="D240" t="s">
        <v>44</v>
      </c>
      <c r="E240" s="15">
        <v>22</v>
      </c>
      <c r="F240" s="16" t="s">
        <v>30</v>
      </c>
      <c r="G240" s="16" t="s">
        <v>31</v>
      </c>
      <c r="H240" s="16" t="s">
        <v>47</v>
      </c>
      <c r="I240" s="16" t="s">
        <v>33</v>
      </c>
      <c r="J240" s="16" t="s">
        <v>34</v>
      </c>
      <c r="K240" s="17" t="s">
        <v>878</v>
      </c>
      <c r="M240" t="s">
        <v>36</v>
      </c>
      <c r="N240" t="s">
        <v>199</v>
      </c>
      <c r="O240" t="s">
        <v>52</v>
      </c>
      <c r="P240" s="15">
        <v>12</v>
      </c>
      <c r="Q240" s="18">
        <v>134023</v>
      </c>
      <c r="R240" s="19">
        <v>9</v>
      </c>
      <c r="S240" s="14">
        <v>4.0999999999999996</v>
      </c>
      <c r="T240" s="7">
        <v>93</v>
      </c>
      <c r="U240" s="15">
        <v>10</v>
      </c>
      <c r="V240" s="15">
        <v>0</v>
      </c>
      <c r="W240" s="15">
        <v>63</v>
      </c>
      <c r="X240" t="s">
        <v>39</v>
      </c>
      <c r="Y240" t="s">
        <v>78</v>
      </c>
      <c r="Z240" s="14">
        <v>2.4</v>
      </c>
      <c r="AA240" s="12">
        <f>YEAR(Table1[Hire_Date])</f>
        <v>2024</v>
      </c>
      <c r="AB24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241" spans="1:28" x14ac:dyDescent="0.25">
      <c r="A241" t="s">
        <v>1109</v>
      </c>
      <c r="B241" s="16" t="s">
        <v>1110</v>
      </c>
      <c r="C241" s="16" t="s">
        <v>1111</v>
      </c>
      <c r="D241" t="s">
        <v>29</v>
      </c>
      <c r="E241" s="15">
        <v>31</v>
      </c>
      <c r="F241" s="16" t="s">
        <v>72</v>
      </c>
      <c r="G241" s="16" t="s">
        <v>135</v>
      </c>
      <c r="H241" s="16" t="s">
        <v>83</v>
      </c>
      <c r="I241" s="16" t="s">
        <v>33</v>
      </c>
      <c r="J241" s="16" t="s">
        <v>49</v>
      </c>
      <c r="K241" s="17" t="s">
        <v>1112</v>
      </c>
      <c r="L241" s="17" t="s">
        <v>1113</v>
      </c>
      <c r="M241" t="s">
        <v>76</v>
      </c>
      <c r="N241" t="s">
        <v>199</v>
      </c>
      <c r="O241" t="s">
        <v>60</v>
      </c>
      <c r="P241" s="15">
        <v>28</v>
      </c>
      <c r="Q241" s="18">
        <v>67586</v>
      </c>
      <c r="R241" s="19">
        <v>17</v>
      </c>
      <c r="S241" s="14">
        <v>3.7</v>
      </c>
      <c r="T241" s="7">
        <v>55</v>
      </c>
      <c r="U241" s="15">
        <v>11</v>
      </c>
      <c r="V241" s="15">
        <v>33</v>
      </c>
      <c r="W241" s="15">
        <v>43</v>
      </c>
      <c r="X241" t="s">
        <v>61</v>
      </c>
      <c r="Y241" t="s">
        <v>62</v>
      </c>
      <c r="Z241" s="14">
        <v>6.2</v>
      </c>
      <c r="AA241" s="12">
        <f>YEAR(Table1[Hire_Date])</f>
        <v>2020</v>
      </c>
      <c r="AB24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242" spans="1:28" x14ac:dyDescent="0.25">
      <c r="A242" t="s">
        <v>1114</v>
      </c>
      <c r="B242" s="16" t="s">
        <v>1115</v>
      </c>
      <c r="C242" s="16" t="s">
        <v>1116</v>
      </c>
      <c r="D242" t="s">
        <v>29</v>
      </c>
      <c r="E242" s="15">
        <v>31</v>
      </c>
      <c r="F242" s="16" t="s">
        <v>72</v>
      </c>
      <c r="G242" s="16" t="s">
        <v>135</v>
      </c>
      <c r="H242" s="16" t="s">
        <v>66</v>
      </c>
      <c r="I242" s="16" t="s">
        <v>57</v>
      </c>
      <c r="J242" s="16" t="s">
        <v>34</v>
      </c>
      <c r="K242" s="17" t="s">
        <v>1117</v>
      </c>
      <c r="M242" t="s">
        <v>36</v>
      </c>
      <c r="N242" t="s">
        <v>588</v>
      </c>
      <c r="O242" t="s">
        <v>38</v>
      </c>
      <c r="P242" s="15">
        <v>2</v>
      </c>
      <c r="Q242" s="18">
        <v>122666</v>
      </c>
      <c r="R242" s="19">
        <v>14</v>
      </c>
      <c r="S242" s="14">
        <v>2.6</v>
      </c>
      <c r="T242" s="7">
        <v>68</v>
      </c>
      <c r="U242" s="15">
        <v>3</v>
      </c>
      <c r="V242" s="15">
        <v>35</v>
      </c>
      <c r="W242" s="15">
        <v>15</v>
      </c>
      <c r="X242" t="s">
        <v>61</v>
      </c>
      <c r="Y242" t="s">
        <v>78</v>
      </c>
      <c r="Z242" s="14">
        <v>9.9</v>
      </c>
      <c r="AA242" s="12">
        <f>YEAR(Table1[Hire_Date])</f>
        <v>2016</v>
      </c>
      <c r="AB24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243" spans="1:28" x14ac:dyDescent="0.25">
      <c r="A243" t="s">
        <v>1118</v>
      </c>
      <c r="B243" s="16" t="s">
        <v>1119</v>
      </c>
      <c r="C243" s="16" t="s">
        <v>1120</v>
      </c>
      <c r="D243" t="s">
        <v>44</v>
      </c>
      <c r="E243" s="15">
        <v>23</v>
      </c>
      <c r="F243" s="16" t="s">
        <v>90</v>
      </c>
      <c r="G243" s="16" t="s">
        <v>281</v>
      </c>
      <c r="H243" s="16" t="s">
        <v>32</v>
      </c>
      <c r="I243" s="16" t="s">
        <v>57</v>
      </c>
      <c r="J243" s="16" t="s">
        <v>49</v>
      </c>
      <c r="K243" s="17" t="s">
        <v>1121</v>
      </c>
      <c r="M243" t="s">
        <v>36</v>
      </c>
      <c r="N243" t="s">
        <v>209</v>
      </c>
      <c r="O243" t="s">
        <v>60</v>
      </c>
      <c r="P243" s="15">
        <v>11</v>
      </c>
      <c r="Q243" s="18">
        <v>113109</v>
      </c>
      <c r="R243" s="19">
        <v>16</v>
      </c>
      <c r="S243" s="14">
        <v>4.4000000000000004</v>
      </c>
      <c r="T243" s="7">
        <v>53</v>
      </c>
      <c r="U243" s="15">
        <v>6</v>
      </c>
      <c r="V243" s="15">
        <v>18</v>
      </c>
      <c r="W243" s="15">
        <v>11</v>
      </c>
      <c r="X243" t="s">
        <v>61</v>
      </c>
      <c r="Y243" t="s">
        <v>78</v>
      </c>
      <c r="Z243" s="14">
        <v>4.9000000000000004</v>
      </c>
      <c r="AA243" s="12">
        <f>YEAR(Table1[Hire_Date])</f>
        <v>2021</v>
      </c>
      <c r="AB24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244" spans="1:28" x14ac:dyDescent="0.25">
      <c r="A244" t="s">
        <v>1122</v>
      </c>
      <c r="B244" s="16" t="s">
        <v>1123</v>
      </c>
      <c r="C244" s="16" t="s">
        <v>1124</v>
      </c>
      <c r="D244" t="s">
        <v>29</v>
      </c>
      <c r="E244" s="15">
        <v>26</v>
      </c>
      <c r="F244" s="16" t="s">
        <v>103</v>
      </c>
      <c r="G244" s="16" t="s">
        <v>13</v>
      </c>
      <c r="H244" s="16" t="s">
        <v>66</v>
      </c>
      <c r="I244" s="16" t="s">
        <v>33</v>
      </c>
      <c r="J244" s="16" t="s">
        <v>34</v>
      </c>
      <c r="K244" s="17" t="s">
        <v>1125</v>
      </c>
      <c r="L244" s="17" t="s">
        <v>1126</v>
      </c>
      <c r="M244" t="s">
        <v>76</v>
      </c>
      <c r="N244" t="s">
        <v>605</v>
      </c>
      <c r="O244" t="s">
        <v>60</v>
      </c>
      <c r="P244" s="15">
        <v>13</v>
      </c>
      <c r="Q244" s="18">
        <v>123801</v>
      </c>
      <c r="R244" s="19">
        <v>11</v>
      </c>
      <c r="S244" s="14">
        <v>2.9</v>
      </c>
      <c r="T244" s="7">
        <v>83</v>
      </c>
      <c r="U244" s="15">
        <v>5</v>
      </c>
      <c r="V244" s="15">
        <v>18</v>
      </c>
      <c r="W244" s="15">
        <v>40</v>
      </c>
      <c r="X244" t="s">
        <v>61</v>
      </c>
      <c r="Y244" t="s">
        <v>40</v>
      </c>
      <c r="Z244" s="14">
        <v>2.7</v>
      </c>
      <c r="AA244" s="12">
        <f>YEAR(Table1[Hire_Date])</f>
        <v>2023</v>
      </c>
      <c r="AB24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245" spans="1:28" x14ac:dyDescent="0.25">
      <c r="A245" t="s">
        <v>1127</v>
      </c>
      <c r="B245" s="16" t="s">
        <v>1128</v>
      </c>
      <c r="C245" s="16" t="s">
        <v>1129</v>
      </c>
      <c r="D245" t="s">
        <v>44</v>
      </c>
      <c r="E245" s="15">
        <v>28</v>
      </c>
      <c r="F245" s="16" t="s">
        <v>30</v>
      </c>
      <c r="G245" s="16" t="s">
        <v>13</v>
      </c>
      <c r="H245" s="16" t="s">
        <v>56</v>
      </c>
      <c r="I245" s="16" t="s">
        <v>33</v>
      </c>
      <c r="J245" s="16" t="s">
        <v>34</v>
      </c>
      <c r="K245" s="17" t="s">
        <v>1130</v>
      </c>
      <c r="M245" t="s">
        <v>36</v>
      </c>
      <c r="N245" t="s">
        <v>593</v>
      </c>
      <c r="O245" t="s">
        <v>38</v>
      </c>
      <c r="P245" s="15">
        <v>21</v>
      </c>
      <c r="Q245" s="18">
        <v>95672</v>
      </c>
      <c r="R245" s="19">
        <v>11</v>
      </c>
      <c r="S245" s="14">
        <v>3.4</v>
      </c>
      <c r="T245" s="7">
        <v>55</v>
      </c>
      <c r="U245" s="15">
        <v>11</v>
      </c>
      <c r="V245" s="15">
        <v>20</v>
      </c>
      <c r="W245" s="15">
        <v>49</v>
      </c>
      <c r="X245" t="s">
        <v>39</v>
      </c>
      <c r="Y245" t="s">
        <v>40</v>
      </c>
      <c r="Z245" s="14">
        <v>9.4</v>
      </c>
      <c r="AA245" s="12">
        <f>YEAR(Table1[Hire_Date])</f>
        <v>2017</v>
      </c>
      <c r="AB24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246" spans="1:28" x14ac:dyDescent="0.25">
      <c r="A246" t="s">
        <v>1131</v>
      </c>
      <c r="B246" s="16" t="s">
        <v>1132</v>
      </c>
      <c r="C246" s="16" t="s">
        <v>1133</v>
      </c>
      <c r="D246" t="s">
        <v>44</v>
      </c>
      <c r="E246" s="15">
        <v>54</v>
      </c>
      <c r="F246" s="16" t="s">
        <v>72</v>
      </c>
      <c r="G246" s="16" t="s">
        <v>97</v>
      </c>
      <c r="H246" s="16" t="s">
        <v>47</v>
      </c>
      <c r="I246" s="16" t="s">
        <v>48</v>
      </c>
      <c r="J246" s="16" t="s">
        <v>49</v>
      </c>
      <c r="K246" s="17" t="s">
        <v>1134</v>
      </c>
      <c r="L246" s="17" t="s">
        <v>1135</v>
      </c>
      <c r="M246" t="s">
        <v>76</v>
      </c>
      <c r="N246" t="s">
        <v>342</v>
      </c>
      <c r="O246" t="s">
        <v>38</v>
      </c>
      <c r="P246" s="15">
        <v>8</v>
      </c>
      <c r="Q246" s="18">
        <v>61891</v>
      </c>
      <c r="R246" s="19">
        <v>14</v>
      </c>
      <c r="S246" s="14">
        <v>2.6</v>
      </c>
      <c r="T246" s="7">
        <v>95</v>
      </c>
      <c r="U246" s="15">
        <v>9</v>
      </c>
      <c r="V246" s="15">
        <v>16</v>
      </c>
      <c r="W246" s="15">
        <v>9</v>
      </c>
      <c r="X246" t="s">
        <v>39</v>
      </c>
      <c r="Y246" t="s">
        <v>40</v>
      </c>
      <c r="Z246" s="14">
        <v>2.6</v>
      </c>
      <c r="AA246" s="12">
        <f>YEAR(Table1[Hire_Date])</f>
        <v>2023</v>
      </c>
      <c r="AB24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247" spans="1:28" x14ac:dyDescent="0.25">
      <c r="A247" t="s">
        <v>1136</v>
      </c>
      <c r="B247" s="16" t="s">
        <v>1137</v>
      </c>
      <c r="C247" s="16" t="s">
        <v>1138</v>
      </c>
      <c r="D247" t="s">
        <v>29</v>
      </c>
      <c r="E247" s="15">
        <v>29</v>
      </c>
      <c r="F247" s="16" t="s">
        <v>124</v>
      </c>
      <c r="G247" s="16" t="s">
        <v>141</v>
      </c>
      <c r="H247" s="16" t="s">
        <v>47</v>
      </c>
      <c r="I247" s="16" t="s">
        <v>57</v>
      </c>
      <c r="J247" s="16" t="s">
        <v>49</v>
      </c>
      <c r="K247" s="17" t="s">
        <v>1139</v>
      </c>
      <c r="L247" s="17" t="s">
        <v>1140</v>
      </c>
      <c r="M247" t="s">
        <v>76</v>
      </c>
      <c r="N247" t="s">
        <v>258</v>
      </c>
      <c r="O247" t="s">
        <v>38</v>
      </c>
      <c r="P247" s="15">
        <v>30</v>
      </c>
      <c r="Q247" s="18">
        <v>72304</v>
      </c>
      <c r="R247" s="19">
        <v>12</v>
      </c>
      <c r="S247" s="14">
        <v>2.8</v>
      </c>
      <c r="T247" s="7">
        <v>85</v>
      </c>
      <c r="U247" s="15">
        <v>5</v>
      </c>
      <c r="V247" s="15">
        <v>1</v>
      </c>
      <c r="W247" s="15">
        <v>31</v>
      </c>
      <c r="X247" t="s">
        <v>61</v>
      </c>
      <c r="Y247" t="s">
        <v>78</v>
      </c>
      <c r="Z247" s="14">
        <v>0.3</v>
      </c>
      <c r="AA247" s="12">
        <f>YEAR(Table1[Hire_Date])</f>
        <v>2026</v>
      </c>
      <c r="AB24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248" spans="1:28" x14ac:dyDescent="0.25">
      <c r="A248" t="s">
        <v>1141</v>
      </c>
      <c r="B248" s="16" t="s">
        <v>1142</v>
      </c>
      <c r="C248" s="16" t="s">
        <v>1143</v>
      </c>
      <c r="D248" t="s">
        <v>29</v>
      </c>
      <c r="E248" s="15">
        <v>43</v>
      </c>
      <c r="F248" s="16" t="s">
        <v>30</v>
      </c>
      <c r="G248" s="16" t="s">
        <v>13</v>
      </c>
      <c r="H248" s="16" t="s">
        <v>47</v>
      </c>
      <c r="I248" s="16" t="s">
        <v>33</v>
      </c>
      <c r="J248" s="16" t="s">
        <v>49</v>
      </c>
      <c r="K248" s="17" t="s">
        <v>1144</v>
      </c>
      <c r="M248" t="s">
        <v>36</v>
      </c>
      <c r="N248" t="s">
        <v>258</v>
      </c>
      <c r="O248" t="s">
        <v>52</v>
      </c>
      <c r="P248" s="15">
        <v>17</v>
      </c>
      <c r="Q248" s="18">
        <v>109397</v>
      </c>
      <c r="R248" s="19">
        <v>20</v>
      </c>
      <c r="S248" s="14">
        <v>3.3</v>
      </c>
      <c r="T248" s="7">
        <v>50</v>
      </c>
      <c r="U248" s="15">
        <v>11</v>
      </c>
      <c r="V248" s="15">
        <v>26</v>
      </c>
      <c r="W248" s="15">
        <v>70</v>
      </c>
      <c r="X248" t="s">
        <v>61</v>
      </c>
      <c r="Y248" t="s">
        <v>62</v>
      </c>
      <c r="Z248" s="14">
        <v>5</v>
      </c>
      <c r="AA248" s="12">
        <f>YEAR(Table1[Hire_Date])</f>
        <v>2021</v>
      </c>
      <c r="AB24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249" spans="1:28" x14ac:dyDescent="0.25">
      <c r="A249" t="s">
        <v>1145</v>
      </c>
      <c r="B249" s="16" t="s">
        <v>1146</v>
      </c>
      <c r="C249" s="16" t="s">
        <v>1147</v>
      </c>
      <c r="D249" t="s">
        <v>29</v>
      </c>
      <c r="E249" s="15">
        <v>52</v>
      </c>
      <c r="F249" s="16" t="s">
        <v>90</v>
      </c>
      <c r="G249" s="16" t="s">
        <v>281</v>
      </c>
      <c r="H249" s="16" t="s">
        <v>32</v>
      </c>
      <c r="I249" s="16" t="s">
        <v>33</v>
      </c>
      <c r="J249" s="16" t="s">
        <v>49</v>
      </c>
      <c r="K249" s="17" t="s">
        <v>1148</v>
      </c>
      <c r="M249" t="s">
        <v>36</v>
      </c>
      <c r="N249" t="s">
        <v>337</v>
      </c>
      <c r="O249" t="s">
        <v>38</v>
      </c>
      <c r="P249" s="15">
        <v>1</v>
      </c>
      <c r="Q249" s="18">
        <v>91610</v>
      </c>
      <c r="R249" s="19">
        <v>18</v>
      </c>
      <c r="S249" s="14">
        <v>3.9</v>
      </c>
      <c r="T249" s="7">
        <v>70</v>
      </c>
      <c r="U249" s="15">
        <v>7</v>
      </c>
      <c r="V249" s="15">
        <v>1</v>
      </c>
      <c r="W249" s="15">
        <v>57</v>
      </c>
      <c r="X249" t="s">
        <v>39</v>
      </c>
      <c r="Y249" t="s">
        <v>78</v>
      </c>
      <c r="Z249" s="14">
        <v>8.6999999999999993</v>
      </c>
      <c r="AA249" s="12">
        <f>YEAR(Table1[Hire_Date])</f>
        <v>2017</v>
      </c>
      <c r="AB24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250" spans="1:28" x14ac:dyDescent="0.25">
      <c r="A250" t="s">
        <v>1149</v>
      </c>
      <c r="B250" s="16" t="s">
        <v>1150</v>
      </c>
      <c r="C250" s="16" t="s">
        <v>1151</v>
      </c>
      <c r="D250" t="s">
        <v>29</v>
      </c>
      <c r="E250" s="15">
        <v>59</v>
      </c>
      <c r="F250" s="16" t="s">
        <v>103</v>
      </c>
      <c r="G250" s="16" t="s">
        <v>147</v>
      </c>
      <c r="H250" s="16" t="s">
        <v>56</v>
      </c>
      <c r="I250" s="16" t="s">
        <v>33</v>
      </c>
      <c r="J250" s="16" t="s">
        <v>49</v>
      </c>
      <c r="K250" s="17" t="s">
        <v>1152</v>
      </c>
      <c r="M250" t="s">
        <v>36</v>
      </c>
      <c r="N250" t="s">
        <v>550</v>
      </c>
      <c r="O250" t="s">
        <v>52</v>
      </c>
      <c r="P250" s="15">
        <v>28</v>
      </c>
      <c r="Q250" s="18">
        <v>132083</v>
      </c>
      <c r="R250" s="19">
        <v>6</v>
      </c>
      <c r="S250" s="14">
        <v>3.8</v>
      </c>
      <c r="T250" s="7">
        <v>97</v>
      </c>
      <c r="U250" s="15">
        <v>11</v>
      </c>
      <c r="V250" s="15">
        <v>55</v>
      </c>
      <c r="W250" s="15">
        <v>64</v>
      </c>
      <c r="X250" t="s">
        <v>61</v>
      </c>
      <c r="Y250" t="s">
        <v>40</v>
      </c>
      <c r="Z250" s="14">
        <v>5.8</v>
      </c>
      <c r="AA250" s="12">
        <f>YEAR(Table1[Hire_Date])</f>
        <v>2020</v>
      </c>
      <c r="AB25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251" spans="1:28" x14ac:dyDescent="0.25">
      <c r="A251" t="s">
        <v>1153</v>
      </c>
      <c r="B251" s="16" t="s">
        <v>1154</v>
      </c>
      <c r="C251" s="16" t="s">
        <v>1155</v>
      </c>
      <c r="D251" t="s">
        <v>29</v>
      </c>
      <c r="E251" s="15">
        <v>26</v>
      </c>
      <c r="F251" s="16" t="s">
        <v>30</v>
      </c>
      <c r="G251" s="16" t="s">
        <v>13</v>
      </c>
      <c r="H251" s="16" t="s">
        <v>66</v>
      </c>
      <c r="I251" s="16" t="s">
        <v>57</v>
      </c>
      <c r="J251" s="16" t="s">
        <v>49</v>
      </c>
      <c r="K251" s="17" t="s">
        <v>1156</v>
      </c>
      <c r="L251" s="17" t="s">
        <v>1157</v>
      </c>
      <c r="M251" t="s">
        <v>76</v>
      </c>
      <c r="N251" t="s">
        <v>588</v>
      </c>
      <c r="O251" t="s">
        <v>52</v>
      </c>
      <c r="P251" s="15">
        <v>6</v>
      </c>
      <c r="Q251" s="18">
        <v>43748</v>
      </c>
      <c r="R251" s="19">
        <v>16</v>
      </c>
      <c r="S251" s="14">
        <v>4.5</v>
      </c>
      <c r="T251" s="7">
        <v>70</v>
      </c>
      <c r="U251" s="15">
        <v>10</v>
      </c>
      <c r="V251" s="15">
        <v>5</v>
      </c>
      <c r="W251" s="15">
        <v>71</v>
      </c>
      <c r="X251" t="s">
        <v>61</v>
      </c>
      <c r="Y251" t="s">
        <v>40</v>
      </c>
      <c r="Z251" s="14">
        <v>4.3</v>
      </c>
      <c r="AA251" s="12">
        <f>YEAR(Table1[Hire_Date])</f>
        <v>2022</v>
      </c>
      <c r="AB25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252" spans="1:28" x14ac:dyDescent="0.25">
      <c r="A252" t="s">
        <v>1158</v>
      </c>
      <c r="B252" s="16" t="s">
        <v>1159</v>
      </c>
      <c r="C252" s="16" t="s">
        <v>1160</v>
      </c>
      <c r="D252" t="s">
        <v>44</v>
      </c>
      <c r="E252" s="15">
        <v>37</v>
      </c>
      <c r="F252" s="16" t="s">
        <v>90</v>
      </c>
      <c r="G252" s="16" t="s">
        <v>281</v>
      </c>
      <c r="H252" s="16" t="s">
        <v>66</v>
      </c>
      <c r="I252" s="16" t="s">
        <v>33</v>
      </c>
      <c r="J252" s="16" t="s">
        <v>34</v>
      </c>
      <c r="K252" s="17" t="s">
        <v>1161</v>
      </c>
      <c r="M252" t="s">
        <v>36</v>
      </c>
      <c r="N252" t="s">
        <v>631</v>
      </c>
      <c r="O252" t="s">
        <v>52</v>
      </c>
      <c r="P252" s="15">
        <v>20</v>
      </c>
      <c r="Q252" s="18">
        <v>151821</v>
      </c>
      <c r="R252" s="19">
        <v>11</v>
      </c>
      <c r="S252" s="14">
        <v>5</v>
      </c>
      <c r="T252" s="7">
        <v>65</v>
      </c>
      <c r="U252" s="15">
        <v>2</v>
      </c>
      <c r="V252" s="15">
        <v>22</v>
      </c>
      <c r="W252" s="15">
        <v>56</v>
      </c>
      <c r="X252" t="s">
        <v>61</v>
      </c>
      <c r="Y252" t="s">
        <v>62</v>
      </c>
      <c r="Z252" s="14">
        <v>9.8000000000000007</v>
      </c>
      <c r="AA252" s="12">
        <f>YEAR(Table1[Hire_Date])</f>
        <v>2016</v>
      </c>
      <c r="AB25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253" spans="1:28" x14ac:dyDescent="0.25">
      <c r="A253" t="s">
        <v>1162</v>
      </c>
      <c r="B253" s="16" t="s">
        <v>1163</v>
      </c>
      <c r="C253" s="16" t="s">
        <v>1164</v>
      </c>
      <c r="D253" t="s">
        <v>29</v>
      </c>
      <c r="E253" s="15">
        <v>41</v>
      </c>
      <c r="F253" s="16" t="s">
        <v>45</v>
      </c>
      <c r="G253" s="16" t="s">
        <v>82</v>
      </c>
      <c r="H253" s="16" t="s">
        <v>83</v>
      </c>
      <c r="I253" s="16" t="s">
        <v>57</v>
      </c>
      <c r="J253" s="16" t="s">
        <v>49</v>
      </c>
      <c r="K253" s="17" t="s">
        <v>1165</v>
      </c>
      <c r="M253" t="s">
        <v>36</v>
      </c>
      <c r="N253" t="s">
        <v>385</v>
      </c>
      <c r="O253" t="s">
        <v>38</v>
      </c>
      <c r="P253" s="15">
        <v>5</v>
      </c>
      <c r="Q253" s="18">
        <v>76755</v>
      </c>
      <c r="R253" s="19">
        <v>5</v>
      </c>
      <c r="S253" s="14">
        <v>3.1</v>
      </c>
      <c r="T253" s="7">
        <v>90</v>
      </c>
      <c r="U253" s="15">
        <v>16</v>
      </c>
      <c r="V253" s="15">
        <v>54</v>
      </c>
      <c r="W253" s="15">
        <v>76</v>
      </c>
      <c r="X253" t="s">
        <v>39</v>
      </c>
      <c r="Y253" t="s">
        <v>40</v>
      </c>
      <c r="Z253" s="14">
        <v>5.6</v>
      </c>
      <c r="AA253" s="12">
        <f>YEAR(Table1[Hire_Date])</f>
        <v>2020</v>
      </c>
      <c r="AB25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254" spans="1:28" x14ac:dyDescent="0.25">
      <c r="A254" t="s">
        <v>1166</v>
      </c>
      <c r="B254" s="16" t="s">
        <v>1167</v>
      </c>
      <c r="C254" s="16" t="s">
        <v>1168</v>
      </c>
      <c r="D254" t="s">
        <v>44</v>
      </c>
      <c r="E254" s="15">
        <v>56</v>
      </c>
      <c r="F254" s="16" t="s">
        <v>103</v>
      </c>
      <c r="G254" s="16" t="s">
        <v>13</v>
      </c>
      <c r="H254" s="16" t="s">
        <v>83</v>
      </c>
      <c r="I254" s="16" t="s">
        <v>57</v>
      </c>
      <c r="J254" s="16" t="s">
        <v>34</v>
      </c>
      <c r="K254" s="17" t="s">
        <v>1169</v>
      </c>
      <c r="M254" t="s">
        <v>36</v>
      </c>
      <c r="N254" t="s">
        <v>204</v>
      </c>
      <c r="O254" t="s">
        <v>52</v>
      </c>
      <c r="P254" s="15">
        <v>7</v>
      </c>
      <c r="Q254" s="18">
        <v>49767</v>
      </c>
      <c r="R254" s="19">
        <v>13</v>
      </c>
      <c r="S254" s="14">
        <v>4.8</v>
      </c>
      <c r="T254" s="7">
        <v>66</v>
      </c>
      <c r="U254" s="15">
        <v>0</v>
      </c>
      <c r="V254" s="15">
        <v>19</v>
      </c>
      <c r="W254" s="15">
        <v>72</v>
      </c>
      <c r="X254" t="s">
        <v>39</v>
      </c>
      <c r="Y254" t="s">
        <v>78</v>
      </c>
      <c r="Z254" s="14">
        <v>3.3</v>
      </c>
      <c r="AA254" s="12">
        <f>YEAR(Table1[Hire_Date])</f>
        <v>2023</v>
      </c>
      <c r="AB25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255" spans="1:28" x14ac:dyDescent="0.25">
      <c r="A255" t="s">
        <v>1170</v>
      </c>
      <c r="B255" s="16" t="s">
        <v>1171</v>
      </c>
      <c r="C255" s="16" t="s">
        <v>1172</v>
      </c>
      <c r="D255" t="s">
        <v>29</v>
      </c>
      <c r="E255" s="15">
        <v>55</v>
      </c>
      <c r="F255" s="16" t="s">
        <v>124</v>
      </c>
      <c r="G255" s="16" t="s">
        <v>13</v>
      </c>
      <c r="H255" s="16" t="s">
        <v>47</v>
      </c>
      <c r="I255" s="16" t="s">
        <v>48</v>
      </c>
      <c r="J255" s="16" t="s">
        <v>49</v>
      </c>
      <c r="K255" s="17" t="s">
        <v>443</v>
      </c>
      <c r="M255" t="s">
        <v>36</v>
      </c>
      <c r="N255" t="s">
        <v>263</v>
      </c>
      <c r="O255" t="s">
        <v>60</v>
      </c>
      <c r="P255" s="15">
        <v>23</v>
      </c>
      <c r="Q255" s="18">
        <v>147669</v>
      </c>
      <c r="R255" s="19">
        <v>12</v>
      </c>
      <c r="S255" s="14">
        <v>4.9000000000000004</v>
      </c>
      <c r="T255" s="7">
        <v>51</v>
      </c>
      <c r="U255" s="15">
        <v>6</v>
      </c>
      <c r="V255" s="15">
        <v>46</v>
      </c>
      <c r="W255" s="15">
        <v>59</v>
      </c>
      <c r="X255" t="s">
        <v>39</v>
      </c>
      <c r="Y255" t="s">
        <v>62</v>
      </c>
      <c r="Z255" s="14">
        <v>1.4</v>
      </c>
      <c r="AA255" s="12">
        <f>YEAR(Table1[Hire_Date])</f>
        <v>2025</v>
      </c>
      <c r="AB25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256" spans="1:28" x14ac:dyDescent="0.25">
      <c r="A256" t="s">
        <v>1173</v>
      </c>
      <c r="B256" s="16" t="s">
        <v>1174</v>
      </c>
      <c r="C256" s="16" t="s">
        <v>1175</v>
      </c>
      <c r="D256" t="s">
        <v>29</v>
      </c>
      <c r="E256" s="15">
        <v>33</v>
      </c>
      <c r="F256" s="16" t="s">
        <v>72</v>
      </c>
      <c r="G256" s="16" t="s">
        <v>97</v>
      </c>
      <c r="H256" s="16" t="s">
        <v>32</v>
      </c>
      <c r="I256" s="16" t="s">
        <v>33</v>
      </c>
      <c r="J256" s="16" t="s">
        <v>34</v>
      </c>
      <c r="K256" s="17" t="s">
        <v>1176</v>
      </c>
      <c r="L256" s="17" t="s">
        <v>1177</v>
      </c>
      <c r="M256" t="s">
        <v>76</v>
      </c>
      <c r="N256" t="s">
        <v>170</v>
      </c>
      <c r="O256" t="s">
        <v>60</v>
      </c>
      <c r="P256" s="15">
        <v>16</v>
      </c>
      <c r="Q256" s="18">
        <v>89159</v>
      </c>
      <c r="R256" s="19">
        <v>21</v>
      </c>
      <c r="S256" s="14">
        <v>4.7</v>
      </c>
      <c r="T256" s="7">
        <v>92</v>
      </c>
      <c r="U256" s="15">
        <v>18</v>
      </c>
      <c r="V256" s="15">
        <v>17</v>
      </c>
      <c r="W256" s="15">
        <v>1</v>
      </c>
      <c r="X256" t="s">
        <v>39</v>
      </c>
      <c r="Y256" t="s">
        <v>40</v>
      </c>
      <c r="Z256" s="14">
        <v>5.0999999999999996</v>
      </c>
      <c r="AA256" s="12">
        <f>YEAR(Table1[Hire_Date])</f>
        <v>2021</v>
      </c>
      <c r="AB25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257" spans="1:28" x14ac:dyDescent="0.25">
      <c r="A257" t="s">
        <v>1178</v>
      </c>
      <c r="B257" s="16" t="s">
        <v>1179</v>
      </c>
      <c r="C257" s="16" t="s">
        <v>1180</v>
      </c>
      <c r="D257" t="s">
        <v>29</v>
      </c>
      <c r="E257" s="15">
        <v>24</v>
      </c>
      <c r="F257" s="16" t="s">
        <v>45</v>
      </c>
      <c r="G257" s="16" t="s">
        <v>82</v>
      </c>
      <c r="H257" s="16" t="s">
        <v>66</v>
      </c>
      <c r="I257" s="16" t="s">
        <v>48</v>
      </c>
      <c r="J257" s="16" t="s">
        <v>49</v>
      </c>
      <c r="K257" s="17" t="s">
        <v>1181</v>
      </c>
      <c r="M257" t="s">
        <v>36</v>
      </c>
      <c r="N257" t="s">
        <v>505</v>
      </c>
      <c r="O257" t="s">
        <v>52</v>
      </c>
      <c r="P257" s="15">
        <v>25</v>
      </c>
      <c r="Q257" s="18">
        <v>108733</v>
      </c>
      <c r="R257" s="19">
        <v>8</v>
      </c>
      <c r="S257" s="14">
        <v>3.2</v>
      </c>
      <c r="T257" s="7">
        <v>58</v>
      </c>
      <c r="U257" s="15">
        <v>14</v>
      </c>
      <c r="V257" s="15">
        <v>31</v>
      </c>
      <c r="W257" s="15">
        <v>12</v>
      </c>
      <c r="X257" t="s">
        <v>61</v>
      </c>
      <c r="Y257" t="s">
        <v>62</v>
      </c>
      <c r="Z257" s="14">
        <v>2.9</v>
      </c>
      <c r="AA257" s="12">
        <f>YEAR(Table1[Hire_Date])</f>
        <v>2023</v>
      </c>
      <c r="AB25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258" spans="1:28" x14ac:dyDescent="0.25">
      <c r="A258" t="s">
        <v>1182</v>
      </c>
      <c r="B258" s="16" t="s">
        <v>1183</v>
      </c>
      <c r="C258" s="16" t="s">
        <v>1184</v>
      </c>
      <c r="D258" t="s">
        <v>44</v>
      </c>
      <c r="E258" s="15">
        <v>37</v>
      </c>
      <c r="F258" s="16" t="s">
        <v>45</v>
      </c>
      <c r="G258" s="16" t="s">
        <v>82</v>
      </c>
      <c r="H258" s="16" t="s">
        <v>83</v>
      </c>
      <c r="I258" s="16" t="s">
        <v>48</v>
      </c>
      <c r="J258" s="16" t="s">
        <v>49</v>
      </c>
      <c r="K258" s="17" t="s">
        <v>1185</v>
      </c>
      <c r="M258" t="s">
        <v>36</v>
      </c>
      <c r="N258" t="s">
        <v>309</v>
      </c>
      <c r="O258" t="s">
        <v>52</v>
      </c>
      <c r="P258" s="15">
        <v>31</v>
      </c>
      <c r="Q258" s="18">
        <v>116946</v>
      </c>
      <c r="R258" s="19">
        <v>11</v>
      </c>
      <c r="S258" s="14">
        <v>4.4000000000000004</v>
      </c>
      <c r="T258" s="7">
        <v>54</v>
      </c>
      <c r="U258" s="15">
        <v>2</v>
      </c>
      <c r="V258" s="15">
        <v>46</v>
      </c>
      <c r="W258" s="15">
        <v>22</v>
      </c>
      <c r="X258" t="s">
        <v>39</v>
      </c>
      <c r="Y258" t="s">
        <v>40</v>
      </c>
      <c r="Z258" s="14">
        <v>1.2</v>
      </c>
      <c r="AA258" s="12">
        <f>YEAR(Table1[Hire_Date])</f>
        <v>2025</v>
      </c>
      <c r="AB25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259" spans="1:28" x14ac:dyDescent="0.25">
      <c r="A259" t="s">
        <v>1186</v>
      </c>
      <c r="B259" s="16" t="s">
        <v>1187</v>
      </c>
      <c r="C259" s="16" t="s">
        <v>1188</v>
      </c>
      <c r="D259" t="s">
        <v>44</v>
      </c>
      <c r="E259" s="15">
        <v>53</v>
      </c>
      <c r="F259" s="16" t="s">
        <v>45</v>
      </c>
      <c r="G259" s="16" t="s">
        <v>82</v>
      </c>
      <c r="H259" s="16" t="s">
        <v>47</v>
      </c>
      <c r="I259" s="16" t="s">
        <v>33</v>
      </c>
      <c r="J259" s="16" t="s">
        <v>49</v>
      </c>
      <c r="K259" s="17" t="s">
        <v>1189</v>
      </c>
      <c r="M259" t="s">
        <v>36</v>
      </c>
      <c r="N259" t="s">
        <v>234</v>
      </c>
      <c r="O259" t="s">
        <v>38</v>
      </c>
      <c r="P259" s="15">
        <v>31</v>
      </c>
      <c r="Q259" s="18">
        <v>155274</v>
      </c>
      <c r="R259" s="19">
        <v>19</v>
      </c>
      <c r="S259" s="14">
        <v>2.8</v>
      </c>
      <c r="T259" s="7">
        <v>56</v>
      </c>
      <c r="U259" s="15">
        <v>16</v>
      </c>
      <c r="V259" s="15">
        <v>23</v>
      </c>
      <c r="W259" s="15">
        <v>44</v>
      </c>
      <c r="X259" t="s">
        <v>39</v>
      </c>
      <c r="Y259" t="s">
        <v>40</v>
      </c>
      <c r="Z259" s="14">
        <v>9.5</v>
      </c>
      <c r="AA259" s="12">
        <f>YEAR(Table1[Hire_Date])</f>
        <v>2017</v>
      </c>
      <c r="AB25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260" spans="1:28" x14ac:dyDescent="0.25">
      <c r="A260" t="s">
        <v>1190</v>
      </c>
      <c r="B260" s="16" t="s">
        <v>1191</v>
      </c>
      <c r="C260" s="16" t="s">
        <v>1192</v>
      </c>
      <c r="D260" t="s">
        <v>29</v>
      </c>
      <c r="E260" s="15">
        <v>26</v>
      </c>
      <c r="F260" s="16" t="s">
        <v>30</v>
      </c>
      <c r="G260" s="16" t="s">
        <v>13</v>
      </c>
      <c r="H260" s="16" t="s">
        <v>32</v>
      </c>
      <c r="I260" s="16" t="s">
        <v>33</v>
      </c>
      <c r="J260" s="16" t="s">
        <v>49</v>
      </c>
      <c r="K260" s="17" t="s">
        <v>1152</v>
      </c>
      <c r="L260" s="17" t="s">
        <v>1193</v>
      </c>
      <c r="M260" t="s">
        <v>76</v>
      </c>
      <c r="N260" t="s">
        <v>120</v>
      </c>
      <c r="O260" t="s">
        <v>60</v>
      </c>
      <c r="P260" s="15">
        <v>26</v>
      </c>
      <c r="Q260" s="18">
        <v>78914</v>
      </c>
      <c r="R260" s="19">
        <v>23</v>
      </c>
      <c r="S260" s="14">
        <v>4.7</v>
      </c>
      <c r="T260" s="7">
        <v>83</v>
      </c>
      <c r="U260" s="15">
        <v>0</v>
      </c>
      <c r="V260" s="15">
        <v>56</v>
      </c>
      <c r="W260" s="15">
        <v>21</v>
      </c>
      <c r="X260" t="s">
        <v>61</v>
      </c>
      <c r="Y260" t="s">
        <v>40</v>
      </c>
      <c r="Z260" s="14">
        <v>5.8</v>
      </c>
      <c r="AA260" s="12">
        <f>YEAR(Table1[Hire_Date])</f>
        <v>2020</v>
      </c>
      <c r="AB26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261" spans="1:28" x14ac:dyDescent="0.25">
      <c r="A261" t="s">
        <v>1194</v>
      </c>
      <c r="B261" s="16" t="s">
        <v>1195</v>
      </c>
      <c r="C261" s="16" t="s">
        <v>1196</v>
      </c>
      <c r="D261" t="s">
        <v>44</v>
      </c>
      <c r="E261" s="15">
        <v>52</v>
      </c>
      <c r="F261" s="16" t="s">
        <v>124</v>
      </c>
      <c r="G261" s="16" t="s">
        <v>141</v>
      </c>
      <c r="H261" s="16" t="s">
        <v>56</v>
      </c>
      <c r="I261" s="16" t="s">
        <v>33</v>
      </c>
      <c r="J261" s="16" t="s">
        <v>34</v>
      </c>
      <c r="K261" s="17" t="s">
        <v>1197</v>
      </c>
      <c r="M261" t="s">
        <v>36</v>
      </c>
      <c r="N261" t="s">
        <v>199</v>
      </c>
      <c r="O261" t="s">
        <v>60</v>
      </c>
      <c r="P261" s="15">
        <v>13</v>
      </c>
      <c r="Q261" s="18">
        <v>73810</v>
      </c>
      <c r="R261" s="19">
        <v>5</v>
      </c>
      <c r="S261" s="14">
        <v>4.5999999999999996</v>
      </c>
      <c r="T261" s="7">
        <v>55</v>
      </c>
      <c r="U261" s="15">
        <v>12</v>
      </c>
      <c r="V261" s="15">
        <v>6</v>
      </c>
      <c r="W261" s="15">
        <v>0</v>
      </c>
      <c r="X261" t="s">
        <v>61</v>
      </c>
      <c r="Y261" t="s">
        <v>62</v>
      </c>
      <c r="Z261" s="14">
        <v>8.5</v>
      </c>
      <c r="AA261" s="12">
        <f>YEAR(Table1[Hire_Date])</f>
        <v>2018</v>
      </c>
      <c r="AB26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262" spans="1:28" x14ac:dyDescent="0.25">
      <c r="A262" t="s">
        <v>1198</v>
      </c>
      <c r="B262" s="16" t="s">
        <v>1199</v>
      </c>
      <c r="C262" s="16" t="s">
        <v>1200</v>
      </c>
      <c r="D262" t="s">
        <v>29</v>
      </c>
      <c r="E262" s="15">
        <v>60</v>
      </c>
      <c r="F262" s="16" t="s">
        <v>90</v>
      </c>
      <c r="G262" s="16" t="s">
        <v>13</v>
      </c>
      <c r="H262" s="16" t="s">
        <v>66</v>
      </c>
      <c r="I262" s="16" t="s">
        <v>33</v>
      </c>
      <c r="J262" s="16" t="s">
        <v>34</v>
      </c>
      <c r="K262" s="17" t="s">
        <v>1201</v>
      </c>
      <c r="M262" t="s">
        <v>36</v>
      </c>
      <c r="N262" t="s">
        <v>659</v>
      </c>
      <c r="O262" t="s">
        <v>52</v>
      </c>
      <c r="P262" s="15">
        <v>2</v>
      </c>
      <c r="Q262" s="18">
        <v>142861</v>
      </c>
      <c r="R262" s="19">
        <v>15</v>
      </c>
      <c r="S262" s="14">
        <v>3.5</v>
      </c>
      <c r="T262" s="7">
        <v>80</v>
      </c>
      <c r="U262" s="15">
        <v>14</v>
      </c>
      <c r="V262" s="15">
        <v>0</v>
      </c>
      <c r="W262" s="15">
        <v>55</v>
      </c>
      <c r="X262" t="s">
        <v>39</v>
      </c>
      <c r="Y262" t="s">
        <v>78</v>
      </c>
      <c r="Z262" s="14">
        <v>2.6</v>
      </c>
      <c r="AA262" s="12">
        <f>YEAR(Table1[Hire_Date])</f>
        <v>2024</v>
      </c>
      <c r="AB26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263" spans="1:28" x14ac:dyDescent="0.25">
      <c r="A263" t="s">
        <v>1202</v>
      </c>
      <c r="B263" s="16" t="s">
        <v>1203</v>
      </c>
      <c r="C263" s="16" t="s">
        <v>1204</v>
      </c>
      <c r="D263" t="s">
        <v>29</v>
      </c>
      <c r="E263" s="15">
        <v>54</v>
      </c>
      <c r="F263" s="16" t="s">
        <v>72</v>
      </c>
      <c r="G263" s="16" t="s">
        <v>73</v>
      </c>
      <c r="H263" s="16" t="s">
        <v>47</v>
      </c>
      <c r="I263" s="16" t="s">
        <v>33</v>
      </c>
      <c r="J263" s="16" t="s">
        <v>49</v>
      </c>
      <c r="K263" s="17" t="s">
        <v>1205</v>
      </c>
      <c r="L263" s="17" t="s">
        <v>1206</v>
      </c>
      <c r="M263" t="s">
        <v>76</v>
      </c>
      <c r="N263" t="s">
        <v>358</v>
      </c>
      <c r="O263" t="s">
        <v>38</v>
      </c>
      <c r="P263" s="15">
        <v>0</v>
      </c>
      <c r="Q263" s="18">
        <v>78688</v>
      </c>
      <c r="R263" s="19">
        <v>25</v>
      </c>
      <c r="S263" s="14">
        <v>3</v>
      </c>
      <c r="T263" s="7">
        <v>77</v>
      </c>
      <c r="U263" s="15">
        <v>18</v>
      </c>
      <c r="V263" s="15">
        <v>31</v>
      </c>
      <c r="W263" s="15">
        <v>31</v>
      </c>
      <c r="X263" t="s">
        <v>61</v>
      </c>
      <c r="Y263" t="s">
        <v>78</v>
      </c>
      <c r="Z263" s="14">
        <v>2.2999999999999998</v>
      </c>
      <c r="AA263" s="12">
        <f>YEAR(Table1[Hire_Date])</f>
        <v>2024</v>
      </c>
      <c r="AB26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264" spans="1:28" x14ac:dyDescent="0.25">
      <c r="A264" t="s">
        <v>1207</v>
      </c>
      <c r="B264" s="16" t="s">
        <v>1208</v>
      </c>
      <c r="C264" s="16" t="s">
        <v>1209</v>
      </c>
      <c r="D264" t="s">
        <v>29</v>
      </c>
      <c r="E264" s="15">
        <v>53</v>
      </c>
      <c r="F264" s="16" t="s">
        <v>72</v>
      </c>
      <c r="G264" s="16" t="s">
        <v>97</v>
      </c>
      <c r="H264" s="16" t="s">
        <v>56</v>
      </c>
      <c r="I264" s="16" t="s">
        <v>33</v>
      </c>
      <c r="J264" s="16" t="s">
        <v>49</v>
      </c>
      <c r="K264" s="17" t="s">
        <v>1210</v>
      </c>
      <c r="M264" t="s">
        <v>36</v>
      </c>
      <c r="N264" t="s">
        <v>295</v>
      </c>
      <c r="O264" t="s">
        <v>60</v>
      </c>
      <c r="P264" s="15">
        <v>2</v>
      </c>
      <c r="Q264" s="18">
        <v>149002</v>
      </c>
      <c r="R264" s="19">
        <v>20</v>
      </c>
      <c r="S264" s="14">
        <v>4.5999999999999996</v>
      </c>
      <c r="T264" s="7">
        <v>93</v>
      </c>
      <c r="U264" s="15">
        <v>2</v>
      </c>
      <c r="V264" s="15">
        <v>25</v>
      </c>
      <c r="W264" s="15">
        <v>7</v>
      </c>
      <c r="X264" t="s">
        <v>39</v>
      </c>
      <c r="Y264" t="s">
        <v>78</v>
      </c>
      <c r="Z264" s="14">
        <v>6.8</v>
      </c>
      <c r="AA264" s="12">
        <f>YEAR(Table1[Hire_Date])</f>
        <v>2019</v>
      </c>
      <c r="AB26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265" spans="1:28" x14ac:dyDescent="0.25">
      <c r="A265" t="s">
        <v>1211</v>
      </c>
      <c r="B265" s="16" t="s">
        <v>1212</v>
      </c>
      <c r="C265" s="16" t="s">
        <v>1213</v>
      </c>
      <c r="D265" t="s">
        <v>29</v>
      </c>
      <c r="E265" s="15">
        <v>39</v>
      </c>
      <c r="F265" s="16" t="s">
        <v>72</v>
      </c>
      <c r="G265" s="16" t="s">
        <v>73</v>
      </c>
      <c r="H265" s="16" t="s">
        <v>32</v>
      </c>
      <c r="I265" s="16" t="s">
        <v>57</v>
      </c>
      <c r="J265" s="16" t="s">
        <v>34</v>
      </c>
      <c r="K265" s="17" t="s">
        <v>1214</v>
      </c>
      <c r="M265" t="s">
        <v>36</v>
      </c>
      <c r="N265" t="s">
        <v>137</v>
      </c>
      <c r="O265" t="s">
        <v>60</v>
      </c>
      <c r="P265" s="15">
        <v>14</v>
      </c>
      <c r="Q265" s="18">
        <v>97695</v>
      </c>
      <c r="R265" s="19">
        <v>21</v>
      </c>
      <c r="S265" s="14">
        <v>4.5999999999999996</v>
      </c>
      <c r="T265" s="7">
        <v>96</v>
      </c>
      <c r="U265" s="15">
        <v>10</v>
      </c>
      <c r="V265" s="15">
        <v>59</v>
      </c>
      <c r="W265" s="15">
        <v>7</v>
      </c>
      <c r="X265" t="s">
        <v>61</v>
      </c>
      <c r="Y265" t="s">
        <v>78</v>
      </c>
      <c r="Z265" s="14">
        <v>7.6</v>
      </c>
      <c r="AA265" s="12">
        <f>YEAR(Table1[Hire_Date])</f>
        <v>2018</v>
      </c>
      <c r="AB26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266" spans="1:28" x14ac:dyDescent="0.25">
      <c r="A266" t="s">
        <v>1215</v>
      </c>
      <c r="B266" s="16" t="s">
        <v>1216</v>
      </c>
      <c r="C266" s="16" t="s">
        <v>1217</v>
      </c>
      <c r="D266" t="s">
        <v>44</v>
      </c>
      <c r="E266" s="15">
        <v>49</v>
      </c>
      <c r="F266" s="16" t="s">
        <v>90</v>
      </c>
      <c r="G266" s="16" t="s">
        <v>13</v>
      </c>
      <c r="H266" s="16" t="s">
        <v>83</v>
      </c>
      <c r="I266" s="16" t="s">
        <v>57</v>
      </c>
      <c r="J266" s="16" t="s">
        <v>49</v>
      </c>
      <c r="K266" s="17" t="s">
        <v>1218</v>
      </c>
      <c r="M266" t="s">
        <v>36</v>
      </c>
      <c r="N266" t="s">
        <v>588</v>
      </c>
      <c r="O266" t="s">
        <v>60</v>
      </c>
      <c r="P266" s="15">
        <v>33</v>
      </c>
      <c r="Q266" s="18">
        <v>60390</v>
      </c>
      <c r="R266" s="19">
        <v>10</v>
      </c>
      <c r="S266" s="14">
        <v>3.8</v>
      </c>
      <c r="T266" s="7">
        <v>66</v>
      </c>
      <c r="U266" s="15">
        <v>8</v>
      </c>
      <c r="V266" s="15">
        <v>46</v>
      </c>
      <c r="W266" s="15">
        <v>38</v>
      </c>
      <c r="X266" t="s">
        <v>61</v>
      </c>
      <c r="Y266" t="s">
        <v>62</v>
      </c>
      <c r="Z266" s="14">
        <v>6</v>
      </c>
      <c r="AA266" s="12">
        <f>YEAR(Table1[Hire_Date])</f>
        <v>2020</v>
      </c>
      <c r="AB26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267" spans="1:28" x14ac:dyDescent="0.25">
      <c r="A267" t="s">
        <v>1219</v>
      </c>
      <c r="B267" s="16" t="s">
        <v>1220</v>
      </c>
      <c r="C267" s="16" t="s">
        <v>1221</v>
      </c>
      <c r="D267" t="s">
        <v>29</v>
      </c>
      <c r="E267" s="15">
        <v>45</v>
      </c>
      <c r="F267" s="16" t="s">
        <v>124</v>
      </c>
      <c r="G267" s="16" t="s">
        <v>141</v>
      </c>
      <c r="H267" s="16" t="s">
        <v>32</v>
      </c>
      <c r="I267" s="16" t="s">
        <v>57</v>
      </c>
      <c r="J267" s="16" t="s">
        <v>34</v>
      </c>
      <c r="K267" s="17" t="s">
        <v>1222</v>
      </c>
      <c r="M267" t="s">
        <v>36</v>
      </c>
      <c r="N267" t="s">
        <v>170</v>
      </c>
      <c r="O267" t="s">
        <v>38</v>
      </c>
      <c r="P267" s="15">
        <v>26</v>
      </c>
      <c r="Q267" s="18">
        <v>88847</v>
      </c>
      <c r="R267" s="19">
        <v>24</v>
      </c>
      <c r="S267" s="14">
        <v>4.3</v>
      </c>
      <c r="T267" s="7">
        <v>98</v>
      </c>
      <c r="U267" s="15">
        <v>15</v>
      </c>
      <c r="V267" s="15">
        <v>17</v>
      </c>
      <c r="W267" s="15">
        <v>74</v>
      </c>
      <c r="X267" t="s">
        <v>61</v>
      </c>
      <c r="Y267" t="s">
        <v>62</v>
      </c>
      <c r="Z267" s="14">
        <v>6.2</v>
      </c>
      <c r="AA267" s="12">
        <f>YEAR(Table1[Hire_Date])</f>
        <v>2020</v>
      </c>
      <c r="AB26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268" spans="1:28" x14ac:dyDescent="0.25">
      <c r="A268" t="s">
        <v>1223</v>
      </c>
      <c r="B268" s="16" t="s">
        <v>1224</v>
      </c>
      <c r="C268" s="16" t="s">
        <v>1225</v>
      </c>
      <c r="D268" t="s">
        <v>44</v>
      </c>
      <c r="E268" s="15">
        <v>40</v>
      </c>
      <c r="F268" s="16" t="s">
        <v>30</v>
      </c>
      <c r="G268" s="16" t="s">
        <v>13</v>
      </c>
      <c r="H268" s="16" t="s">
        <v>83</v>
      </c>
      <c r="I268" s="16" t="s">
        <v>57</v>
      </c>
      <c r="J268" s="16" t="s">
        <v>34</v>
      </c>
      <c r="K268" s="17" t="s">
        <v>1226</v>
      </c>
      <c r="M268" t="s">
        <v>36</v>
      </c>
      <c r="N268" t="s">
        <v>234</v>
      </c>
      <c r="O268" t="s">
        <v>60</v>
      </c>
      <c r="P268" s="15">
        <v>25</v>
      </c>
      <c r="Q268" s="18">
        <v>170455</v>
      </c>
      <c r="R268" s="19">
        <v>12</v>
      </c>
      <c r="S268" s="14">
        <v>4.0999999999999996</v>
      </c>
      <c r="T268" s="7">
        <v>53</v>
      </c>
      <c r="U268" s="15">
        <v>19</v>
      </c>
      <c r="V268" s="15">
        <v>24</v>
      </c>
      <c r="W268" s="15">
        <v>44</v>
      </c>
      <c r="X268" t="s">
        <v>39</v>
      </c>
      <c r="Y268" t="s">
        <v>78</v>
      </c>
      <c r="Z268" s="14">
        <v>10.4</v>
      </c>
      <c r="AA268" s="12">
        <f>YEAR(Table1[Hire_Date])</f>
        <v>2016</v>
      </c>
      <c r="AB26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269" spans="1:28" x14ac:dyDescent="0.25">
      <c r="A269" t="s">
        <v>1227</v>
      </c>
      <c r="B269" s="16" t="s">
        <v>1228</v>
      </c>
      <c r="C269" s="16" t="s">
        <v>1229</v>
      </c>
      <c r="D269" t="s">
        <v>29</v>
      </c>
      <c r="E269" s="15">
        <v>50</v>
      </c>
      <c r="F269" s="16" t="s">
        <v>45</v>
      </c>
      <c r="G269" s="16" t="s">
        <v>46</v>
      </c>
      <c r="H269" s="16" t="s">
        <v>83</v>
      </c>
      <c r="I269" s="16" t="s">
        <v>57</v>
      </c>
      <c r="J269" s="16" t="s">
        <v>49</v>
      </c>
      <c r="K269" s="17" t="s">
        <v>1230</v>
      </c>
      <c r="L269" s="17" t="s">
        <v>1231</v>
      </c>
      <c r="M269" t="s">
        <v>76</v>
      </c>
      <c r="N269" t="s">
        <v>385</v>
      </c>
      <c r="O269" t="s">
        <v>52</v>
      </c>
      <c r="P269" s="15">
        <v>35</v>
      </c>
      <c r="Q269" s="18">
        <v>165628</v>
      </c>
      <c r="R269" s="19">
        <v>20</v>
      </c>
      <c r="S269" s="14">
        <v>4.7</v>
      </c>
      <c r="T269" s="7">
        <v>79</v>
      </c>
      <c r="U269" s="15">
        <v>10</v>
      </c>
      <c r="V269" s="15">
        <v>43</v>
      </c>
      <c r="W269" s="15">
        <v>37</v>
      </c>
      <c r="X269" t="s">
        <v>61</v>
      </c>
      <c r="Y269" t="s">
        <v>62</v>
      </c>
      <c r="Z269" s="14">
        <v>6.5</v>
      </c>
      <c r="AA269" s="12">
        <f>YEAR(Table1[Hire_Date])</f>
        <v>2020</v>
      </c>
      <c r="AB26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270" spans="1:28" x14ac:dyDescent="0.25">
      <c r="A270" t="s">
        <v>1232</v>
      </c>
      <c r="B270" s="16" t="s">
        <v>1233</v>
      </c>
      <c r="C270" s="16" t="s">
        <v>1234</v>
      </c>
      <c r="D270" t="s">
        <v>29</v>
      </c>
      <c r="E270" s="15">
        <v>60</v>
      </c>
      <c r="F270" s="16" t="s">
        <v>124</v>
      </c>
      <c r="G270" s="16" t="s">
        <v>13</v>
      </c>
      <c r="H270" s="16" t="s">
        <v>56</v>
      </c>
      <c r="I270" s="16" t="s">
        <v>33</v>
      </c>
      <c r="J270" s="16" t="s">
        <v>49</v>
      </c>
      <c r="K270" s="17" t="s">
        <v>1235</v>
      </c>
      <c r="L270" s="17" t="s">
        <v>1236</v>
      </c>
      <c r="M270" t="s">
        <v>76</v>
      </c>
      <c r="N270" t="s">
        <v>1237</v>
      </c>
      <c r="O270" t="s">
        <v>52</v>
      </c>
      <c r="P270" s="15">
        <v>30</v>
      </c>
      <c r="Q270" s="18">
        <v>85343</v>
      </c>
      <c r="R270" s="19">
        <v>21</v>
      </c>
      <c r="S270" s="14">
        <v>2.9</v>
      </c>
      <c r="T270" s="7">
        <v>100</v>
      </c>
      <c r="U270" s="15">
        <v>6</v>
      </c>
      <c r="V270" s="15">
        <v>23</v>
      </c>
      <c r="W270" s="15">
        <v>56</v>
      </c>
      <c r="X270" t="s">
        <v>61</v>
      </c>
      <c r="Y270" t="s">
        <v>62</v>
      </c>
      <c r="Z270" s="14">
        <v>7.5</v>
      </c>
      <c r="AA270" s="12">
        <f>YEAR(Table1[Hire_Date])</f>
        <v>2019</v>
      </c>
      <c r="AB27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271" spans="1:28" x14ac:dyDescent="0.25">
      <c r="A271" t="s">
        <v>1238</v>
      </c>
      <c r="B271" s="16" t="s">
        <v>1239</v>
      </c>
      <c r="C271" s="16" t="s">
        <v>1240</v>
      </c>
      <c r="D271" t="s">
        <v>29</v>
      </c>
      <c r="E271" s="15">
        <v>31</v>
      </c>
      <c r="F271" s="16" t="s">
        <v>30</v>
      </c>
      <c r="G271" s="16" t="s">
        <v>13</v>
      </c>
      <c r="H271" s="16" t="s">
        <v>56</v>
      </c>
      <c r="I271" s="16" t="s">
        <v>48</v>
      </c>
      <c r="J271" s="16" t="s">
        <v>34</v>
      </c>
      <c r="K271" s="17" t="s">
        <v>1241</v>
      </c>
      <c r="L271" s="17" t="s">
        <v>1242</v>
      </c>
      <c r="M271" t="s">
        <v>76</v>
      </c>
      <c r="N271" t="s">
        <v>68</v>
      </c>
      <c r="O271" t="s">
        <v>52</v>
      </c>
      <c r="P271" s="15">
        <v>3</v>
      </c>
      <c r="Q271" s="18">
        <v>96442</v>
      </c>
      <c r="R271" s="19">
        <v>23</v>
      </c>
      <c r="S271" s="14">
        <v>3.2</v>
      </c>
      <c r="T271" s="7">
        <v>65</v>
      </c>
      <c r="U271" s="15">
        <v>15</v>
      </c>
      <c r="V271" s="15">
        <v>9</v>
      </c>
      <c r="W271" s="15">
        <v>74</v>
      </c>
      <c r="X271" t="s">
        <v>39</v>
      </c>
      <c r="Y271" t="s">
        <v>62</v>
      </c>
      <c r="Z271" s="14">
        <v>4.9000000000000004</v>
      </c>
      <c r="AA271" s="12">
        <f>YEAR(Table1[Hire_Date])</f>
        <v>2021</v>
      </c>
      <c r="AB27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272" spans="1:28" x14ac:dyDescent="0.25">
      <c r="A272" t="s">
        <v>1243</v>
      </c>
      <c r="B272" s="16" t="s">
        <v>1244</v>
      </c>
      <c r="C272" s="16" t="s">
        <v>1245</v>
      </c>
      <c r="D272" t="s">
        <v>29</v>
      </c>
      <c r="E272" s="15">
        <v>57</v>
      </c>
      <c r="F272" s="16" t="s">
        <v>72</v>
      </c>
      <c r="G272" s="16" t="s">
        <v>73</v>
      </c>
      <c r="H272" s="16" t="s">
        <v>32</v>
      </c>
      <c r="I272" s="16" t="s">
        <v>33</v>
      </c>
      <c r="J272" s="16" t="s">
        <v>34</v>
      </c>
      <c r="K272" s="17" t="s">
        <v>1246</v>
      </c>
      <c r="M272" t="s">
        <v>36</v>
      </c>
      <c r="N272" t="s">
        <v>258</v>
      </c>
      <c r="O272" t="s">
        <v>38</v>
      </c>
      <c r="P272" s="15">
        <v>19</v>
      </c>
      <c r="Q272" s="18">
        <v>60106</v>
      </c>
      <c r="R272" s="19">
        <v>21</v>
      </c>
      <c r="S272" s="14">
        <v>4.3</v>
      </c>
      <c r="T272" s="7">
        <v>94</v>
      </c>
      <c r="U272" s="15">
        <v>13</v>
      </c>
      <c r="V272" s="15">
        <v>13</v>
      </c>
      <c r="W272" s="15">
        <v>76</v>
      </c>
      <c r="X272" t="s">
        <v>39</v>
      </c>
      <c r="Y272" t="s">
        <v>62</v>
      </c>
      <c r="Z272" s="14">
        <v>7</v>
      </c>
      <c r="AA272" s="12">
        <f>YEAR(Table1[Hire_Date])</f>
        <v>2019</v>
      </c>
      <c r="AB27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273" spans="1:28" x14ac:dyDescent="0.25">
      <c r="A273" t="s">
        <v>1247</v>
      </c>
      <c r="B273" s="16" t="s">
        <v>1248</v>
      </c>
      <c r="C273" s="16" t="s">
        <v>1249</v>
      </c>
      <c r="D273" t="s">
        <v>29</v>
      </c>
      <c r="E273" s="15">
        <v>26</v>
      </c>
      <c r="F273" s="16" t="s">
        <v>45</v>
      </c>
      <c r="G273" s="16" t="s">
        <v>46</v>
      </c>
      <c r="H273" s="16" t="s">
        <v>32</v>
      </c>
      <c r="I273" s="16" t="s">
        <v>33</v>
      </c>
      <c r="J273" s="16" t="s">
        <v>34</v>
      </c>
      <c r="K273" s="17" t="s">
        <v>1250</v>
      </c>
      <c r="M273" t="s">
        <v>36</v>
      </c>
      <c r="N273" t="s">
        <v>469</v>
      </c>
      <c r="O273" t="s">
        <v>38</v>
      </c>
      <c r="P273" s="15">
        <v>8</v>
      </c>
      <c r="Q273" s="18">
        <v>81952</v>
      </c>
      <c r="R273" s="19">
        <v>17</v>
      </c>
      <c r="S273" s="14">
        <v>3.6</v>
      </c>
      <c r="T273" s="7">
        <v>62</v>
      </c>
      <c r="U273" s="15">
        <v>10</v>
      </c>
      <c r="V273" s="15">
        <v>35</v>
      </c>
      <c r="W273" s="15">
        <v>27</v>
      </c>
      <c r="X273" t="s">
        <v>39</v>
      </c>
      <c r="Y273" t="s">
        <v>62</v>
      </c>
      <c r="Z273" s="14">
        <v>4.3</v>
      </c>
      <c r="AA273" s="12">
        <f>YEAR(Table1[Hire_Date])</f>
        <v>2022</v>
      </c>
      <c r="AB27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274" spans="1:28" x14ac:dyDescent="0.25">
      <c r="A274" t="s">
        <v>1251</v>
      </c>
      <c r="B274" s="16" t="s">
        <v>1252</v>
      </c>
      <c r="C274" s="16" t="s">
        <v>1253</v>
      </c>
      <c r="D274" t="s">
        <v>29</v>
      </c>
      <c r="E274" s="15">
        <v>35</v>
      </c>
      <c r="F274" s="16" t="s">
        <v>103</v>
      </c>
      <c r="G274" s="16" t="s">
        <v>13</v>
      </c>
      <c r="H274" s="16" t="s">
        <v>56</v>
      </c>
      <c r="I274" s="16" t="s">
        <v>33</v>
      </c>
      <c r="J274" s="16" t="s">
        <v>49</v>
      </c>
      <c r="K274" s="17" t="s">
        <v>1254</v>
      </c>
      <c r="M274" t="s">
        <v>36</v>
      </c>
      <c r="N274" t="s">
        <v>51</v>
      </c>
      <c r="O274" t="s">
        <v>38</v>
      </c>
      <c r="P274" s="15">
        <v>28</v>
      </c>
      <c r="Q274" s="18">
        <v>111793</v>
      </c>
      <c r="R274" s="19">
        <v>21</v>
      </c>
      <c r="S274" s="14">
        <v>3.8</v>
      </c>
      <c r="T274" s="7">
        <v>57</v>
      </c>
      <c r="U274" s="15">
        <v>19</v>
      </c>
      <c r="V274" s="15">
        <v>38</v>
      </c>
      <c r="W274" s="15">
        <v>66</v>
      </c>
      <c r="X274" t="s">
        <v>39</v>
      </c>
      <c r="Y274" t="s">
        <v>78</v>
      </c>
      <c r="Z274" s="14">
        <v>7.7</v>
      </c>
      <c r="AA274" s="12">
        <f>YEAR(Table1[Hire_Date])</f>
        <v>2018</v>
      </c>
      <c r="AB27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275" spans="1:28" x14ac:dyDescent="0.25">
      <c r="A275" t="s">
        <v>1255</v>
      </c>
      <c r="B275" s="16" t="s">
        <v>1256</v>
      </c>
      <c r="C275" s="16" t="s">
        <v>1257</v>
      </c>
      <c r="D275" t="s">
        <v>44</v>
      </c>
      <c r="E275" s="15">
        <v>39</v>
      </c>
      <c r="F275" s="16" t="s">
        <v>45</v>
      </c>
      <c r="G275" s="16" t="s">
        <v>46</v>
      </c>
      <c r="H275" s="16" t="s">
        <v>56</v>
      </c>
      <c r="I275" s="16" t="s">
        <v>33</v>
      </c>
      <c r="J275" s="16" t="s">
        <v>49</v>
      </c>
      <c r="K275" s="17" t="s">
        <v>1258</v>
      </c>
      <c r="M275" t="s">
        <v>36</v>
      </c>
      <c r="N275" t="s">
        <v>1237</v>
      </c>
      <c r="O275" t="s">
        <v>60</v>
      </c>
      <c r="P275" s="15">
        <v>15</v>
      </c>
      <c r="Q275" s="18">
        <v>44565</v>
      </c>
      <c r="R275" s="19">
        <v>21</v>
      </c>
      <c r="S275" s="14">
        <v>3.2</v>
      </c>
      <c r="T275" s="7">
        <v>55</v>
      </c>
      <c r="U275" s="15">
        <v>20</v>
      </c>
      <c r="V275" s="15">
        <v>56</v>
      </c>
      <c r="W275" s="15">
        <v>3</v>
      </c>
      <c r="X275" t="s">
        <v>39</v>
      </c>
      <c r="Y275" t="s">
        <v>78</v>
      </c>
      <c r="Z275" s="14">
        <v>0.3</v>
      </c>
      <c r="AA275" s="12">
        <f>YEAR(Table1[Hire_Date])</f>
        <v>2026</v>
      </c>
      <c r="AB27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276" spans="1:28" x14ac:dyDescent="0.25">
      <c r="A276" t="s">
        <v>1259</v>
      </c>
      <c r="B276" s="16" t="s">
        <v>1260</v>
      </c>
      <c r="C276" s="16" t="s">
        <v>1261</v>
      </c>
      <c r="D276" t="s">
        <v>29</v>
      </c>
      <c r="E276" s="15">
        <v>27</v>
      </c>
      <c r="F276" s="16" t="s">
        <v>124</v>
      </c>
      <c r="G276" s="16" t="s">
        <v>141</v>
      </c>
      <c r="H276" s="16" t="s">
        <v>83</v>
      </c>
      <c r="I276" s="16" t="s">
        <v>33</v>
      </c>
      <c r="J276" s="16" t="s">
        <v>49</v>
      </c>
      <c r="K276" s="17" t="s">
        <v>1262</v>
      </c>
      <c r="L276" s="17" t="s">
        <v>1263</v>
      </c>
      <c r="M276" t="s">
        <v>76</v>
      </c>
      <c r="N276" t="s">
        <v>59</v>
      </c>
      <c r="O276" t="s">
        <v>52</v>
      </c>
      <c r="P276" s="15">
        <v>2</v>
      </c>
      <c r="Q276" s="18">
        <v>108181</v>
      </c>
      <c r="R276" s="19">
        <v>22</v>
      </c>
      <c r="S276" s="14">
        <v>4.7</v>
      </c>
      <c r="T276" s="7">
        <v>91</v>
      </c>
      <c r="U276" s="15">
        <v>18</v>
      </c>
      <c r="V276" s="15">
        <v>26</v>
      </c>
      <c r="W276" s="15">
        <v>57</v>
      </c>
      <c r="X276" t="s">
        <v>61</v>
      </c>
      <c r="Y276" t="s">
        <v>40</v>
      </c>
      <c r="Z276" s="14">
        <v>10.4</v>
      </c>
      <c r="AA276" s="12">
        <f>YEAR(Table1[Hire_Date])</f>
        <v>2016</v>
      </c>
      <c r="AB27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277" spans="1:28" x14ac:dyDescent="0.25">
      <c r="A277" t="s">
        <v>1264</v>
      </c>
      <c r="B277" s="16" t="s">
        <v>1265</v>
      </c>
      <c r="C277" s="16" t="s">
        <v>1266</v>
      </c>
      <c r="D277" t="s">
        <v>29</v>
      </c>
      <c r="E277" s="15">
        <v>24</v>
      </c>
      <c r="F277" s="16" t="s">
        <v>103</v>
      </c>
      <c r="G277" s="16" t="s">
        <v>147</v>
      </c>
      <c r="H277" s="16" t="s">
        <v>66</v>
      </c>
      <c r="I277" s="16" t="s">
        <v>33</v>
      </c>
      <c r="J277" s="16" t="s">
        <v>49</v>
      </c>
      <c r="K277" s="17" t="s">
        <v>1267</v>
      </c>
      <c r="L277" s="17" t="s">
        <v>1268</v>
      </c>
      <c r="M277" t="s">
        <v>76</v>
      </c>
      <c r="N277" t="s">
        <v>654</v>
      </c>
      <c r="O277" t="s">
        <v>52</v>
      </c>
      <c r="P277" s="15">
        <v>18</v>
      </c>
      <c r="Q277" s="18">
        <v>113547</v>
      </c>
      <c r="R277" s="19">
        <v>21</v>
      </c>
      <c r="S277" s="14">
        <v>4.7</v>
      </c>
      <c r="T277" s="7">
        <v>60</v>
      </c>
      <c r="U277" s="15">
        <v>1</v>
      </c>
      <c r="V277" s="15">
        <v>52</v>
      </c>
      <c r="W277" s="15">
        <v>11</v>
      </c>
      <c r="X277" t="s">
        <v>39</v>
      </c>
      <c r="Y277" t="s">
        <v>40</v>
      </c>
      <c r="Z277" s="14">
        <v>6.6</v>
      </c>
      <c r="AA277" s="12">
        <f>YEAR(Table1[Hire_Date])</f>
        <v>2020</v>
      </c>
      <c r="AB27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278" spans="1:28" x14ac:dyDescent="0.25">
      <c r="A278" t="s">
        <v>1269</v>
      </c>
      <c r="B278" s="16" t="s">
        <v>1270</v>
      </c>
      <c r="C278" s="16" t="s">
        <v>1271</v>
      </c>
      <c r="D278" t="s">
        <v>29</v>
      </c>
      <c r="E278" s="15">
        <v>22</v>
      </c>
      <c r="F278" s="16" t="s">
        <v>124</v>
      </c>
      <c r="G278" s="16" t="s">
        <v>141</v>
      </c>
      <c r="H278" s="16" t="s">
        <v>56</v>
      </c>
      <c r="I278" s="16" t="s">
        <v>57</v>
      </c>
      <c r="J278" s="16" t="s">
        <v>49</v>
      </c>
      <c r="K278" s="17" t="s">
        <v>1272</v>
      </c>
      <c r="M278" t="s">
        <v>36</v>
      </c>
      <c r="N278" t="s">
        <v>199</v>
      </c>
      <c r="O278" t="s">
        <v>38</v>
      </c>
      <c r="P278" s="15">
        <v>20</v>
      </c>
      <c r="Q278" s="18">
        <v>119822</v>
      </c>
      <c r="R278" s="19">
        <v>9</v>
      </c>
      <c r="S278" s="14">
        <v>3.5</v>
      </c>
      <c r="T278" s="7">
        <v>73</v>
      </c>
      <c r="U278" s="15">
        <v>12</v>
      </c>
      <c r="V278" s="15">
        <v>42</v>
      </c>
      <c r="W278" s="15">
        <v>5</v>
      </c>
      <c r="X278" t="s">
        <v>61</v>
      </c>
      <c r="Y278" t="s">
        <v>40</v>
      </c>
      <c r="Z278" s="14">
        <v>4.7</v>
      </c>
      <c r="AA278" s="12">
        <f>YEAR(Table1[Hire_Date])</f>
        <v>2021</v>
      </c>
      <c r="AB27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279" spans="1:28" x14ac:dyDescent="0.25">
      <c r="A279" t="s">
        <v>1273</v>
      </c>
      <c r="B279" s="16" t="s">
        <v>1274</v>
      </c>
      <c r="C279" s="16" t="s">
        <v>1275</v>
      </c>
      <c r="D279" t="s">
        <v>44</v>
      </c>
      <c r="E279" s="15">
        <v>59</v>
      </c>
      <c r="F279" s="16" t="s">
        <v>103</v>
      </c>
      <c r="G279" s="16" t="s">
        <v>104</v>
      </c>
      <c r="H279" s="16" t="s">
        <v>56</v>
      </c>
      <c r="I279" s="16" t="s">
        <v>48</v>
      </c>
      <c r="J279" s="16" t="s">
        <v>49</v>
      </c>
      <c r="K279" s="17" t="s">
        <v>1276</v>
      </c>
      <c r="M279" t="s">
        <v>36</v>
      </c>
      <c r="N279" t="s">
        <v>333</v>
      </c>
      <c r="O279" t="s">
        <v>60</v>
      </c>
      <c r="P279" s="15">
        <v>0</v>
      </c>
      <c r="Q279" s="18">
        <v>132631</v>
      </c>
      <c r="R279" s="19">
        <v>17</v>
      </c>
      <c r="S279" s="14">
        <v>2.6</v>
      </c>
      <c r="T279" s="7">
        <v>78</v>
      </c>
      <c r="U279" s="15">
        <v>0</v>
      </c>
      <c r="V279" s="15">
        <v>42</v>
      </c>
      <c r="W279" s="15">
        <v>41</v>
      </c>
      <c r="X279" t="s">
        <v>39</v>
      </c>
      <c r="Y279" t="s">
        <v>62</v>
      </c>
      <c r="Z279" s="14">
        <v>10.5</v>
      </c>
      <c r="AA279" s="12">
        <f>YEAR(Table1[Hire_Date])</f>
        <v>2016</v>
      </c>
      <c r="AB27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280" spans="1:28" x14ac:dyDescent="0.25">
      <c r="A280" t="s">
        <v>1277</v>
      </c>
      <c r="B280" s="16" t="s">
        <v>1278</v>
      </c>
      <c r="C280" s="16" t="s">
        <v>1279</v>
      </c>
      <c r="D280" t="s">
        <v>29</v>
      </c>
      <c r="E280" s="15">
        <v>30</v>
      </c>
      <c r="F280" s="16" t="s">
        <v>72</v>
      </c>
      <c r="G280" s="16" t="s">
        <v>73</v>
      </c>
      <c r="H280" s="16" t="s">
        <v>32</v>
      </c>
      <c r="I280" s="16" t="s">
        <v>48</v>
      </c>
      <c r="J280" s="16" t="s">
        <v>49</v>
      </c>
      <c r="K280" s="17" t="s">
        <v>1280</v>
      </c>
      <c r="M280" t="s">
        <v>36</v>
      </c>
      <c r="N280" t="s">
        <v>248</v>
      </c>
      <c r="O280" t="s">
        <v>60</v>
      </c>
      <c r="P280" s="15">
        <v>11</v>
      </c>
      <c r="Q280" s="18">
        <v>89667</v>
      </c>
      <c r="R280" s="19">
        <v>7</v>
      </c>
      <c r="S280" s="14">
        <v>3</v>
      </c>
      <c r="T280" s="7">
        <v>85</v>
      </c>
      <c r="U280" s="15">
        <v>16</v>
      </c>
      <c r="V280" s="15">
        <v>7</v>
      </c>
      <c r="W280" s="15">
        <v>60</v>
      </c>
      <c r="X280" t="s">
        <v>61</v>
      </c>
      <c r="Y280" t="s">
        <v>40</v>
      </c>
      <c r="Z280" s="14">
        <v>1.5</v>
      </c>
      <c r="AA280" s="12">
        <f>YEAR(Table1[Hire_Date])</f>
        <v>2025</v>
      </c>
      <c r="AB28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281" spans="1:28" x14ac:dyDescent="0.25">
      <c r="A281" t="s">
        <v>1281</v>
      </c>
      <c r="B281" s="16" t="s">
        <v>1282</v>
      </c>
      <c r="C281" s="16" t="s">
        <v>1283</v>
      </c>
      <c r="D281" t="s">
        <v>29</v>
      </c>
      <c r="E281" s="15">
        <v>31</v>
      </c>
      <c r="F281" s="16" t="s">
        <v>124</v>
      </c>
      <c r="G281" s="16" t="s">
        <v>141</v>
      </c>
      <c r="H281" s="16" t="s">
        <v>32</v>
      </c>
      <c r="I281" s="16" t="s">
        <v>57</v>
      </c>
      <c r="J281" s="16" t="s">
        <v>34</v>
      </c>
      <c r="K281" s="17" t="s">
        <v>1284</v>
      </c>
      <c r="M281" t="s">
        <v>36</v>
      </c>
      <c r="N281" t="s">
        <v>111</v>
      </c>
      <c r="O281" t="s">
        <v>52</v>
      </c>
      <c r="P281" s="15">
        <v>15</v>
      </c>
      <c r="Q281" s="18">
        <v>113735</v>
      </c>
      <c r="R281" s="19">
        <v>11</v>
      </c>
      <c r="S281" s="14">
        <v>4</v>
      </c>
      <c r="T281" s="7">
        <v>54</v>
      </c>
      <c r="U281" s="15">
        <v>15</v>
      </c>
      <c r="V281" s="15">
        <v>53</v>
      </c>
      <c r="W281" s="15">
        <v>50</v>
      </c>
      <c r="X281" t="s">
        <v>39</v>
      </c>
      <c r="Y281" t="s">
        <v>40</v>
      </c>
      <c r="Z281" s="14">
        <v>7.9</v>
      </c>
      <c r="AA281" s="12">
        <f>YEAR(Table1[Hire_Date])</f>
        <v>2018</v>
      </c>
      <c r="AB28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282" spans="1:28" x14ac:dyDescent="0.25">
      <c r="A282" t="s">
        <v>1285</v>
      </c>
      <c r="B282" s="16" t="s">
        <v>1286</v>
      </c>
      <c r="C282" s="16" t="s">
        <v>1287</v>
      </c>
      <c r="D282" t="s">
        <v>29</v>
      </c>
      <c r="E282" s="15">
        <v>36</v>
      </c>
      <c r="F282" s="16" t="s">
        <v>72</v>
      </c>
      <c r="G282" s="16" t="s">
        <v>97</v>
      </c>
      <c r="H282" s="16" t="s">
        <v>66</v>
      </c>
      <c r="I282" s="16" t="s">
        <v>48</v>
      </c>
      <c r="J282" s="16" t="s">
        <v>34</v>
      </c>
      <c r="K282" s="17" t="s">
        <v>1288</v>
      </c>
      <c r="M282" t="s">
        <v>36</v>
      </c>
      <c r="N282" t="s">
        <v>469</v>
      </c>
      <c r="O282" t="s">
        <v>60</v>
      </c>
      <c r="P282" s="15">
        <v>3</v>
      </c>
      <c r="Q282" s="18">
        <v>156791</v>
      </c>
      <c r="R282" s="19">
        <v>21</v>
      </c>
      <c r="S282" s="14">
        <v>3</v>
      </c>
      <c r="T282" s="7">
        <v>85</v>
      </c>
      <c r="U282" s="15">
        <v>4</v>
      </c>
      <c r="V282" s="15">
        <v>0</v>
      </c>
      <c r="W282" s="15">
        <v>11</v>
      </c>
      <c r="X282" t="s">
        <v>39</v>
      </c>
      <c r="Y282" t="s">
        <v>78</v>
      </c>
      <c r="Z282" s="14">
        <v>2.8</v>
      </c>
      <c r="AA282" s="12">
        <f>YEAR(Table1[Hire_Date])</f>
        <v>2023</v>
      </c>
      <c r="AB28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283" spans="1:28" x14ac:dyDescent="0.25">
      <c r="A283" t="s">
        <v>1289</v>
      </c>
      <c r="B283" s="16" t="s">
        <v>1290</v>
      </c>
      <c r="C283" s="16" t="s">
        <v>1291</v>
      </c>
      <c r="D283" t="s">
        <v>29</v>
      </c>
      <c r="E283" s="15">
        <v>40</v>
      </c>
      <c r="F283" s="16" t="s">
        <v>90</v>
      </c>
      <c r="G283" s="16" t="s">
        <v>13</v>
      </c>
      <c r="H283" s="16" t="s">
        <v>47</v>
      </c>
      <c r="I283" s="16" t="s">
        <v>57</v>
      </c>
      <c r="J283" s="16" t="s">
        <v>49</v>
      </c>
      <c r="K283" s="17" t="s">
        <v>1292</v>
      </c>
      <c r="M283" t="s">
        <v>36</v>
      </c>
      <c r="N283" t="s">
        <v>1237</v>
      </c>
      <c r="O283" t="s">
        <v>52</v>
      </c>
      <c r="P283" s="15">
        <v>31</v>
      </c>
      <c r="Q283" s="18">
        <v>144243</v>
      </c>
      <c r="R283" s="19">
        <v>8</v>
      </c>
      <c r="S283" s="14">
        <v>2.8</v>
      </c>
      <c r="T283" s="7">
        <v>84</v>
      </c>
      <c r="U283" s="15">
        <v>15</v>
      </c>
      <c r="V283" s="15">
        <v>48</v>
      </c>
      <c r="W283" s="15">
        <v>27</v>
      </c>
      <c r="X283" t="s">
        <v>39</v>
      </c>
      <c r="Y283" t="s">
        <v>78</v>
      </c>
      <c r="Z283" s="14">
        <v>8.6</v>
      </c>
      <c r="AA283" s="12">
        <f>YEAR(Table1[Hire_Date])</f>
        <v>2017</v>
      </c>
      <c r="AB28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284" spans="1:28" x14ac:dyDescent="0.25">
      <c r="A284" t="s">
        <v>1293</v>
      </c>
      <c r="B284" s="16" t="s">
        <v>1294</v>
      </c>
      <c r="C284" s="16" t="s">
        <v>1295</v>
      </c>
      <c r="D284" t="s">
        <v>29</v>
      </c>
      <c r="E284" s="15">
        <v>36</v>
      </c>
      <c r="F284" s="16" t="s">
        <v>72</v>
      </c>
      <c r="G284" s="16" t="s">
        <v>97</v>
      </c>
      <c r="H284" s="16" t="s">
        <v>83</v>
      </c>
      <c r="I284" s="16" t="s">
        <v>57</v>
      </c>
      <c r="J284" s="16" t="s">
        <v>34</v>
      </c>
      <c r="K284" s="17" t="s">
        <v>1296</v>
      </c>
      <c r="M284" t="s">
        <v>36</v>
      </c>
      <c r="N284" t="s">
        <v>1297</v>
      </c>
      <c r="O284" t="s">
        <v>60</v>
      </c>
      <c r="P284" s="15">
        <v>0</v>
      </c>
      <c r="Q284" s="18">
        <v>78250</v>
      </c>
      <c r="R284" s="19">
        <v>13</v>
      </c>
      <c r="S284" s="14">
        <v>3.8</v>
      </c>
      <c r="T284" s="7">
        <v>66</v>
      </c>
      <c r="U284" s="15">
        <v>5</v>
      </c>
      <c r="V284" s="15">
        <v>7</v>
      </c>
      <c r="W284" s="15">
        <v>61</v>
      </c>
      <c r="X284" t="s">
        <v>39</v>
      </c>
      <c r="Y284" t="s">
        <v>62</v>
      </c>
      <c r="Z284" s="14">
        <v>0.4</v>
      </c>
      <c r="AA284" s="12">
        <f>YEAR(Table1[Hire_Date])</f>
        <v>2026</v>
      </c>
      <c r="AB28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285" spans="1:28" x14ac:dyDescent="0.25">
      <c r="A285" t="s">
        <v>1298</v>
      </c>
      <c r="B285" s="16" t="s">
        <v>1299</v>
      </c>
      <c r="C285" s="16" t="s">
        <v>1300</v>
      </c>
      <c r="D285" t="s">
        <v>29</v>
      </c>
      <c r="E285" s="15">
        <v>45</v>
      </c>
      <c r="F285" s="16" t="s">
        <v>103</v>
      </c>
      <c r="G285" s="16" t="s">
        <v>147</v>
      </c>
      <c r="H285" s="16" t="s">
        <v>47</v>
      </c>
      <c r="I285" s="16" t="s">
        <v>33</v>
      </c>
      <c r="J285" s="16" t="s">
        <v>49</v>
      </c>
      <c r="K285" s="17" t="s">
        <v>1301</v>
      </c>
      <c r="M285" t="s">
        <v>36</v>
      </c>
      <c r="N285" t="s">
        <v>175</v>
      </c>
      <c r="O285" t="s">
        <v>60</v>
      </c>
      <c r="P285" s="15">
        <v>34</v>
      </c>
      <c r="Q285" s="18">
        <v>80588</v>
      </c>
      <c r="R285" s="19">
        <v>20</v>
      </c>
      <c r="S285" s="14">
        <v>4.3</v>
      </c>
      <c r="T285" s="7">
        <v>69</v>
      </c>
      <c r="U285" s="15">
        <v>1</v>
      </c>
      <c r="V285" s="15">
        <v>55</v>
      </c>
      <c r="W285" s="15">
        <v>77</v>
      </c>
      <c r="X285" t="s">
        <v>39</v>
      </c>
      <c r="Y285" t="s">
        <v>40</v>
      </c>
      <c r="Z285" s="14">
        <v>8.5</v>
      </c>
      <c r="AA285" s="12">
        <f>YEAR(Table1[Hire_Date])</f>
        <v>2018</v>
      </c>
      <c r="AB28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286" spans="1:28" x14ac:dyDescent="0.25">
      <c r="A286" t="s">
        <v>1302</v>
      </c>
      <c r="B286" s="16" t="s">
        <v>1303</v>
      </c>
      <c r="C286" s="16" t="s">
        <v>1304</v>
      </c>
      <c r="D286" t="s">
        <v>44</v>
      </c>
      <c r="E286" s="15">
        <v>50</v>
      </c>
      <c r="F286" s="16" t="s">
        <v>103</v>
      </c>
      <c r="G286" s="16" t="s">
        <v>104</v>
      </c>
      <c r="H286" s="16" t="s">
        <v>47</v>
      </c>
      <c r="I286" s="16" t="s">
        <v>33</v>
      </c>
      <c r="J286" s="16" t="s">
        <v>34</v>
      </c>
      <c r="K286" s="17" t="s">
        <v>1305</v>
      </c>
      <c r="M286" t="s">
        <v>36</v>
      </c>
      <c r="N286" t="s">
        <v>550</v>
      </c>
      <c r="O286" t="s">
        <v>38</v>
      </c>
      <c r="P286" s="15">
        <v>30</v>
      </c>
      <c r="Q286" s="18">
        <v>103050</v>
      </c>
      <c r="R286" s="19">
        <v>25</v>
      </c>
      <c r="S286" s="14">
        <v>2.6</v>
      </c>
      <c r="T286" s="7">
        <v>62</v>
      </c>
      <c r="U286" s="15">
        <v>16</v>
      </c>
      <c r="V286" s="15">
        <v>5</v>
      </c>
      <c r="W286" s="15">
        <v>69</v>
      </c>
      <c r="X286" t="s">
        <v>61</v>
      </c>
      <c r="Y286" t="s">
        <v>78</v>
      </c>
      <c r="Z286" s="14">
        <v>9</v>
      </c>
      <c r="AA286" s="12">
        <f>YEAR(Table1[Hire_Date])</f>
        <v>2017</v>
      </c>
      <c r="AB28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287" spans="1:28" x14ac:dyDescent="0.25">
      <c r="A287" t="s">
        <v>1306</v>
      </c>
      <c r="B287" s="16" t="s">
        <v>1307</v>
      </c>
      <c r="C287" s="16" t="s">
        <v>1308</v>
      </c>
      <c r="D287" t="s">
        <v>29</v>
      </c>
      <c r="E287" s="15">
        <v>60</v>
      </c>
      <c r="F287" s="16" t="s">
        <v>45</v>
      </c>
      <c r="G287" s="16" t="s">
        <v>82</v>
      </c>
      <c r="H287" s="16" t="s">
        <v>56</v>
      </c>
      <c r="I287" s="16" t="s">
        <v>33</v>
      </c>
      <c r="J287" s="16" t="s">
        <v>49</v>
      </c>
      <c r="K287" s="17" t="s">
        <v>1309</v>
      </c>
      <c r="M287" t="s">
        <v>36</v>
      </c>
      <c r="N287" t="s">
        <v>353</v>
      </c>
      <c r="O287" t="s">
        <v>60</v>
      </c>
      <c r="P287" s="15">
        <v>27</v>
      </c>
      <c r="Q287" s="18">
        <v>71424</v>
      </c>
      <c r="R287" s="19">
        <v>11</v>
      </c>
      <c r="S287" s="14">
        <v>4.7</v>
      </c>
      <c r="T287" s="7">
        <v>66</v>
      </c>
      <c r="U287" s="15">
        <v>14</v>
      </c>
      <c r="V287" s="15">
        <v>53</v>
      </c>
      <c r="W287" s="15">
        <v>4</v>
      </c>
      <c r="X287" t="s">
        <v>39</v>
      </c>
      <c r="Y287" t="s">
        <v>78</v>
      </c>
      <c r="Z287" s="14">
        <v>2.5</v>
      </c>
      <c r="AA287" s="12">
        <f>YEAR(Table1[Hire_Date])</f>
        <v>2024</v>
      </c>
      <c r="AB28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288" spans="1:28" x14ac:dyDescent="0.25">
      <c r="A288" t="s">
        <v>1310</v>
      </c>
      <c r="B288" s="16" t="s">
        <v>1311</v>
      </c>
      <c r="C288" s="16" t="s">
        <v>1312</v>
      </c>
      <c r="D288" t="s">
        <v>44</v>
      </c>
      <c r="E288" s="15">
        <v>49</v>
      </c>
      <c r="F288" s="16" t="s">
        <v>30</v>
      </c>
      <c r="G288" s="16" t="s">
        <v>31</v>
      </c>
      <c r="H288" s="16" t="s">
        <v>66</v>
      </c>
      <c r="I288" s="16" t="s">
        <v>33</v>
      </c>
      <c r="J288" s="16" t="s">
        <v>49</v>
      </c>
      <c r="K288" s="17" t="s">
        <v>1081</v>
      </c>
      <c r="M288" t="s">
        <v>36</v>
      </c>
      <c r="N288" t="s">
        <v>333</v>
      </c>
      <c r="O288" t="s">
        <v>60</v>
      </c>
      <c r="P288" s="15">
        <v>2</v>
      </c>
      <c r="Q288" s="18">
        <v>136748</v>
      </c>
      <c r="R288" s="19">
        <v>14</v>
      </c>
      <c r="S288" s="14">
        <v>3.2</v>
      </c>
      <c r="T288" s="7">
        <v>78</v>
      </c>
      <c r="U288" s="15">
        <v>11</v>
      </c>
      <c r="V288" s="15">
        <v>38</v>
      </c>
      <c r="W288" s="15">
        <v>59</v>
      </c>
      <c r="X288" t="s">
        <v>61</v>
      </c>
      <c r="Y288" t="s">
        <v>62</v>
      </c>
      <c r="Z288" s="14">
        <v>7.7</v>
      </c>
      <c r="AA288" s="12">
        <f>YEAR(Table1[Hire_Date])</f>
        <v>2018</v>
      </c>
      <c r="AB28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289" spans="1:28" x14ac:dyDescent="0.25">
      <c r="A289" t="s">
        <v>1313</v>
      </c>
      <c r="B289" s="16" t="s">
        <v>1314</v>
      </c>
      <c r="C289" s="16" t="s">
        <v>1315</v>
      </c>
      <c r="D289" t="s">
        <v>44</v>
      </c>
      <c r="E289" s="15">
        <v>33</v>
      </c>
      <c r="F289" s="16" t="s">
        <v>45</v>
      </c>
      <c r="G289" s="16" t="s">
        <v>82</v>
      </c>
      <c r="H289" s="16" t="s">
        <v>56</v>
      </c>
      <c r="I289" s="16" t="s">
        <v>33</v>
      </c>
      <c r="J289" s="16" t="s">
        <v>49</v>
      </c>
      <c r="K289" s="17" t="s">
        <v>1316</v>
      </c>
      <c r="M289" t="s">
        <v>36</v>
      </c>
      <c r="N289" t="s">
        <v>37</v>
      </c>
      <c r="O289" t="s">
        <v>60</v>
      </c>
      <c r="P289" s="15">
        <v>28</v>
      </c>
      <c r="Q289" s="18">
        <v>126338</v>
      </c>
      <c r="R289" s="19">
        <v>17</v>
      </c>
      <c r="S289" s="14">
        <v>3.4</v>
      </c>
      <c r="T289" s="7">
        <v>96</v>
      </c>
      <c r="U289" s="15">
        <v>9</v>
      </c>
      <c r="V289" s="15">
        <v>4</v>
      </c>
      <c r="W289" s="15">
        <v>8</v>
      </c>
      <c r="X289" t="s">
        <v>61</v>
      </c>
      <c r="Y289" t="s">
        <v>78</v>
      </c>
      <c r="Z289" s="14">
        <v>8.5</v>
      </c>
      <c r="AA289" s="12">
        <f>YEAR(Table1[Hire_Date])</f>
        <v>2018</v>
      </c>
      <c r="AB28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290" spans="1:28" x14ac:dyDescent="0.25">
      <c r="A290" t="s">
        <v>1317</v>
      </c>
      <c r="B290" s="16" t="s">
        <v>1318</v>
      </c>
      <c r="C290" s="16" t="s">
        <v>1319</v>
      </c>
      <c r="D290" t="s">
        <v>29</v>
      </c>
      <c r="E290" s="15">
        <v>28</v>
      </c>
      <c r="F290" s="16" t="s">
        <v>103</v>
      </c>
      <c r="G290" s="16" t="s">
        <v>13</v>
      </c>
      <c r="H290" s="16" t="s">
        <v>66</v>
      </c>
      <c r="I290" s="16" t="s">
        <v>33</v>
      </c>
      <c r="J290" s="16" t="s">
        <v>49</v>
      </c>
      <c r="K290" s="17" t="s">
        <v>1320</v>
      </c>
      <c r="M290" t="s">
        <v>36</v>
      </c>
      <c r="N290" t="s">
        <v>268</v>
      </c>
      <c r="O290" t="s">
        <v>38</v>
      </c>
      <c r="P290" s="15">
        <v>1</v>
      </c>
      <c r="Q290" s="18">
        <v>136435</v>
      </c>
      <c r="R290" s="19">
        <v>15</v>
      </c>
      <c r="S290" s="14">
        <v>4.5</v>
      </c>
      <c r="T290" s="7">
        <v>84</v>
      </c>
      <c r="U290" s="15">
        <v>18</v>
      </c>
      <c r="V290" s="15">
        <v>21</v>
      </c>
      <c r="W290" s="15">
        <v>49</v>
      </c>
      <c r="X290" t="s">
        <v>39</v>
      </c>
      <c r="Y290" t="s">
        <v>62</v>
      </c>
      <c r="Z290" s="14">
        <v>5.4</v>
      </c>
      <c r="AA290" s="12">
        <f>YEAR(Table1[Hire_Date])</f>
        <v>2021</v>
      </c>
      <c r="AB29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291" spans="1:28" x14ac:dyDescent="0.25">
      <c r="A291" t="s">
        <v>1321</v>
      </c>
      <c r="B291" s="16" t="s">
        <v>1322</v>
      </c>
      <c r="C291" s="16" t="s">
        <v>1323</v>
      </c>
      <c r="D291" t="s">
        <v>29</v>
      </c>
      <c r="E291" s="15">
        <v>22</v>
      </c>
      <c r="F291" s="16" t="s">
        <v>90</v>
      </c>
      <c r="G291" s="16" t="s">
        <v>281</v>
      </c>
      <c r="H291" s="16" t="s">
        <v>47</v>
      </c>
      <c r="I291" s="16" t="s">
        <v>57</v>
      </c>
      <c r="J291" s="16" t="s">
        <v>49</v>
      </c>
      <c r="K291" s="17" t="s">
        <v>1324</v>
      </c>
      <c r="M291" t="s">
        <v>36</v>
      </c>
      <c r="N291" t="s">
        <v>170</v>
      </c>
      <c r="O291" t="s">
        <v>60</v>
      </c>
      <c r="P291" s="15">
        <v>9</v>
      </c>
      <c r="Q291" s="18">
        <v>48188</v>
      </c>
      <c r="R291" s="19">
        <v>6</v>
      </c>
      <c r="S291" s="14">
        <v>4.7</v>
      </c>
      <c r="T291" s="7">
        <v>95</v>
      </c>
      <c r="U291" s="15">
        <v>11</v>
      </c>
      <c r="V291" s="15">
        <v>54</v>
      </c>
      <c r="W291" s="15">
        <v>12</v>
      </c>
      <c r="X291" t="s">
        <v>61</v>
      </c>
      <c r="Y291" t="s">
        <v>62</v>
      </c>
      <c r="Z291" s="14">
        <v>7</v>
      </c>
      <c r="AA291" s="12">
        <f>YEAR(Table1[Hire_Date])</f>
        <v>2019</v>
      </c>
      <c r="AB29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292" spans="1:28" x14ac:dyDescent="0.25">
      <c r="A292" t="s">
        <v>1325</v>
      </c>
      <c r="B292" s="16" t="s">
        <v>1326</v>
      </c>
      <c r="C292" s="16" t="s">
        <v>1327</v>
      </c>
      <c r="D292" t="s">
        <v>44</v>
      </c>
      <c r="E292" s="15">
        <v>51</v>
      </c>
      <c r="F292" s="16" t="s">
        <v>45</v>
      </c>
      <c r="G292" s="16" t="s">
        <v>46</v>
      </c>
      <c r="H292" s="16" t="s">
        <v>83</v>
      </c>
      <c r="I292" s="16" t="s">
        <v>48</v>
      </c>
      <c r="J292" s="16" t="s">
        <v>49</v>
      </c>
      <c r="K292" s="17" t="s">
        <v>1328</v>
      </c>
      <c r="M292" t="s">
        <v>36</v>
      </c>
      <c r="N292" t="s">
        <v>300</v>
      </c>
      <c r="O292" t="s">
        <v>52</v>
      </c>
      <c r="P292" s="15">
        <v>19</v>
      </c>
      <c r="Q292" s="18">
        <v>158981</v>
      </c>
      <c r="R292" s="19">
        <v>23</v>
      </c>
      <c r="S292" s="14">
        <v>3.6</v>
      </c>
      <c r="T292" s="7">
        <v>73</v>
      </c>
      <c r="U292" s="15">
        <v>12</v>
      </c>
      <c r="V292" s="15">
        <v>9</v>
      </c>
      <c r="W292" s="15">
        <v>56</v>
      </c>
      <c r="X292" t="s">
        <v>39</v>
      </c>
      <c r="Y292" t="s">
        <v>62</v>
      </c>
      <c r="Z292" s="14">
        <v>6.6</v>
      </c>
      <c r="AA292" s="12">
        <f>YEAR(Table1[Hire_Date])</f>
        <v>2019</v>
      </c>
      <c r="AB29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293" spans="1:28" x14ac:dyDescent="0.25">
      <c r="A293" t="s">
        <v>1329</v>
      </c>
      <c r="B293" s="16" t="s">
        <v>1330</v>
      </c>
      <c r="C293" s="16" t="s">
        <v>1331</v>
      </c>
      <c r="D293" t="s">
        <v>44</v>
      </c>
      <c r="E293" s="15">
        <v>41</v>
      </c>
      <c r="F293" s="16" t="s">
        <v>72</v>
      </c>
      <c r="G293" s="16" t="s">
        <v>97</v>
      </c>
      <c r="H293" s="16" t="s">
        <v>47</v>
      </c>
      <c r="I293" s="16" t="s">
        <v>57</v>
      </c>
      <c r="J293" s="16" t="s">
        <v>49</v>
      </c>
      <c r="K293" s="17" t="s">
        <v>1332</v>
      </c>
      <c r="M293" t="s">
        <v>36</v>
      </c>
      <c r="N293" t="s">
        <v>194</v>
      </c>
      <c r="O293" t="s">
        <v>38</v>
      </c>
      <c r="P293" s="15">
        <v>16</v>
      </c>
      <c r="Q293" s="18">
        <v>54241</v>
      </c>
      <c r="R293" s="19">
        <v>23</v>
      </c>
      <c r="S293" s="14">
        <v>4.9000000000000004</v>
      </c>
      <c r="T293" s="7">
        <v>78</v>
      </c>
      <c r="U293" s="15">
        <v>15</v>
      </c>
      <c r="V293" s="15">
        <v>36</v>
      </c>
      <c r="W293" s="15">
        <v>61</v>
      </c>
      <c r="X293" t="s">
        <v>61</v>
      </c>
      <c r="Y293" t="s">
        <v>78</v>
      </c>
      <c r="Z293" s="14">
        <v>3.2</v>
      </c>
      <c r="AA293" s="12">
        <f>YEAR(Table1[Hire_Date])</f>
        <v>2023</v>
      </c>
      <c r="AB29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294" spans="1:28" x14ac:dyDescent="0.25">
      <c r="A294" t="s">
        <v>1333</v>
      </c>
      <c r="B294" s="16" t="s">
        <v>1334</v>
      </c>
      <c r="C294" s="16" t="s">
        <v>1335</v>
      </c>
      <c r="D294" t="s">
        <v>29</v>
      </c>
      <c r="E294" s="15">
        <v>41</v>
      </c>
      <c r="F294" s="16" t="s">
        <v>30</v>
      </c>
      <c r="G294" s="16" t="s">
        <v>31</v>
      </c>
      <c r="H294" s="16" t="s">
        <v>83</v>
      </c>
      <c r="I294" s="16" t="s">
        <v>48</v>
      </c>
      <c r="J294" s="16" t="s">
        <v>49</v>
      </c>
      <c r="K294" s="17" t="s">
        <v>1336</v>
      </c>
      <c r="M294" t="s">
        <v>36</v>
      </c>
      <c r="N294" t="s">
        <v>367</v>
      </c>
      <c r="O294" t="s">
        <v>60</v>
      </c>
      <c r="P294" s="15">
        <v>0</v>
      </c>
      <c r="Q294" s="18">
        <v>136356</v>
      </c>
      <c r="R294" s="19">
        <v>16</v>
      </c>
      <c r="S294" s="14">
        <v>3</v>
      </c>
      <c r="T294" s="7">
        <v>67</v>
      </c>
      <c r="U294" s="15">
        <v>0</v>
      </c>
      <c r="V294" s="15">
        <v>32</v>
      </c>
      <c r="W294" s="15">
        <v>47</v>
      </c>
      <c r="X294" t="s">
        <v>39</v>
      </c>
      <c r="Y294" t="s">
        <v>62</v>
      </c>
      <c r="Z294" s="14">
        <v>4.5999999999999996</v>
      </c>
      <c r="AA294" s="12">
        <f>YEAR(Table1[Hire_Date])</f>
        <v>2022</v>
      </c>
      <c r="AB29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295" spans="1:28" x14ac:dyDescent="0.25">
      <c r="A295" t="s">
        <v>1337</v>
      </c>
      <c r="B295" s="16" t="s">
        <v>1338</v>
      </c>
      <c r="C295" s="16" t="s">
        <v>1339</v>
      </c>
      <c r="D295" t="s">
        <v>29</v>
      </c>
      <c r="E295" s="15">
        <v>21</v>
      </c>
      <c r="F295" s="16" t="s">
        <v>30</v>
      </c>
      <c r="G295" s="16" t="s">
        <v>13</v>
      </c>
      <c r="H295" s="16" t="s">
        <v>47</v>
      </c>
      <c r="I295" s="16" t="s">
        <v>48</v>
      </c>
      <c r="J295" s="16" t="s">
        <v>49</v>
      </c>
      <c r="K295" s="17" t="s">
        <v>1340</v>
      </c>
      <c r="M295" t="s">
        <v>36</v>
      </c>
      <c r="N295" t="s">
        <v>149</v>
      </c>
      <c r="O295" t="s">
        <v>38</v>
      </c>
      <c r="P295" s="15">
        <v>22</v>
      </c>
      <c r="Q295" s="18">
        <v>73550</v>
      </c>
      <c r="R295" s="19">
        <v>24</v>
      </c>
      <c r="S295" s="14">
        <v>3.9</v>
      </c>
      <c r="T295" s="7">
        <v>94</v>
      </c>
      <c r="U295" s="15">
        <v>3</v>
      </c>
      <c r="V295" s="15">
        <v>54</v>
      </c>
      <c r="W295" s="15">
        <v>51</v>
      </c>
      <c r="X295" t="s">
        <v>61</v>
      </c>
      <c r="Y295" t="s">
        <v>78</v>
      </c>
      <c r="Z295" s="14">
        <v>4.8</v>
      </c>
      <c r="AA295" s="12">
        <f>YEAR(Table1[Hire_Date])</f>
        <v>2021</v>
      </c>
      <c r="AB29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296" spans="1:28" x14ac:dyDescent="0.25">
      <c r="A296" t="s">
        <v>1341</v>
      </c>
      <c r="B296" s="16" t="s">
        <v>1342</v>
      </c>
      <c r="C296" s="16" t="s">
        <v>1343</v>
      </c>
      <c r="D296" t="s">
        <v>29</v>
      </c>
      <c r="E296" s="15">
        <v>22</v>
      </c>
      <c r="F296" s="16" t="s">
        <v>90</v>
      </c>
      <c r="G296" s="16" t="s">
        <v>13</v>
      </c>
      <c r="H296" s="16" t="s">
        <v>47</v>
      </c>
      <c r="I296" s="16" t="s">
        <v>48</v>
      </c>
      <c r="J296" s="16" t="s">
        <v>49</v>
      </c>
      <c r="K296" s="17" t="s">
        <v>1344</v>
      </c>
      <c r="L296" s="17" t="s">
        <v>1345</v>
      </c>
      <c r="M296" t="s">
        <v>76</v>
      </c>
      <c r="N296" t="s">
        <v>170</v>
      </c>
      <c r="O296" t="s">
        <v>60</v>
      </c>
      <c r="P296" s="15">
        <v>0</v>
      </c>
      <c r="Q296" s="18">
        <v>56524</v>
      </c>
      <c r="R296" s="19">
        <v>13</v>
      </c>
      <c r="S296" s="14">
        <v>3.4</v>
      </c>
      <c r="T296" s="7">
        <v>77</v>
      </c>
      <c r="U296" s="15">
        <v>2</v>
      </c>
      <c r="V296" s="15">
        <v>25</v>
      </c>
      <c r="W296" s="15">
        <v>42</v>
      </c>
      <c r="X296" t="s">
        <v>61</v>
      </c>
      <c r="Y296" t="s">
        <v>78</v>
      </c>
      <c r="Z296" s="14">
        <v>0.6</v>
      </c>
      <c r="AA296" s="12">
        <f>YEAR(Table1[Hire_Date])</f>
        <v>2025</v>
      </c>
      <c r="AB29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297" spans="1:28" x14ac:dyDescent="0.25">
      <c r="A297" t="s">
        <v>1346</v>
      </c>
      <c r="B297" s="16" t="s">
        <v>1347</v>
      </c>
      <c r="C297" s="16" t="s">
        <v>1348</v>
      </c>
      <c r="D297" t="s">
        <v>44</v>
      </c>
      <c r="E297" s="15">
        <v>22</v>
      </c>
      <c r="F297" s="16" t="s">
        <v>103</v>
      </c>
      <c r="G297" s="16" t="s">
        <v>147</v>
      </c>
      <c r="H297" s="16" t="s">
        <v>66</v>
      </c>
      <c r="I297" s="16" t="s">
        <v>33</v>
      </c>
      <c r="J297" s="16" t="s">
        <v>49</v>
      </c>
      <c r="K297" s="17" t="s">
        <v>1349</v>
      </c>
      <c r="M297" t="s">
        <v>36</v>
      </c>
      <c r="N297" t="s">
        <v>659</v>
      </c>
      <c r="O297" t="s">
        <v>52</v>
      </c>
      <c r="P297" s="15">
        <v>7</v>
      </c>
      <c r="Q297" s="18">
        <v>100296</v>
      </c>
      <c r="R297" s="19">
        <v>17</v>
      </c>
      <c r="S297" s="14">
        <v>4.7</v>
      </c>
      <c r="T297" s="7">
        <v>76</v>
      </c>
      <c r="U297" s="15">
        <v>16</v>
      </c>
      <c r="V297" s="15">
        <v>10</v>
      </c>
      <c r="W297" s="15">
        <v>4</v>
      </c>
      <c r="X297" t="s">
        <v>61</v>
      </c>
      <c r="Y297" t="s">
        <v>62</v>
      </c>
      <c r="Z297" s="14">
        <v>7.7</v>
      </c>
      <c r="AA297" s="12">
        <f>YEAR(Table1[Hire_Date])</f>
        <v>2018</v>
      </c>
      <c r="AB29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298" spans="1:28" x14ac:dyDescent="0.25">
      <c r="A298" t="s">
        <v>1350</v>
      </c>
      <c r="B298" s="16" t="s">
        <v>1351</v>
      </c>
      <c r="C298" s="16" t="s">
        <v>1352</v>
      </c>
      <c r="D298" t="s">
        <v>29</v>
      </c>
      <c r="E298" s="15">
        <v>54</v>
      </c>
      <c r="F298" s="16" t="s">
        <v>45</v>
      </c>
      <c r="G298" s="16" t="s">
        <v>82</v>
      </c>
      <c r="H298" s="16" t="s">
        <v>56</v>
      </c>
      <c r="I298" s="16" t="s">
        <v>57</v>
      </c>
      <c r="J298" s="16" t="s">
        <v>49</v>
      </c>
      <c r="K298" s="17" t="s">
        <v>1353</v>
      </c>
      <c r="M298" t="s">
        <v>36</v>
      </c>
      <c r="N298" t="s">
        <v>691</v>
      </c>
      <c r="O298" t="s">
        <v>52</v>
      </c>
      <c r="P298" s="15">
        <v>17</v>
      </c>
      <c r="Q298" s="18">
        <v>148053</v>
      </c>
      <c r="R298" s="19">
        <v>11</v>
      </c>
      <c r="S298" s="14">
        <v>4.3</v>
      </c>
      <c r="T298" s="7">
        <v>97</v>
      </c>
      <c r="U298" s="15">
        <v>17</v>
      </c>
      <c r="V298" s="15">
        <v>9</v>
      </c>
      <c r="W298" s="15">
        <v>13</v>
      </c>
      <c r="X298" t="s">
        <v>39</v>
      </c>
      <c r="Y298" t="s">
        <v>62</v>
      </c>
      <c r="Z298" s="14">
        <v>7.7</v>
      </c>
      <c r="AA298" s="12">
        <f>YEAR(Table1[Hire_Date])</f>
        <v>2018</v>
      </c>
      <c r="AB29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299" spans="1:28" x14ac:dyDescent="0.25">
      <c r="A299" t="s">
        <v>1354</v>
      </c>
      <c r="B299" s="16" t="s">
        <v>1355</v>
      </c>
      <c r="C299" s="16" t="s">
        <v>1356</v>
      </c>
      <c r="D299" t="s">
        <v>29</v>
      </c>
      <c r="E299" s="15">
        <v>21</v>
      </c>
      <c r="F299" s="16" t="s">
        <v>103</v>
      </c>
      <c r="G299" s="16" t="s">
        <v>104</v>
      </c>
      <c r="H299" s="16" t="s">
        <v>56</v>
      </c>
      <c r="I299" s="16" t="s">
        <v>33</v>
      </c>
      <c r="J299" s="16" t="s">
        <v>49</v>
      </c>
      <c r="K299" s="17" t="s">
        <v>1357</v>
      </c>
      <c r="M299" t="s">
        <v>36</v>
      </c>
      <c r="N299" t="s">
        <v>286</v>
      </c>
      <c r="O299" t="s">
        <v>52</v>
      </c>
      <c r="P299" s="15">
        <v>13</v>
      </c>
      <c r="Q299" s="18">
        <v>66281</v>
      </c>
      <c r="R299" s="19">
        <v>20</v>
      </c>
      <c r="S299" s="14">
        <v>4</v>
      </c>
      <c r="T299" s="7">
        <v>84</v>
      </c>
      <c r="U299" s="15">
        <v>1</v>
      </c>
      <c r="V299" s="15">
        <v>20</v>
      </c>
      <c r="W299" s="15">
        <v>36</v>
      </c>
      <c r="X299" t="s">
        <v>39</v>
      </c>
      <c r="Y299" t="s">
        <v>62</v>
      </c>
      <c r="Z299" s="14">
        <v>2.8</v>
      </c>
      <c r="AA299" s="12">
        <f>YEAR(Table1[Hire_Date])</f>
        <v>2023</v>
      </c>
      <c r="AB29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300" spans="1:28" x14ac:dyDescent="0.25">
      <c r="A300" t="s">
        <v>1358</v>
      </c>
      <c r="B300" s="16" t="s">
        <v>1359</v>
      </c>
      <c r="C300" s="16" t="s">
        <v>1360</v>
      </c>
      <c r="D300" t="s">
        <v>44</v>
      </c>
      <c r="E300" s="15">
        <v>24</v>
      </c>
      <c r="F300" s="16" t="s">
        <v>30</v>
      </c>
      <c r="G300" s="16" t="s">
        <v>13</v>
      </c>
      <c r="H300" s="16" t="s">
        <v>66</v>
      </c>
      <c r="I300" s="16" t="s">
        <v>33</v>
      </c>
      <c r="J300" s="16" t="s">
        <v>34</v>
      </c>
      <c r="K300" s="17" t="s">
        <v>1361</v>
      </c>
      <c r="M300" t="s">
        <v>36</v>
      </c>
      <c r="N300" t="s">
        <v>342</v>
      </c>
      <c r="O300" t="s">
        <v>60</v>
      </c>
      <c r="P300" s="15">
        <v>8</v>
      </c>
      <c r="Q300" s="18">
        <v>123572</v>
      </c>
      <c r="R300" s="19">
        <v>14</v>
      </c>
      <c r="S300" s="14">
        <v>3.8</v>
      </c>
      <c r="T300" s="7">
        <v>95</v>
      </c>
      <c r="U300" s="15">
        <v>14</v>
      </c>
      <c r="V300" s="15">
        <v>20</v>
      </c>
      <c r="W300" s="15">
        <v>25</v>
      </c>
      <c r="X300" t="s">
        <v>61</v>
      </c>
      <c r="Y300" t="s">
        <v>40</v>
      </c>
      <c r="Z300" s="14">
        <v>7.1</v>
      </c>
      <c r="AA300" s="12">
        <f>YEAR(Table1[Hire_Date])</f>
        <v>2019</v>
      </c>
      <c r="AB30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301" spans="1:28" x14ac:dyDescent="0.25">
      <c r="A301" t="s">
        <v>1362</v>
      </c>
      <c r="B301" s="16" t="s">
        <v>1363</v>
      </c>
      <c r="C301" s="16" t="s">
        <v>1364</v>
      </c>
      <c r="D301" t="s">
        <v>44</v>
      </c>
      <c r="E301" s="15">
        <v>56</v>
      </c>
      <c r="F301" s="16" t="s">
        <v>103</v>
      </c>
      <c r="G301" s="16" t="s">
        <v>13</v>
      </c>
      <c r="H301" s="16" t="s">
        <v>66</v>
      </c>
      <c r="I301" s="16" t="s">
        <v>48</v>
      </c>
      <c r="J301" s="16" t="s">
        <v>34</v>
      </c>
      <c r="K301" s="17" t="s">
        <v>1365</v>
      </c>
      <c r="M301" t="s">
        <v>36</v>
      </c>
      <c r="N301" t="s">
        <v>149</v>
      </c>
      <c r="O301" t="s">
        <v>38</v>
      </c>
      <c r="P301" s="15">
        <v>19</v>
      </c>
      <c r="Q301" s="18">
        <v>118367</v>
      </c>
      <c r="R301" s="19">
        <v>23</v>
      </c>
      <c r="S301" s="14">
        <v>2.9</v>
      </c>
      <c r="T301" s="7">
        <v>91</v>
      </c>
      <c r="U301" s="15">
        <v>18</v>
      </c>
      <c r="V301" s="15">
        <v>51</v>
      </c>
      <c r="W301" s="15">
        <v>22</v>
      </c>
      <c r="X301" t="s">
        <v>39</v>
      </c>
      <c r="Y301" t="s">
        <v>78</v>
      </c>
      <c r="Z301" s="14">
        <v>9.1999999999999993</v>
      </c>
      <c r="AA301" s="12">
        <f>YEAR(Table1[Hire_Date])</f>
        <v>2017</v>
      </c>
      <c r="AB30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302" spans="1:28" x14ac:dyDescent="0.25">
      <c r="A302" t="s">
        <v>1366</v>
      </c>
      <c r="B302" s="16" t="s">
        <v>1367</v>
      </c>
      <c r="C302" s="16" t="s">
        <v>1368</v>
      </c>
      <c r="D302" t="s">
        <v>29</v>
      </c>
      <c r="E302" s="15">
        <v>50</v>
      </c>
      <c r="F302" s="16" t="s">
        <v>90</v>
      </c>
      <c r="G302" s="16" t="s">
        <v>281</v>
      </c>
      <c r="H302" s="16" t="s">
        <v>56</v>
      </c>
      <c r="I302" s="16" t="s">
        <v>57</v>
      </c>
      <c r="J302" s="16" t="s">
        <v>34</v>
      </c>
      <c r="K302" s="17" t="s">
        <v>1369</v>
      </c>
      <c r="L302" s="17" t="s">
        <v>447</v>
      </c>
      <c r="M302" t="s">
        <v>76</v>
      </c>
      <c r="N302" t="s">
        <v>300</v>
      </c>
      <c r="O302" t="s">
        <v>60</v>
      </c>
      <c r="P302" s="15">
        <v>33</v>
      </c>
      <c r="Q302" s="18">
        <v>160986</v>
      </c>
      <c r="R302" s="19">
        <v>15</v>
      </c>
      <c r="S302" s="14">
        <v>3.5</v>
      </c>
      <c r="T302" s="7">
        <v>77</v>
      </c>
      <c r="U302" s="15">
        <v>18</v>
      </c>
      <c r="V302" s="15">
        <v>8</v>
      </c>
      <c r="W302" s="15">
        <v>23</v>
      </c>
      <c r="X302" t="s">
        <v>61</v>
      </c>
      <c r="Y302" t="s">
        <v>40</v>
      </c>
      <c r="Z302" s="14">
        <v>8.1999999999999993</v>
      </c>
      <c r="AA302" s="12">
        <f>YEAR(Table1[Hire_Date])</f>
        <v>2018</v>
      </c>
      <c r="AB30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303" spans="1:28" x14ac:dyDescent="0.25">
      <c r="A303" t="s">
        <v>1370</v>
      </c>
      <c r="B303" s="16" t="s">
        <v>1371</v>
      </c>
      <c r="C303" s="16" t="s">
        <v>1372</v>
      </c>
      <c r="D303" t="s">
        <v>44</v>
      </c>
      <c r="E303" s="15">
        <v>21</v>
      </c>
      <c r="F303" s="16" t="s">
        <v>124</v>
      </c>
      <c r="G303" s="16" t="s">
        <v>13</v>
      </c>
      <c r="H303" s="16" t="s">
        <v>56</v>
      </c>
      <c r="I303" s="16" t="s">
        <v>57</v>
      </c>
      <c r="J303" s="16" t="s">
        <v>34</v>
      </c>
      <c r="K303" s="17" t="s">
        <v>1373</v>
      </c>
      <c r="M303" t="s">
        <v>36</v>
      </c>
      <c r="N303" t="s">
        <v>300</v>
      </c>
      <c r="O303" t="s">
        <v>60</v>
      </c>
      <c r="P303" s="15">
        <v>31</v>
      </c>
      <c r="Q303" s="18">
        <v>117860</v>
      </c>
      <c r="R303" s="19">
        <v>14</v>
      </c>
      <c r="S303" s="14">
        <v>4.8</v>
      </c>
      <c r="T303" s="7">
        <v>56</v>
      </c>
      <c r="U303" s="15">
        <v>18</v>
      </c>
      <c r="V303" s="15">
        <v>18</v>
      </c>
      <c r="W303" s="15">
        <v>27</v>
      </c>
      <c r="X303" t="s">
        <v>61</v>
      </c>
      <c r="Y303" t="s">
        <v>40</v>
      </c>
      <c r="Z303" s="14">
        <v>6.1</v>
      </c>
      <c r="AA303" s="12">
        <f>YEAR(Table1[Hire_Date])</f>
        <v>2020</v>
      </c>
      <c r="AB30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304" spans="1:28" x14ac:dyDescent="0.25">
      <c r="A304" t="s">
        <v>1374</v>
      </c>
      <c r="B304" s="16" t="s">
        <v>1375</v>
      </c>
      <c r="C304" s="16" t="s">
        <v>1376</v>
      </c>
      <c r="D304" t="s">
        <v>29</v>
      </c>
      <c r="E304" s="15">
        <v>26</v>
      </c>
      <c r="F304" s="16" t="s">
        <v>45</v>
      </c>
      <c r="G304" s="16" t="s">
        <v>46</v>
      </c>
      <c r="H304" s="16" t="s">
        <v>66</v>
      </c>
      <c r="I304" s="16" t="s">
        <v>57</v>
      </c>
      <c r="J304" s="16" t="s">
        <v>34</v>
      </c>
      <c r="K304" s="17" t="s">
        <v>900</v>
      </c>
      <c r="M304" t="s">
        <v>36</v>
      </c>
      <c r="N304" t="s">
        <v>1069</v>
      </c>
      <c r="O304" t="s">
        <v>60</v>
      </c>
      <c r="P304" s="15">
        <v>12</v>
      </c>
      <c r="Q304" s="18">
        <v>53992</v>
      </c>
      <c r="R304" s="19">
        <v>20</v>
      </c>
      <c r="S304" s="14">
        <v>3.8</v>
      </c>
      <c r="T304" s="7">
        <v>74</v>
      </c>
      <c r="U304" s="15">
        <v>3</v>
      </c>
      <c r="V304" s="15">
        <v>17</v>
      </c>
      <c r="W304" s="15">
        <v>75</v>
      </c>
      <c r="X304" t="s">
        <v>39</v>
      </c>
      <c r="Y304" t="s">
        <v>78</v>
      </c>
      <c r="Z304" s="14">
        <v>8.5</v>
      </c>
      <c r="AA304" s="12">
        <f>YEAR(Table1[Hire_Date])</f>
        <v>2018</v>
      </c>
      <c r="AB30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305" spans="1:28" x14ac:dyDescent="0.25">
      <c r="A305" t="s">
        <v>1377</v>
      </c>
      <c r="B305" s="16" t="s">
        <v>1378</v>
      </c>
      <c r="C305" s="16" t="s">
        <v>1379</v>
      </c>
      <c r="D305" t="s">
        <v>44</v>
      </c>
      <c r="E305" s="15">
        <v>55</v>
      </c>
      <c r="F305" s="16" t="s">
        <v>103</v>
      </c>
      <c r="G305" s="16" t="s">
        <v>147</v>
      </c>
      <c r="H305" s="16" t="s">
        <v>66</v>
      </c>
      <c r="I305" s="16" t="s">
        <v>57</v>
      </c>
      <c r="J305" s="16" t="s">
        <v>34</v>
      </c>
      <c r="K305" s="17" t="s">
        <v>1380</v>
      </c>
      <c r="M305" t="s">
        <v>36</v>
      </c>
      <c r="N305" t="s">
        <v>286</v>
      </c>
      <c r="O305" t="s">
        <v>60</v>
      </c>
      <c r="P305" s="15">
        <v>7</v>
      </c>
      <c r="Q305" s="18">
        <v>40949</v>
      </c>
      <c r="R305" s="19">
        <v>17</v>
      </c>
      <c r="S305" s="14">
        <v>3</v>
      </c>
      <c r="T305" s="7">
        <v>64</v>
      </c>
      <c r="U305" s="15">
        <v>16</v>
      </c>
      <c r="V305" s="15">
        <v>20</v>
      </c>
      <c r="W305" s="15">
        <v>65</v>
      </c>
      <c r="X305" t="s">
        <v>61</v>
      </c>
      <c r="Y305" t="s">
        <v>40</v>
      </c>
      <c r="Z305" s="14">
        <v>4.9000000000000004</v>
      </c>
      <c r="AA305" s="12">
        <f>YEAR(Table1[Hire_Date])</f>
        <v>2021</v>
      </c>
      <c r="AB30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306" spans="1:28" x14ac:dyDescent="0.25">
      <c r="A306" t="s">
        <v>1381</v>
      </c>
      <c r="B306" s="16" t="s">
        <v>1382</v>
      </c>
      <c r="C306" s="16" t="s">
        <v>1383</v>
      </c>
      <c r="D306" t="s">
        <v>29</v>
      </c>
      <c r="E306" s="15">
        <v>33</v>
      </c>
      <c r="F306" s="16" t="s">
        <v>124</v>
      </c>
      <c r="G306" s="16" t="s">
        <v>141</v>
      </c>
      <c r="H306" s="16" t="s">
        <v>32</v>
      </c>
      <c r="I306" s="16" t="s">
        <v>33</v>
      </c>
      <c r="J306" s="16" t="s">
        <v>34</v>
      </c>
      <c r="K306" s="17" t="s">
        <v>1384</v>
      </c>
      <c r="M306" t="s">
        <v>36</v>
      </c>
      <c r="N306" t="s">
        <v>86</v>
      </c>
      <c r="O306" t="s">
        <v>60</v>
      </c>
      <c r="P306" s="15">
        <v>12</v>
      </c>
      <c r="Q306" s="18">
        <v>99807</v>
      </c>
      <c r="R306" s="19">
        <v>14</v>
      </c>
      <c r="S306" s="14">
        <v>4</v>
      </c>
      <c r="T306" s="7">
        <v>88</v>
      </c>
      <c r="U306" s="15">
        <v>6</v>
      </c>
      <c r="V306" s="15">
        <v>53</v>
      </c>
      <c r="W306" s="15">
        <v>68</v>
      </c>
      <c r="X306" t="s">
        <v>39</v>
      </c>
      <c r="Y306" t="s">
        <v>62</v>
      </c>
      <c r="Z306" s="14">
        <v>9.3000000000000007</v>
      </c>
      <c r="AA306" s="12">
        <f>YEAR(Table1[Hire_Date])</f>
        <v>2017</v>
      </c>
      <c r="AB30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307" spans="1:28" x14ac:dyDescent="0.25">
      <c r="A307" t="s">
        <v>1385</v>
      </c>
      <c r="B307" s="16" t="s">
        <v>1386</v>
      </c>
      <c r="C307" s="16" t="s">
        <v>1387</v>
      </c>
      <c r="D307" t="s">
        <v>44</v>
      </c>
      <c r="E307" s="15">
        <v>37</v>
      </c>
      <c r="F307" s="16" t="s">
        <v>45</v>
      </c>
      <c r="G307" s="16" t="s">
        <v>46</v>
      </c>
      <c r="H307" s="16" t="s">
        <v>83</v>
      </c>
      <c r="I307" s="16" t="s">
        <v>57</v>
      </c>
      <c r="J307" s="16" t="s">
        <v>49</v>
      </c>
      <c r="K307" s="17" t="s">
        <v>1388</v>
      </c>
      <c r="M307" t="s">
        <v>36</v>
      </c>
      <c r="N307" t="s">
        <v>380</v>
      </c>
      <c r="O307" t="s">
        <v>38</v>
      </c>
      <c r="P307" s="15">
        <v>14</v>
      </c>
      <c r="Q307" s="18">
        <v>99220</v>
      </c>
      <c r="R307" s="19">
        <v>12</v>
      </c>
      <c r="S307" s="14">
        <v>3.1</v>
      </c>
      <c r="T307" s="7">
        <v>56</v>
      </c>
      <c r="U307" s="15">
        <v>3</v>
      </c>
      <c r="V307" s="15">
        <v>33</v>
      </c>
      <c r="W307" s="15">
        <v>18</v>
      </c>
      <c r="X307" t="s">
        <v>61</v>
      </c>
      <c r="Y307" t="s">
        <v>40</v>
      </c>
      <c r="Z307" s="14">
        <v>10.3</v>
      </c>
      <c r="AA307" s="12">
        <f>YEAR(Table1[Hire_Date])</f>
        <v>2016</v>
      </c>
      <c r="AB30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308" spans="1:28" x14ac:dyDescent="0.25">
      <c r="A308" t="s">
        <v>1389</v>
      </c>
      <c r="B308" s="16" t="s">
        <v>1390</v>
      </c>
      <c r="C308" s="16" t="s">
        <v>1391</v>
      </c>
      <c r="D308" t="s">
        <v>44</v>
      </c>
      <c r="E308" s="15">
        <v>46</v>
      </c>
      <c r="F308" s="16" t="s">
        <v>72</v>
      </c>
      <c r="G308" s="16" t="s">
        <v>73</v>
      </c>
      <c r="H308" s="16" t="s">
        <v>47</v>
      </c>
      <c r="I308" s="16" t="s">
        <v>57</v>
      </c>
      <c r="J308" s="16" t="s">
        <v>49</v>
      </c>
      <c r="K308" s="17" t="s">
        <v>1392</v>
      </c>
      <c r="M308" t="s">
        <v>36</v>
      </c>
      <c r="N308" t="s">
        <v>385</v>
      </c>
      <c r="O308" t="s">
        <v>60</v>
      </c>
      <c r="P308" s="15">
        <v>6</v>
      </c>
      <c r="Q308" s="18">
        <v>87118</v>
      </c>
      <c r="R308" s="19">
        <v>24</v>
      </c>
      <c r="S308" s="14">
        <v>4</v>
      </c>
      <c r="T308" s="7">
        <v>68</v>
      </c>
      <c r="U308" s="15">
        <v>0</v>
      </c>
      <c r="V308" s="15">
        <v>35</v>
      </c>
      <c r="W308" s="15">
        <v>65</v>
      </c>
      <c r="X308" t="s">
        <v>61</v>
      </c>
      <c r="Y308" t="s">
        <v>40</v>
      </c>
      <c r="Z308" s="14">
        <v>3.7</v>
      </c>
      <c r="AA308" s="12">
        <f>YEAR(Table1[Hire_Date])</f>
        <v>2022</v>
      </c>
      <c r="AB30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309" spans="1:28" x14ac:dyDescent="0.25">
      <c r="A309" t="s">
        <v>1393</v>
      </c>
      <c r="B309" s="16" t="s">
        <v>1394</v>
      </c>
      <c r="C309" s="16" t="s">
        <v>1395</v>
      </c>
      <c r="D309" t="s">
        <v>29</v>
      </c>
      <c r="E309" s="15">
        <v>25</v>
      </c>
      <c r="F309" s="16" t="s">
        <v>90</v>
      </c>
      <c r="G309" s="16" t="s">
        <v>281</v>
      </c>
      <c r="H309" s="16" t="s">
        <v>47</v>
      </c>
      <c r="I309" s="16" t="s">
        <v>48</v>
      </c>
      <c r="J309" s="16" t="s">
        <v>34</v>
      </c>
      <c r="K309" s="17" t="s">
        <v>1396</v>
      </c>
      <c r="M309" t="s">
        <v>36</v>
      </c>
      <c r="N309" t="s">
        <v>263</v>
      </c>
      <c r="O309" t="s">
        <v>38</v>
      </c>
      <c r="P309" s="15">
        <v>5</v>
      </c>
      <c r="Q309" s="18">
        <v>67556</v>
      </c>
      <c r="R309" s="19">
        <v>15</v>
      </c>
      <c r="S309" s="14">
        <v>3.3</v>
      </c>
      <c r="T309" s="7">
        <v>93</v>
      </c>
      <c r="U309" s="15">
        <v>2</v>
      </c>
      <c r="V309" s="15">
        <v>28</v>
      </c>
      <c r="W309" s="15">
        <v>70</v>
      </c>
      <c r="X309" t="s">
        <v>61</v>
      </c>
      <c r="Y309" t="s">
        <v>40</v>
      </c>
      <c r="Z309" s="14">
        <v>0.3</v>
      </c>
      <c r="AA309" s="12">
        <f>YEAR(Table1[Hire_Date])</f>
        <v>2026</v>
      </c>
      <c r="AB30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310" spans="1:28" x14ac:dyDescent="0.25">
      <c r="A310" t="s">
        <v>1397</v>
      </c>
      <c r="B310" s="16" t="s">
        <v>1398</v>
      </c>
      <c r="C310" s="16" t="s">
        <v>1399</v>
      </c>
      <c r="D310" t="s">
        <v>44</v>
      </c>
      <c r="E310" s="15">
        <v>50</v>
      </c>
      <c r="F310" s="16" t="s">
        <v>45</v>
      </c>
      <c r="G310" s="16" t="s">
        <v>46</v>
      </c>
      <c r="H310" s="16" t="s">
        <v>32</v>
      </c>
      <c r="I310" s="16" t="s">
        <v>33</v>
      </c>
      <c r="J310" s="16" t="s">
        <v>34</v>
      </c>
      <c r="K310" s="17" t="s">
        <v>1400</v>
      </c>
      <c r="M310" t="s">
        <v>36</v>
      </c>
      <c r="N310" t="s">
        <v>395</v>
      </c>
      <c r="O310" t="s">
        <v>38</v>
      </c>
      <c r="P310" s="15">
        <v>14</v>
      </c>
      <c r="Q310" s="18">
        <v>118109</v>
      </c>
      <c r="R310" s="19">
        <v>11</v>
      </c>
      <c r="S310" s="14">
        <v>3.9</v>
      </c>
      <c r="T310" s="7">
        <v>85</v>
      </c>
      <c r="U310" s="15">
        <v>9</v>
      </c>
      <c r="V310" s="15">
        <v>19</v>
      </c>
      <c r="W310" s="15">
        <v>3</v>
      </c>
      <c r="X310" t="s">
        <v>39</v>
      </c>
      <c r="Y310" t="s">
        <v>40</v>
      </c>
      <c r="Z310" s="14">
        <v>2.4</v>
      </c>
      <c r="AA310" s="12">
        <f>YEAR(Table1[Hire_Date])</f>
        <v>2024</v>
      </c>
      <c r="AB31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311" spans="1:28" x14ac:dyDescent="0.25">
      <c r="A311" t="s">
        <v>1401</v>
      </c>
      <c r="B311" s="16" t="s">
        <v>1402</v>
      </c>
      <c r="C311" s="16" t="s">
        <v>1403</v>
      </c>
      <c r="D311" t="s">
        <v>29</v>
      </c>
      <c r="E311" s="15">
        <v>28</v>
      </c>
      <c r="F311" s="16" t="s">
        <v>72</v>
      </c>
      <c r="G311" s="16" t="s">
        <v>73</v>
      </c>
      <c r="H311" s="16" t="s">
        <v>47</v>
      </c>
      <c r="I311" s="16" t="s">
        <v>57</v>
      </c>
      <c r="J311" s="16" t="s">
        <v>34</v>
      </c>
      <c r="K311" s="17" t="s">
        <v>1404</v>
      </c>
      <c r="M311" t="s">
        <v>36</v>
      </c>
      <c r="N311" t="s">
        <v>51</v>
      </c>
      <c r="O311" t="s">
        <v>60</v>
      </c>
      <c r="P311" s="15">
        <v>4</v>
      </c>
      <c r="Q311" s="18">
        <v>113028</v>
      </c>
      <c r="R311" s="19">
        <v>9</v>
      </c>
      <c r="S311" s="14">
        <v>2.6</v>
      </c>
      <c r="T311" s="7">
        <v>76</v>
      </c>
      <c r="U311" s="15">
        <v>19</v>
      </c>
      <c r="V311" s="15">
        <v>31</v>
      </c>
      <c r="W311" s="15">
        <v>62</v>
      </c>
      <c r="X311" t="s">
        <v>61</v>
      </c>
      <c r="Y311" t="s">
        <v>40</v>
      </c>
      <c r="Z311" s="14">
        <v>0.3</v>
      </c>
      <c r="AA311" s="12">
        <f>YEAR(Table1[Hire_Date])</f>
        <v>2026</v>
      </c>
      <c r="AB31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312" spans="1:28" x14ac:dyDescent="0.25">
      <c r="A312" t="s">
        <v>1405</v>
      </c>
      <c r="B312" s="16" t="s">
        <v>1406</v>
      </c>
      <c r="C312" s="16" t="s">
        <v>1407</v>
      </c>
      <c r="D312" t="s">
        <v>29</v>
      </c>
      <c r="E312" s="15">
        <v>56</v>
      </c>
      <c r="F312" s="16" t="s">
        <v>124</v>
      </c>
      <c r="G312" s="16" t="s">
        <v>104</v>
      </c>
      <c r="H312" s="16" t="s">
        <v>83</v>
      </c>
      <c r="I312" s="16" t="s">
        <v>33</v>
      </c>
      <c r="J312" s="16" t="s">
        <v>34</v>
      </c>
      <c r="K312" s="17" t="s">
        <v>1408</v>
      </c>
      <c r="M312" t="s">
        <v>36</v>
      </c>
      <c r="N312" t="s">
        <v>155</v>
      </c>
      <c r="O312" t="s">
        <v>52</v>
      </c>
      <c r="P312" s="15">
        <v>31</v>
      </c>
      <c r="Q312" s="18">
        <v>146368</v>
      </c>
      <c r="R312" s="19">
        <v>20</v>
      </c>
      <c r="S312" s="14">
        <v>2.9</v>
      </c>
      <c r="T312" s="7">
        <v>62</v>
      </c>
      <c r="U312" s="15">
        <v>13</v>
      </c>
      <c r="V312" s="15">
        <v>22</v>
      </c>
      <c r="W312" s="15">
        <v>8</v>
      </c>
      <c r="X312" t="s">
        <v>39</v>
      </c>
      <c r="Y312" t="s">
        <v>40</v>
      </c>
      <c r="Z312" s="14">
        <v>5.6</v>
      </c>
      <c r="AA312" s="12">
        <f>YEAR(Table1[Hire_Date])</f>
        <v>2020</v>
      </c>
      <c r="AB31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313" spans="1:28" x14ac:dyDescent="0.25">
      <c r="A313" t="s">
        <v>1409</v>
      </c>
      <c r="B313" s="16" t="s">
        <v>1410</v>
      </c>
      <c r="C313" s="16" t="s">
        <v>1411</v>
      </c>
      <c r="D313" t="s">
        <v>29</v>
      </c>
      <c r="E313" s="15">
        <v>21</v>
      </c>
      <c r="F313" s="16" t="s">
        <v>30</v>
      </c>
      <c r="G313" s="16" t="s">
        <v>13</v>
      </c>
      <c r="H313" s="16" t="s">
        <v>32</v>
      </c>
      <c r="I313" s="16" t="s">
        <v>57</v>
      </c>
      <c r="J313" s="16" t="s">
        <v>34</v>
      </c>
      <c r="K313" s="17" t="s">
        <v>1412</v>
      </c>
      <c r="M313" t="s">
        <v>36</v>
      </c>
      <c r="N313" t="s">
        <v>224</v>
      </c>
      <c r="O313" t="s">
        <v>52</v>
      </c>
      <c r="P313" s="15">
        <v>4</v>
      </c>
      <c r="Q313" s="18">
        <v>174678</v>
      </c>
      <c r="R313" s="19">
        <v>8</v>
      </c>
      <c r="S313" s="14">
        <v>2.9</v>
      </c>
      <c r="T313" s="7">
        <v>97</v>
      </c>
      <c r="U313" s="15">
        <v>2</v>
      </c>
      <c r="V313" s="15">
        <v>14</v>
      </c>
      <c r="W313" s="15">
        <v>19</v>
      </c>
      <c r="X313" t="s">
        <v>39</v>
      </c>
      <c r="Y313" t="s">
        <v>40</v>
      </c>
      <c r="Z313" s="14">
        <v>3.1</v>
      </c>
      <c r="AA313" s="12">
        <f>YEAR(Table1[Hire_Date])</f>
        <v>2023</v>
      </c>
      <c r="AB31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314" spans="1:28" x14ac:dyDescent="0.25">
      <c r="A314" t="s">
        <v>1413</v>
      </c>
      <c r="B314" s="16" t="s">
        <v>1414</v>
      </c>
      <c r="C314" s="16" t="s">
        <v>1415</v>
      </c>
      <c r="D314" t="s">
        <v>29</v>
      </c>
      <c r="E314" s="15">
        <v>43</v>
      </c>
      <c r="F314" s="16" t="s">
        <v>30</v>
      </c>
      <c r="G314" s="16" t="s">
        <v>13</v>
      </c>
      <c r="H314" s="16" t="s">
        <v>83</v>
      </c>
      <c r="I314" s="16" t="s">
        <v>33</v>
      </c>
      <c r="J314" s="16" t="s">
        <v>49</v>
      </c>
      <c r="K314" s="17" t="s">
        <v>1416</v>
      </c>
      <c r="M314" t="s">
        <v>36</v>
      </c>
      <c r="N314" t="s">
        <v>224</v>
      </c>
      <c r="O314" t="s">
        <v>52</v>
      </c>
      <c r="P314" s="15">
        <v>17</v>
      </c>
      <c r="Q314" s="18">
        <v>103080</v>
      </c>
      <c r="R314" s="19">
        <v>8</v>
      </c>
      <c r="S314" s="14">
        <v>2.8</v>
      </c>
      <c r="T314" s="7">
        <v>100</v>
      </c>
      <c r="U314" s="15">
        <v>6</v>
      </c>
      <c r="V314" s="15">
        <v>30</v>
      </c>
      <c r="W314" s="15">
        <v>24</v>
      </c>
      <c r="X314" t="s">
        <v>61</v>
      </c>
      <c r="Y314" t="s">
        <v>78</v>
      </c>
      <c r="Z314" s="14">
        <v>1.6</v>
      </c>
      <c r="AA314" s="12">
        <f>YEAR(Table1[Hire_Date])</f>
        <v>2024</v>
      </c>
      <c r="AB31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315" spans="1:28" x14ac:dyDescent="0.25">
      <c r="A315" t="s">
        <v>1417</v>
      </c>
      <c r="B315" s="16" t="s">
        <v>1418</v>
      </c>
      <c r="C315" s="16" t="s">
        <v>1419</v>
      </c>
      <c r="D315" t="s">
        <v>44</v>
      </c>
      <c r="E315" s="15">
        <v>54</v>
      </c>
      <c r="F315" s="16" t="s">
        <v>124</v>
      </c>
      <c r="G315" s="16" t="s">
        <v>13</v>
      </c>
      <c r="H315" s="16" t="s">
        <v>66</v>
      </c>
      <c r="I315" s="16" t="s">
        <v>48</v>
      </c>
      <c r="J315" s="16" t="s">
        <v>49</v>
      </c>
      <c r="K315" s="17" t="s">
        <v>1420</v>
      </c>
      <c r="M315" t="s">
        <v>36</v>
      </c>
      <c r="N315" t="s">
        <v>37</v>
      </c>
      <c r="O315" t="s">
        <v>60</v>
      </c>
      <c r="P315" s="15">
        <v>21</v>
      </c>
      <c r="Q315" s="18">
        <v>137011</v>
      </c>
      <c r="R315" s="19">
        <v>17</v>
      </c>
      <c r="S315" s="14">
        <v>2.8</v>
      </c>
      <c r="T315" s="7">
        <v>91</v>
      </c>
      <c r="U315" s="15">
        <v>12</v>
      </c>
      <c r="V315" s="15">
        <v>29</v>
      </c>
      <c r="W315" s="15">
        <v>22</v>
      </c>
      <c r="X315" t="s">
        <v>39</v>
      </c>
      <c r="Y315" t="s">
        <v>62</v>
      </c>
      <c r="Z315" s="14">
        <v>8.9</v>
      </c>
      <c r="AA315" s="12">
        <f>YEAR(Table1[Hire_Date])</f>
        <v>2017</v>
      </c>
      <c r="AB31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316" spans="1:28" x14ac:dyDescent="0.25">
      <c r="A316" t="s">
        <v>1421</v>
      </c>
      <c r="B316" s="16" t="s">
        <v>1422</v>
      </c>
      <c r="C316" s="16" t="s">
        <v>1423</v>
      </c>
      <c r="D316" t="s">
        <v>29</v>
      </c>
      <c r="E316" s="15">
        <v>43</v>
      </c>
      <c r="F316" s="16" t="s">
        <v>30</v>
      </c>
      <c r="G316" s="16" t="s">
        <v>31</v>
      </c>
      <c r="H316" s="16" t="s">
        <v>66</v>
      </c>
      <c r="I316" s="16" t="s">
        <v>48</v>
      </c>
      <c r="J316" s="16" t="s">
        <v>49</v>
      </c>
      <c r="K316" s="17" t="s">
        <v>1424</v>
      </c>
      <c r="M316" t="s">
        <v>36</v>
      </c>
      <c r="N316" t="s">
        <v>510</v>
      </c>
      <c r="O316" t="s">
        <v>52</v>
      </c>
      <c r="P316" s="15">
        <v>21</v>
      </c>
      <c r="Q316" s="18">
        <v>147924</v>
      </c>
      <c r="R316" s="19">
        <v>25</v>
      </c>
      <c r="S316" s="14">
        <v>3.7</v>
      </c>
      <c r="T316" s="7">
        <v>79</v>
      </c>
      <c r="U316" s="15">
        <v>0</v>
      </c>
      <c r="V316" s="15">
        <v>22</v>
      </c>
      <c r="W316" s="15">
        <v>75</v>
      </c>
      <c r="X316" t="s">
        <v>61</v>
      </c>
      <c r="Y316" t="s">
        <v>78</v>
      </c>
      <c r="Z316" s="14">
        <v>10.1</v>
      </c>
      <c r="AA316" s="12">
        <f>YEAR(Table1[Hire_Date])</f>
        <v>2016</v>
      </c>
      <c r="AB31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317" spans="1:28" x14ac:dyDescent="0.25">
      <c r="A317" t="s">
        <v>1425</v>
      </c>
      <c r="B317" s="16" t="s">
        <v>1426</v>
      </c>
      <c r="C317" s="16" t="s">
        <v>1427</v>
      </c>
      <c r="D317" t="s">
        <v>29</v>
      </c>
      <c r="E317" s="15">
        <v>29</v>
      </c>
      <c r="F317" s="16" t="s">
        <v>45</v>
      </c>
      <c r="G317" s="16" t="s">
        <v>82</v>
      </c>
      <c r="H317" s="16" t="s">
        <v>66</v>
      </c>
      <c r="I317" s="16" t="s">
        <v>33</v>
      </c>
      <c r="J317" s="16" t="s">
        <v>34</v>
      </c>
      <c r="K317" s="17" t="s">
        <v>1428</v>
      </c>
      <c r="M317" t="s">
        <v>36</v>
      </c>
      <c r="N317" t="s">
        <v>328</v>
      </c>
      <c r="O317" t="s">
        <v>38</v>
      </c>
      <c r="P317" s="15">
        <v>21</v>
      </c>
      <c r="Q317" s="18">
        <v>51244</v>
      </c>
      <c r="R317" s="19">
        <v>22</v>
      </c>
      <c r="S317" s="14">
        <v>2.7</v>
      </c>
      <c r="T317" s="7">
        <v>63</v>
      </c>
      <c r="U317" s="15">
        <v>4</v>
      </c>
      <c r="V317" s="15">
        <v>55</v>
      </c>
      <c r="W317" s="15">
        <v>35</v>
      </c>
      <c r="X317" t="s">
        <v>61</v>
      </c>
      <c r="Y317" t="s">
        <v>40</v>
      </c>
      <c r="Z317" s="14">
        <v>8.6</v>
      </c>
      <c r="AA317" s="12">
        <f>YEAR(Table1[Hire_Date])</f>
        <v>2018</v>
      </c>
      <c r="AB31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318" spans="1:28" x14ac:dyDescent="0.25">
      <c r="A318" t="s">
        <v>1429</v>
      </c>
      <c r="B318" s="16" t="s">
        <v>1430</v>
      </c>
      <c r="C318" s="16" t="s">
        <v>1431</v>
      </c>
      <c r="D318" t="s">
        <v>29</v>
      </c>
      <c r="E318" s="15">
        <v>45</v>
      </c>
      <c r="F318" s="16" t="s">
        <v>72</v>
      </c>
      <c r="G318" s="16" t="s">
        <v>73</v>
      </c>
      <c r="H318" s="16" t="s">
        <v>56</v>
      </c>
      <c r="I318" s="16" t="s">
        <v>48</v>
      </c>
      <c r="J318" s="16" t="s">
        <v>34</v>
      </c>
      <c r="K318" s="17" t="s">
        <v>1432</v>
      </c>
      <c r="M318" t="s">
        <v>36</v>
      </c>
      <c r="N318" t="s">
        <v>505</v>
      </c>
      <c r="O318" t="s">
        <v>52</v>
      </c>
      <c r="P318" s="15">
        <v>35</v>
      </c>
      <c r="Q318" s="18">
        <v>50648</v>
      </c>
      <c r="R318" s="19">
        <v>9</v>
      </c>
      <c r="S318" s="14">
        <v>4.2</v>
      </c>
      <c r="T318" s="7">
        <v>54</v>
      </c>
      <c r="U318" s="15">
        <v>9</v>
      </c>
      <c r="V318" s="15">
        <v>1</v>
      </c>
      <c r="W318" s="15">
        <v>73</v>
      </c>
      <c r="X318" t="s">
        <v>61</v>
      </c>
      <c r="Y318" t="s">
        <v>62</v>
      </c>
      <c r="Z318" s="14">
        <v>2.4</v>
      </c>
      <c r="AA318" s="12">
        <f>YEAR(Table1[Hire_Date])</f>
        <v>2024</v>
      </c>
      <c r="AB31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319" spans="1:28" x14ac:dyDescent="0.25">
      <c r="A319" t="s">
        <v>1433</v>
      </c>
      <c r="B319" s="16" t="s">
        <v>1434</v>
      </c>
      <c r="C319" s="16" t="s">
        <v>1435</v>
      </c>
      <c r="D319" t="s">
        <v>44</v>
      </c>
      <c r="E319" s="15">
        <v>40</v>
      </c>
      <c r="F319" s="16" t="s">
        <v>72</v>
      </c>
      <c r="G319" s="16" t="s">
        <v>135</v>
      </c>
      <c r="H319" s="16" t="s">
        <v>56</v>
      </c>
      <c r="I319" s="16" t="s">
        <v>48</v>
      </c>
      <c r="J319" s="16" t="s">
        <v>49</v>
      </c>
      <c r="K319" s="17" t="s">
        <v>1436</v>
      </c>
      <c r="M319" t="s">
        <v>36</v>
      </c>
      <c r="N319" t="s">
        <v>68</v>
      </c>
      <c r="O319" t="s">
        <v>38</v>
      </c>
      <c r="P319" s="15">
        <v>27</v>
      </c>
      <c r="Q319" s="18">
        <v>49152</v>
      </c>
      <c r="R319" s="19">
        <v>20</v>
      </c>
      <c r="S319" s="14">
        <v>3.2</v>
      </c>
      <c r="T319" s="7">
        <v>65</v>
      </c>
      <c r="U319" s="15">
        <v>15</v>
      </c>
      <c r="V319" s="15">
        <v>52</v>
      </c>
      <c r="W319" s="15">
        <v>53</v>
      </c>
      <c r="X319" t="s">
        <v>61</v>
      </c>
      <c r="Y319" t="s">
        <v>40</v>
      </c>
      <c r="Z319" s="14">
        <v>9.4</v>
      </c>
      <c r="AA319" s="12">
        <f>YEAR(Table1[Hire_Date])</f>
        <v>2017</v>
      </c>
      <c r="AB31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320" spans="1:28" x14ac:dyDescent="0.25">
      <c r="A320" t="s">
        <v>1437</v>
      </c>
      <c r="B320" s="16" t="s">
        <v>1438</v>
      </c>
      <c r="C320" s="16" t="s">
        <v>1439</v>
      </c>
      <c r="D320" t="s">
        <v>29</v>
      </c>
      <c r="E320" s="15">
        <v>42</v>
      </c>
      <c r="F320" s="16" t="s">
        <v>72</v>
      </c>
      <c r="G320" s="16" t="s">
        <v>73</v>
      </c>
      <c r="H320" s="16" t="s">
        <v>56</v>
      </c>
      <c r="I320" s="16" t="s">
        <v>33</v>
      </c>
      <c r="J320" s="16" t="s">
        <v>49</v>
      </c>
      <c r="K320" s="17" t="s">
        <v>1440</v>
      </c>
      <c r="M320" t="s">
        <v>36</v>
      </c>
      <c r="N320" t="s">
        <v>229</v>
      </c>
      <c r="O320" t="s">
        <v>52</v>
      </c>
      <c r="P320" s="15">
        <v>15</v>
      </c>
      <c r="Q320" s="18">
        <v>94783</v>
      </c>
      <c r="R320" s="19">
        <v>24</v>
      </c>
      <c r="S320" s="14">
        <v>3.2</v>
      </c>
      <c r="T320" s="7">
        <v>92</v>
      </c>
      <c r="U320" s="15">
        <v>16</v>
      </c>
      <c r="V320" s="15">
        <v>9</v>
      </c>
      <c r="W320" s="15">
        <v>42</v>
      </c>
      <c r="X320" t="s">
        <v>61</v>
      </c>
      <c r="Y320" t="s">
        <v>40</v>
      </c>
      <c r="Z320" s="14">
        <v>7.9</v>
      </c>
      <c r="AA320" s="12">
        <f>YEAR(Table1[Hire_Date])</f>
        <v>2018</v>
      </c>
      <c r="AB32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321" spans="1:28" x14ac:dyDescent="0.25">
      <c r="A321" t="s">
        <v>1441</v>
      </c>
      <c r="B321" s="16" t="s">
        <v>1442</v>
      </c>
      <c r="C321" s="16" t="s">
        <v>1443</v>
      </c>
      <c r="D321" t="s">
        <v>44</v>
      </c>
      <c r="E321" s="15">
        <v>42</v>
      </c>
      <c r="F321" s="16" t="s">
        <v>90</v>
      </c>
      <c r="G321" s="16" t="s">
        <v>281</v>
      </c>
      <c r="H321" s="16" t="s">
        <v>83</v>
      </c>
      <c r="I321" s="16" t="s">
        <v>48</v>
      </c>
      <c r="J321" s="16" t="s">
        <v>34</v>
      </c>
      <c r="K321" s="17" t="s">
        <v>1444</v>
      </c>
      <c r="M321" t="s">
        <v>36</v>
      </c>
      <c r="N321" t="s">
        <v>194</v>
      </c>
      <c r="O321" t="s">
        <v>38</v>
      </c>
      <c r="P321" s="15">
        <v>10</v>
      </c>
      <c r="Q321" s="18">
        <v>119494</v>
      </c>
      <c r="R321" s="19">
        <v>21</v>
      </c>
      <c r="S321" s="14">
        <v>3.1</v>
      </c>
      <c r="T321" s="7">
        <v>93</v>
      </c>
      <c r="U321" s="15">
        <v>6</v>
      </c>
      <c r="V321" s="15">
        <v>37</v>
      </c>
      <c r="W321" s="15">
        <v>32</v>
      </c>
      <c r="X321" t="s">
        <v>61</v>
      </c>
      <c r="Y321" t="s">
        <v>40</v>
      </c>
      <c r="Z321" s="14">
        <v>5.0999999999999996</v>
      </c>
      <c r="AA321" s="12">
        <f>YEAR(Table1[Hire_Date])</f>
        <v>2021</v>
      </c>
      <c r="AB32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322" spans="1:28" x14ac:dyDescent="0.25">
      <c r="A322" t="s">
        <v>1445</v>
      </c>
      <c r="B322" s="16" t="s">
        <v>1446</v>
      </c>
      <c r="C322" s="16" t="s">
        <v>1447</v>
      </c>
      <c r="D322" t="s">
        <v>29</v>
      </c>
      <c r="E322" s="15">
        <v>58</v>
      </c>
      <c r="F322" s="16" t="s">
        <v>72</v>
      </c>
      <c r="G322" s="16" t="s">
        <v>135</v>
      </c>
      <c r="H322" s="16" t="s">
        <v>83</v>
      </c>
      <c r="I322" s="16" t="s">
        <v>33</v>
      </c>
      <c r="J322" s="16" t="s">
        <v>34</v>
      </c>
      <c r="K322" s="17" t="s">
        <v>1448</v>
      </c>
      <c r="M322" t="s">
        <v>36</v>
      </c>
      <c r="N322" t="s">
        <v>691</v>
      </c>
      <c r="O322" t="s">
        <v>60</v>
      </c>
      <c r="P322" s="15">
        <v>28</v>
      </c>
      <c r="Q322" s="18">
        <v>172912</v>
      </c>
      <c r="R322" s="19">
        <v>5</v>
      </c>
      <c r="S322" s="14">
        <v>4.7</v>
      </c>
      <c r="T322" s="7">
        <v>61</v>
      </c>
      <c r="U322" s="15">
        <v>6</v>
      </c>
      <c r="V322" s="15">
        <v>7</v>
      </c>
      <c r="W322" s="15">
        <v>26</v>
      </c>
      <c r="X322" t="s">
        <v>39</v>
      </c>
      <c r="Y322" t="s">
        <v>40</v>
      </c>
      <c r="Z322" s="14">
        <v>2.2000000000000002</v>
      </c>
      <c r="AA322" s="12">
        <f>YEAR(Table1[Hire_Date])</f>
        <v>2024</v>
      </c>
      <c r="AB32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323" spans="1:28" x14ac:dyDescent="0.25">
      <c r="A323" t="s">
        <v>1449</v>
      </c>
      <c r="B323" s="16" t="s">
        <v>1450</v>
      </c>
      <c r="C323" s="16" t="s">
        <v>1451</v>
      </c>
      <c r="D323" t="s">
        <v>29</v>
      </c>
      <c r="E323" s="15">
        <v>54</v>
      </c>
      <c r="F323" s="16" t="s">
        <v>90</v>
      </c>
      <c r="G323" s="16" t="s">
        <v>13</v>
      </c>
      <c r="H323" s="16" t="s">
        <v>56</v>
      </c>
      <c r="I323" s="16" t="s">
        <v>57</v>
      </c>
      <c r="J323" s="16" t="s">
        <v>34</v>
      </c>
      <c r="K323" s="17" t="s">
        <v>626</v>
      </c>
      <c r="M323" t="s">
        <v>36</v>
      </c>
      <c r="N323" t="s">
        <v>348</v>
      </c>
      <c r="O323" t="s">
        <v>52</v>
      </c>
      <c r="P323" s="15">
        <v>17</v>
      </c>
      <c r="Q323" s="18">
        <v>148685</v>
      </c>
      <c r="R323" s="19">
        <v>12</v>
      </c>
      <c r="S323" s="14">
        <v>4.8</v>
      </c>
      <c r="T323" s="7">
        <v>70</v>
      </c>
      <c r="U323" s="15">
        <v>0</v>
      </c>
      <c r="V323" s="15">
        <v>15</v>
      </c>
      <c r="W323" s="15">
        <v>17</v>
      </c>
      <c r="X323" t="s">
        <v>61</v>
      </c>
      <c r="Y323" t="s">
        <v>40</v>
      </c>
      <c r="Z323" s="14">
        <v>5.4</v>
      </c>
      <c r="AA323" s="12">
        <f>YEAR(Table1[Hire_Date])</f>
        <v>2021</v>
      </c>
      <c r="AB32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324" spans="1:28" x14ac:dyDescent="0.25">
      <c r="A324" t="s">
        <v>1452</v>
      </c>
      <c r="B324" s="16" t="s">
        <v>1453</v>
      </c>
      <c r="C324" s="16" t="s">
        <v>1454</v>
      </c>
      <c r="D324" t="s">
        <v>29</v>
      </c>
      <c r="E324" s="15">
        <v>38</v>
      </c>
      <c r="F324" s="16" t="s">
        <v>103</v>
      </c>
      <c r="G324" s="16" t="s">
        <v>147</v>
      </c>
      <c r="H324" s="16" t="s">
        <v>83</v>
      </c>
      <c r="I324" s="16" t="s">
        <v>33</v>
      </c>
      <c r="J324" s="16" t="s">
        <v>49</v>
      </c>
      <c r="K324" s="17" t="s">
        <v>1455</v>
      </c>
      <c r="M324" t="s">
        <v>36</v>
      </c>
      <c r="N324" t="s">
        <v>858</v>
      </c>
      <c r="O324" t="s">
        <v>38</v>
      </c>
      <c r="P324" s="15">
        <v>20</v>
      </c>
      <c r="Q324" s="18">
        <v>102856</v>
      </c>
      <c r="R324" s="19">
        <v>22</v>
      </c>
      <c r="S324" s="14">
        <v>3.9</v>
      </c>
      <c r="T324" s="7">
        <v>94</v>
      </c>
      <c r="U324" s="15">
        <v>18</v>
      </c>
      <c r="V324" s="15">
        <v>48</v>
      </c>
      <c r="W324" s="15">
        <v>51</v>
      </c>
      <c r="X324" t="s">
        <v>39</v>
      </c>
      <c r="Y324" t="s">
        <v>62</v>
      </c>
      <c r="Z324" s="14">
        <v>9.5</v>
      </c>
      <c r="AA324" s="12">
        <f>YEAR(Table1[Hire_Date])</f>
        <v>2017</v>
      </c>
      <c r="AB32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325" spans="1:28" x14ac:dyDescent="0.25">
      <c r="A325" t="s">
        <v>1456</v>
      </c>
      <c r="B325" s="16" t="s">
        <v>1457</v>
      </c>
      <c r="C325" s="16" t="s">
        <v>1458</v>
      </c>
      <c r="D325" t="s">
        <v>29</v>
      </c>
      <c r="E325" s="15">
        <v>33</v>
      </c>
      <c r="F325" s="16" t="s">
        <v>103</v>
      </c>
      <c r="G325" s="16" t="s">
        <v>104</v>
      </c>
      <c r="H325" s="16" t="s">
        <v>56</v>
      </c>
      <c r="I325" s="16" t="s">
        <v>48</v>
      </c>
      <c r="J325" s="16" t="s">
        <v>49</v>
      </c>
      <c r="K325" s="17" t="s">
        <v>1459</v>
      </c>
      <c r="M325" t="s">
        <v>36</v>
      </c>
      <c r="N325" t="s">
        <v>731</v>
      </c>
      <c r="O325" t="s">
        <v>60</v>
      </c>
      <c r="P325" s="15">
        <v>16</v>
      </c>
      <c r="Q325" s="18">
        <v>130421</v>
      </c>
      <c r="R325" s="19">
        <v>22</v>
      </c>
      <c r="S325" s="14">
        <v>3.3</v>
      </c>
      <c r="T325" s="7">
        <v>59</v>
      </c>
      <c r="U325" s="15">
        <v>9</v>
      </c>
      <c r="V325" s="15">
        <v>52</v>
      </c>
      <c r="W325" s="15">
        <v>33</v>
      </c>
      <c r="X325" t="s">
        <v>39</v>
      </c>
      <c r="Y325" t="s">
        <v>40</v>
      </c>
      <c r="Z325" s="14">
        <v>9.3000000000000007</v>
      </c>
      <c r="AA325" s="12">
        <f>YEAR(Table1[Hire_Date])</f>
        <v>2017</v>
      </c>
      <c r="AB32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326" spans="1:28" x14ac:dyDescent="0.25">
      <c r="A326" t="s">
        <v>1460</v>
      </c>
      <c r="B326" s="16" t="s">
        <v>1461</v>
      </c>
      <c r="C326" s="16" t="s">
        <v>1462</v>
      </c>
      <c r="D326" t="s">
        <v>29</v>
      </c>
      <c r="E326" s="15">
        <v>32</v>
      </c>
      <c r="F326" s="16" t="s">
        <v>72</v>
      </c>
      <c r="G326" s="16" t="s">
        <v>73</v>
      </c>
      <c r="H326" s="16" t="s">
        <v>66</v>
      </c>
      <c r="I326" s="16" t="s">
        <v>33</v>
      </c>
      <c r="J326" s="16" t="s">
        <v>34</v>
      </c>
      <c r="K326" s="17" t="s">
        <v>1011</v>
      </c>
      <c r="M326" t="s">
        <v>36</v>
      </c>
      <c r="N326" t="s">
        <v>243</v>
      </c>
      <c r="O326" t="s">
        <v>60</v>
      </c>
      <c r="P326" s="15">
        <v>15</v>
      </c>
      <c r="Q326" s="18">
        <v>117200</v>
      </c>
      <c r="R326" s="19">
        <v>20</v>
      </c>
      <c r="S326" s="14">
        <v>3.7</v>
      </c>
      <c r="T326" s="7">
        <v>74</v>
      </c>
      <c r="U326" s="15">
        <v>2</v>
      </c>
      <c r="V326" s="15">
        <v>31</v>
      </c>
      <c r="W326" s="15">
        <v>67</v>
      </c>
      <c r="X326" t="s">
        <v>39</v>
      </c>
      <c r="Y326" t="s">
        <v>78</v>
      </c>
      <c r="Z326" s="14">
        <v>2.6</v>
      </c>
      <c r="AA326" s="12">
        <f>YEAR(Table1[Hire_Date])</f>
        <v>2024</v>
      </c>
      <c r="AB32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327" spans="1:28" x14ac:dyDescent="0.25">
      <c r="A327" t="s">
        <v>1463</v>
      </c>
      <c r="B327" s="16" t="s">
        <v>1464</v>
      </c>
      <c r="C327" s="16" t="s">
        <v>1465</v>
      </c>
      <c r="D327" t="s">
        <v>29</v>
      </c>
      <c r="E327" s="15">
        <v>40</v>
      </c>
      <c r="F327" s="16" t="s">
        <v>124</v>
      </c>
      <c r="G327" s="16" t="s">
        <v>104</v>
      </c>
      <c r="H327" s="16" t="s">
        <v>83</v>
      </c>
      <c r="I327" s="16" t="s">
        <v>57</v>
      </c>
      <c r="J327" s="16" t="s">
        <v>34</v>
      </c>
      <c r="K327" s="17" t="s">
        <v>1466</v>
      </c>
      <c r="M327" t="s">
        <v>36</v>
      </c>
      <c r="N327" t="s">
        <v>353</v>
      </c>
      <c r="O327" t="s">
        <v>60</v>
      </c>
      <c r="P327" s="15">
        <v>26</v>
      </c>
      <c r="Q327" s="18">
        <v>43596</v>
      </c>
      <c r="R327" s="19">
        <v>11</v>
      </c>
      <c r="S327" s="14">
        <v>4.7</v>
      </c>
      <c r="T327" s="7">
        <v>100</v>
      </c>
      <c r="U327" s="15">
        <v>20</v>
      </c>
      <c r="V327" s="15">
        <v>39</v>
      </c>
      <c r="W327" s="15">
        <v>76</v>
      </c>
      <c r="X327" t="s">
        <v>39</v>
      </c>
      <c r="Y327" t="s">
        <v>78</v>
      </c>
      <c r="Z327" s="14">
        <v>0.5</v>
      </c>
      <c r="AA327" s="12">
        <f>YEAR(Table1[Hire_Date])</f>
        <v>2026</v>
      </c>
      <c r="AB32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328" spans="1:28" x14ac:dyDescent="0.25">
      <c r="A328" t="s">
        <v>1467</v>
      </c>
      <c r="B328" s="16" t="s">
        <v>1468</v>
      </c>
      <c r="C328" s="16" t="s">
        <v>1469</v>
      </c>
      <c r="D328" t="s">
        <v>44</v>
      </c>
      <c r="E328" s="15">
        <v>41</v>
      </c>
      <c r="F328" s="16" t="s">
        <v>30</v>
      </c>
      <c r="G328" s="16" t="s">
        <v>31</v>
      </c>
      <c r="H328" s="16" t="s">
        <v>47</v>
      </c>
      <c r="I328" s="16" t="s">
        <v>48</v>
      </c>
      <c r="J328" s="16" t="s">
        <v>34</v>
      </c>
      <c r="K328" s="17" t="s">
        <v>699</v>
      </c>
      <c r="L328" s="17" t="s">
        <v>1470</v>
      </c>
      <c r="M328" t="s">
        <v>76</v>
      </c>
      <c r="N328" t="s">
        <v>669</v>
      </c>
      <c r="O328" t="s">
        <v>52</v>
      </c>
      <c r="P328" s="15">
        <v>7</v>
      </c>
      <c r="Q328" s="18">
        <v>147867</v>
      </c>
      <c r="R328" s="19">
        <v>20</v>
      </c>
      <c r="S328" s="14">
        <v>4.4000000000000004</v>
      </c>
      <c r="T328" s="7">
        <v>92</v>
      </c>
      <c r="U328" s="15">
        <v>17</v>
      </c>
      <c r="V328" s="15">
        <v>22</v>
      </c>
      <c r="W328" s="15">
        <v>71</v>
      </c>
      <c r="X328" t="s">
        <v>39</v>
      </c>
      <c r="Y328" t="s">
        <v>40</v>
      </c>
      <c r="Z328" s="14">
        <v>4.5</v>
      </c>
      <c r="AA328" s="12">
        <f>YEAR(Table1[Hire_Date])</f>
        <v>2022</v>
      </c>
      <c r="AB32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329" spans="1:28" x14ac:dyDescent="0.25">
      <c r="A329" t="s">
        <v>1471</v>
      </c>
      <c r="B329" s="16" t="s">
        <v>1472</v>
      </c>
      <c r="C329" s="16" t="s">
        <v>1473</v>
      </c>
      <c r="D329" t="s">
        <v>44</v>
      </c>
      <c r="E329" s="15">
        <v>40</v>
      </c>
      <c r="F329" s="16" t="s">
        <v>124</v>
      </c>
      <c r="G329" s="16" t="s">
        <v>13</v>
      </c>
      <c r="H329" s="16" t="s">
        <v>56</v>
      </c>
      <c r="I329" s="16" t="s">
        <v>48</v>
      </c>
      <c r="J329" s="16" t="s">
        <v>34</v>
      </c>
      <c r="K329" s="17" t="s">
        <v>1474</v>
      </c>
      <c r="M329" t="s">
        <v>36</v>
      </c>
      <c r="N329" t="s">
        <v>669</v>
      </c>
      <c r="O329" t="s">
        <v>60</v>
      </c>
      <c r="P329" s="15">
        <v>32</v>
      </c>
      <c r="Q329" s="18">
        <v>122063</v>
      </c>
      <c r="R329" s="19">
        <v>25</v>
      </c>
      <c r="S329" s="14">
        <v>4.2</v>
      </c>
      <c r="T329" s="7">
        <v>51</v>
      </c>
      <c r="U329" s="15">
        <v>8</v>
      </c>
      <c r="V329" s="15">
        <v>44</v>
      </c>
      <c r="W329" s="15">
        <v>78</v>
      </c>
      <c r="X329" t="s">
        <v>39</v>
      </c>
      <c r="Y329" t="s">
        <v>78</v>
      </c>
      <c r="Z329" s="14">
        <v>7.6</v>
      </c>
      <c r="AA329" s="12">
        <f>YEAR(Table1[Hire_Date])</f>
        <v>2019</v>
      </c>
      <c r="AB32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330" spans="1:28" x14ac:dyDescent="0.25">
      <c r="A330" t="s">
        <v>1475</v>
      </c>
      <c r="B330" s="16" t="s">
        <v>1476</v>
      </c>
      <c r="C330" s="16" t="s">
        <v>1477</v>
      </c>
      <c r="D330" t="s">
        <v>29</v>
      </c>
      <c r="E330" s="15">
        <v>47</v>
      </c>
      <c r="F330" s="16" t="s">
        <v>124</v>
      </c>
      <c r="G330" s="16" t="s">
        <v>13</v>
      </c>
      <c r="H330" s="16" t="s">
        <v>56</v>
      </c>
      <c r="I330" s="16" t="s">
        <v>33</v>
      </c>
      <c r="J330" s="16" t="s">
        <v>34</v>
      </c>
      <c r="K330" s="17" t="s">
        <v>1478</v>
      </c>
      <c r="L330" s="17" t="s">
        <v>1479</v>
      </c>
      <c r="M330" t="s">
        <v>76</v>
      </c>
      <c r="N330" t="s">
        <v>731</v>
      </c>
      <c r="O330" t="s">
        <v>38</v>
      </c>
      <c r="P330" s="15">
        <v>8</v>
      </c>
      <c r="Q330" s="18">
        <v>168341</v>
      </c>
      <c r="R330" s="19">
        <v>24</v>
      </c>
      <c r="S330" s="14">
        <v>3</v>
      </c>
      <c r="T330" s="7">
        <v>97</v>
      </c>
      <c r="U330" s="15">
        <v>8</v>
      </c>
      <c r="V330" s="15">
        <v>59</v>
      </c>
      <c r="W330" s="15">
        <v>75</v>
      </c>
      <c r="X330" t="s">
        <v>61</v>
      </c>
      <c r="Y330" t="s">
        <v>62</v>
      </c>
      <c r="Z330" s="14">
        <v>7</v>
      </c>
      <c r="AA330" s="12">
        <f>YEAR(Table1[Hire_Date])</f>
        <v>2019</v>
      </c>
      <c r="AB33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331" spans="1:28" x14ac:dyDescent="0.25">
      <c r="A331" t="s">
        <v>1480</v>
      </c>
      <c r="B331" s="16" t="s">
        <v>1481</v>
      </c>
      <c r="C331" s="16" t="s">
        <v>1482</v>
      </c>
      <c r="D331" t="s">
        <v>29</v>
      </c>
      <c r="E331" s="15">
        <v>58</v>
      </c>
      <c r="F331" s="16" t="s">
        <v>103</v>
      </c>
      <c r="G331" s="16" t="s">
        <v>147</v>
      </c>
      <c r="H331" s="16" t="s">
        <v>66</v>
      </c>
      <c r="I331" s="16" t="s">
        <v>33</v>
      </c>
      <c r="J331" s="16" t="s">
        <v>49</v>
      </c>
      <c r="K331" s="17" t="s">
        <v>1483</v>
      </c>
      <c r="M331" t="s">
        <v>36</v>
      </c>
      <c r="N331" t="s">
        <v>126</v>
      </c>
      <c r="O331" t="s">
        <v>60</v>
      </c>
      <c r="P331" s="15">
        <v>15</v>
      </c>
      <c r="Q331" s="18">
        <v>104005</v>
      </c>
      <c r="R331" s="19">
        <v>13</v>
      </c>
      <c r="S331" s="14">
        <v>4.9000000000000004</v>
      </c>
      <c r="T331" s="7">
        <v>99</v>
      </c>
      <c r="U331" s="15">
        <v>9</v>
      </c>
      <c r="V331" s="15">
        <v>32</v>
      </c>
      <c r="W331" s="15">
        <v>37</v>
      </c>
      <c r="X331" t="s">
        <v>39</v>
      </c>
      <c r="Y331" t="s">
        <v>40</v>
      </c>
      <c r="Z331" s="14">
        <v>9.8000000000000007</v>
      </c>
      <c r="AA331" s="12">
        <f>YEAR(Table1[Hire_Date])</f>
        <v>2016</v>
      </c>
      <c r="AB33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332" spans="1:28" x14ac:dyDescent="0.25">
      <c r="A332" t="s">
        <v>1484</v>
      </c>
      <c r="B332" s="16" t="s">
        <v>1485</v>
      </c>
      <c r="C332" s="16" t="s">
        <v>1486</v>
      </c>
      <c r="D332" t="s">
        <v>29</v>
      </c>
      <c r="E332" s="15">
        <v>53</v>
      </c>
      <c r="F332" s="16" t="s">
        <v>90</v>
      </c>
      <c r="G332" s="16" t="s">
        <v>13</v>
      </c>
      <c r="H332" s="16" t="s">
        <v>56</v>
      </c>
      <c r="I332" s="16" t="s">
        <v>57</v>
      </c>
      <c r="J332" s="16" t="s">
        <v>49</v>
      </c>
      <c r="K332" s="17" t="s">
        <v>1487</v>
      </c>
      <c r="M332" t="s">
        <v>36</v>
      </c>
      <c r="N332" t="s">
        <v>858</v>
      </c>
      <c r="O332" t="s">
        <v>52</v>
      </c>
      <c r="P332" s="15">
        <v>15</v>
      </c>
      <c r="Q332" s="18">
        <v>170271</v>
      </c>
      <c r="R332" s="19">
        <v>15</v>
      </c>
      <c r="S332" s="14">
        <v>2.9</v>
      </c>
      <c r="T332" s="7">
        <v>82</v>
      </c>
      <c r="U332" s="15">
        <v>5</v>
      </c>
      <c r="V332" s="15">
        <v>8</v>
      </c>
      <c r="W332" s="15">
        <v>1</v>
      </c>
      <c r="X332" t="s">
        <v>39</v>
      </c>
      <c r="Y332" t="s">
        <v>40</v>
      </c>
      <c r="Z332" s="14">
        <v>5.8</v>
      </c>
      <c r="AA332" s="12">
        <f>YEAR(Table1[Hire_Date])</f>
        <v>2020</v>
      </c>
      <c r="AB33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333" spans="1:28" x14ac:dyDescent="0.25">
      <c r="A333" t="s">
        <v>1488</v>
      </c>
      <c r="B333" s="16" t="s">
        <v>1489</v>
      </c>
      <c r="C333" s="16" t="s">
        <v>1490</v>
      </c>
      <c r="D333" t="s">
        <v>44</v>
      </c>
      <c r="E333" s="15">
        <v>22</v>
      </c>
      <c r="F333" s="16" t="s">
        <v>30</v>
      </c>
      <c r="G333" s="16" t="s">
        <v>31</v>
      </c>
      <c r="H333" s="16" t="s">
        <v>83</v>
      </c>
      <c r="I333" s="16" t="s">
        <v>33</v>
      </c>
      <c r="J333" s="16" t="s">
        <v>34</v>
      </c>
      <c r="K333" s="17" t="s">
        <v>1491</v>
      </c>
      <c r="M333" t="s">
        <v>36</v>
      </c>
      <c r="N333" t="s">
        <v>295</v>
      </c>
      <c r="O333" t="s">
        <v>38</v>
      </c>
      <c r="P333" s="15">
        <v>4</v>
      </c>
      <c r="Q333" s="18">
        <v>143292</v>
      </c>
      <c r="R333" s="19">
        <v>23</v>
      </c>
      <c r="S333" s="14">
        <v>3.6</v>
      </c>
      <c r="T333" s="7">
        <v>84</v>
      </c>
      <c r="U333" s="15">
        <v>0</v>
      </c>
      <c r="V333" s="15">
        <v>16</v>
      </c>
      <c r="W333" s="15">
        <v>21</v>
      </c>
      <c r="X333" t="s">
        <v>39</v>
      </c>
      <c r="Y333" t="s">
        <v>78</v>
      </c>
      <c r="Z333" s="14">
        <v>6.3</v>
      </c>
      <c r="AA333" s="12">
        <f>YEAR(Table1[Hire_Date])</f>
        <v>2020</v>
      </c>
      <c r="AB33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334" spans="1:28" x14ac:dyDescent="0.25">
      <c r="A334" t="s">
        <v>1492</v>
      </c>
      <c r="B334" s="16" t="s">
        <v>1493</v>
      </c>
      <c r="C334" s="16" t="s">
        <v>1494</v>
      </c>
      <c r="D334" t="s">
        <v>44</v>
      </c>
      <c r="E334" s="15">
        <v>36</v>
      </c>
      <c r="F334" s="16" t="s">
        <v>124</v>
      </c>
      <c r="G334" s="16" t="s">
        <v>141</v>
      </c>
      <c r="H334" s="16" t="s">
        <v>83</v>
      </c>
      <c r="I334" s="16" t="s">
        <v>48</v>
      </c>
      <c r="J334" s="16" t="s">
        <v>49</v>
      </c>
      <c r="K334" s="17" t="s">
        <v>1495</v>
      </c>
      <c r="M334" t="s">
        <v>36</v>
      </c>
      <c r="N334" t="s">
        <v>106</v>
      </c>
      <c r="O334" t="s">
        <v>60</v>
      </c>
      <c r="P334" s="15">
        <v>2</v>
      </c>
      <c r="Q334" s="18">
        <v>65303</v>
      </c>
      <c r="R334" s="19">
        <v>7</v>
      </c>
      <c r="S334" s="14">
        <v>2.7</v>
      </c>
      <c r="T334" s="7">
        <v>56</v>
      </c>
      <c r="U334" s="15">
        <v>15</v>
      </c>
      <c r="V334" s="15">
        <v>37</v>
      </c>
      <c r="W334" s="15">
        <v>62</v>
      </c>
      <c r="X334" t="s">
        <v>39</v>
      </c>
      <c r="Y334" t="s">
        <v>78</v>
      </c>
      <c r="Z334" s="14">
        <v>4.2</v>
      </c>
      <c r="AA334" s="12">
        <f>YEAR(Table1[Hire_Date])</f>
        <v>2022</v>
      </c>
      <c r="AB33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335" spans="1:28" x14ac:dyDescent="0.25">
      <c r="A335" t="s">
        <v>1496</v>
      </c>
      <c r="B335" s="16" t="s">
        <v>1497</v>
      </c>
      <c r="C335" s="16" t="s">
        <v>1498</v>
      </c>
      <c r="D335" t="s">
        <v>44</v>
      </c>
      <c r="E335" s="15">
        <v>58</v>
      </c>
      <c r="F335" s="16" t="s">
        <v>103</v>
      </c>
      <c r="G335" s="16" t="s">
        <v>147</v>
      </c>
      <c r="H335" s="16" t="s">
        <v>83</v>
      </c>
      <c r="I335" s="16" t="s">
        <v>48</v>
      </c>
      <c r="J335" s="16" t="s">
        <v>34</v>
      </c>
      <c r="K335" s="17" t="s">
        <v>1309</v>
      </c>
      <c r="M335" t="s">
        <v>36</v>
      </c>
      <c r="N335" t="s">
        <v>527</v>
      </c>
      <c r="O335" t="s">
        <v>52</v>
      </c>
      <c r="P335" s="15">
        <v>16</v>
      </c>
      <c r="Q335" s="18">
        <v>99725</v>
      </c>
      <c r="R335" s="19">
        <v>10</v>
      </c>
      <c r="S335" s="14">
        <v>2.6</v>
      </c>
      <c r="T335" s="7">
        <v>70</v>
      </c>
      <c r="U335" s="15">
        <v>8</v>
      </c>
      <c r="V335" s="15">
        <v>58</v>
      </c>
      <c r="W335" s="15">
        <v>77</v>
      </c>
      <c r="X335" t="s">
        <v>61</v>
      </c>
      <c r="Y335" t="s">
        <v>78</v>
      </c>
      <c r="Z335" s="14">
        <v>2.5</v>
      </c>
      <c r="AA335" s="12">
        <f>YEAR(Table1[Hire_Date])</f>
        <v>2024</v>
      </c>
      <c r="AB33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336" spans="1:28" x14ac:dyDescent="0.25">
      <c r="A336" t="s">
        <v>1499</v>
      </c>
      <c r="B336" s="16" t="s">
        <v>1500</v>
      </c>
      <c r="C336" s="16" t="s">
        <v>1501</v>
      </c>
      <c r="D336" t="s">
        <v>29</v>
      </c>
      <c r="E336" s="15">
        <v>30</v>
      </c>
      <c r="F336" s="16" t="s">
        <v>124</v>
      </c>
      <c r="G336" s="16" t="s">
        <v>13</v>
      </c>
      <c r="H336" s="16" t="s">
        <v>66</v>
      </c>
      <c r="I336" s="16" t="s">
        <v>33</v>
      </c>
      <c r="J336" s="16" t="s">
        <v>34</v>
      </c>
      <c r="K336" s="17" t="s">
        <v>1502</v>
      </c>
      <c r="L336" s="17" t="s">
        <v>1503</v>
      </c>
      <c r="M336" t="s">
        <v>76</v>
      </c>
      <c r="N336" t="s">
        <v>120</v>
      </c>
      <c r="O336" t="s">
        <v>60</v>
      </c>
      <c r="P336" s="15">
        <v>22</v>
      </c>
      <c r="Q336" s="18">
        <v>77336</v>
      </c>
      <c r="R336" s="19">
        <v>5</v>
      </c>
      <c r="S336" s="14">
        <v>4.5</v>
      </c>
      <c r="T336" s="7">
        <v>86</v>
      </c>
      <c r="U336" s="15">
        <v>12</v>
      </c>
      <c r="V336" s="15">
        <v>2</v>
      </c>
      <c r="W336" s="15">
        <v>58</v>
      </c>
      <c r="X336" t="s">
        <v>61</v>
      </c>
      <c r="Y336" t="s">
        <v>62</v>
      </c>
      <c r="Z336" s="14">
        <v>5</v>
      </c>
      <c r="AA336" s="12">
        <f>YEAR(Table1[Hire_Date])</f>
        <v>2021</v>
      </c>
      <c r="AB33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337" spans="1:28" x14ac:dyDescent="0.25">
      <c r="A337" t="s">
        <v>1504</v>
      </c>
      <c r="B337" s="16" t="s">
        <v>1505</v>
      </c>
      <c r="C337" s="16" t="s">
        <v>1506</v>
      </c>
      <c r="D337" t="s">
        <v>44</v>
      </c>
      <c r="E337" s="15">
        <v>45</v>
      </c>
      <c r="F337" s="16" t="s">
        <v>103</v>
      </c>
      <c r="G337" s="16" t="s">
        <v>104</v>
      </c>
      <c r="H337" s="16" t="s">
        <v>83</v>
      </c>
      <c r="I337" s="16" t="s">
        <v>33</v>
      </c>
      <c r="J337" s="16" t="s">
        <v>34</v>
      </c>
      <c r="K337" s="17" t="s">
        <v>1507</v>
      </c>
      <c r="M337" t="s">
        <v>36</v>
      </c>
      <c r="N337" t="s">
        <v>180</v>
      </c>
      <c r="O337" t="s">
        <v>38</v>
      </c>
      <c r="P337" s="15">
        <v>2</v>
      </c>
      <c r="Q337" s="18">
        <v>167169</v>
      </c>
      <c r="R337" s="19">
        <v>21</v>
      </c>
      <c r="S337" s="14">
        <v>2.6</v>
      </c>
      <c r="T337" s="7">
        <v>74</v>
      </c>
      <c r="U337" s="15">
        <v>6</v>
      </c>
      <c r="V337" s="15">
        <v>40</v>
      </c>
      <c r="W337" s="15">
        <v>53</v>
      </c>
      <c r="X337" t="s">
        <v>61</v>
      </c>
      <c r="Y337" t="s">
        <v>78</v>
      </c>
      <c r="Z337" s="14">
        <v>7.9</v>
      </c>
      <c r="AA337" s="12">
        <f>YEAR(Table1[Hire_Date])</f>
        <v>2018</v>
      </c>
      <c r="AB33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338" spans="1:28" x14ac:dyDescent="0.25">
      <c r="A338" t="s">
        <v>1508</v>
      </c>
      <c r="B338" s="16" t="s">
        <v>1509</v>
      </c>
      <c r="C338" s="16" t="s">
        <v>1510</v>
      </c>
      <c r="D338" t="s">
        <v>44</v>
      </c>
      <c r="E338" s="15">
        <v>21</v>
      </c>
      <c r="F338" s="16" t="s">
        <v>103</v>
      </c>
      <c r="G338" s="16" t="s">
        <v>147</v>
      </c>
      <c r="H338" s="16" t="s">
        <v>83</v>
      </c>
      <c r="I338" s="16" t="s">
        <v>48</v>
      </c>
      <c r="J338" s="16" t="s">
        <v>34</v>
      </c>
      <c r="K338" s="17" t="s">
        <v>1511</v>
      </c>
      <c r="M338" t="s">
        <v>36</v>
      </c>
      <c r="N338" t="s">
        <v>286</v>
      </c>
      <c r="O338" t="s">
        <v>38</v>
      </c>
      <c r="P338" s="15">
        <v>21</v>
      </c>
      <c r="Q338" s="18">
        <v>84881</v>
      </c>
      <c r="R338" s="19">
        <v>21</v>
      </c>
      <c r="S338" s="14">
        <v>3.2</v>
      </c>
      <c r="T338" s="7">
        <v>52</v>
      </c>
      <c r="U338" s="15">
        <v>18</v>
      </c>
      <c r="V338" s="15">
        <v>44</v>
      </c>
      <c r="W338" s="15">
        <v>71</v>
      </c>
      <c r="X338" t="s">
        <v>61</v>
      </c>
      <c r="Y338" t="s">
        <v>40</v>
      </c>
      <c r="Z338" s="14">
        <v>2.9</v>
      </c>
      <c r="AA338" s="12">
        <f>YEAR(Table1[Hire_Date])</f>
        <v>2023</v>
      </c>
      <c r="AB33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339" spans="1:28" x14ac:dyDescent="0.25">
      <c r="A339" t="s">
        <v>1512</v>
      </c>
      <c r="B339" s="16" t="s">
        <v>1513</v>
      </c>
      <c r="C339" s="16" t="s">
        <v>1514</v>
      </c>
      <c r="D339" t="s">
        <v>44</v>
      </c>
      <c r="E339" s="15">
        <v>54</v>
      </c>
      <c r="F339" s="16" t="s">
        <v>90</v>
      </c>
      <c r="G339" s="16" t="s">
        <v>13</v>
      </c>
      <c r="H339" s="16" t="s">
        <v>56</v>
      </c>
      <c r="I339" s="16" t="s">
        <v>48</v>
      </c>
      <c r="J339" s="16" t="s">
        <v>34</v>
      </c>
      <c r="K339" s="17" t="s">
        <v>1328</v>
      </c>
      <c r="M339" t="s">
        <v>36</v>
      </c>
      <c r="N339" t="s">
        <v>277</v>
      </c>
      <c r="O339" t="s">
        <v>52</v>
      </c>
      <c r="P339" s="15">
        <v>1</v>
      </c>
      <c r="Q339" s="18">
        <v>119046</v>
      </c>
      <c r="R339" s="19">
        <v>11</v>
      </c>
      <c r="S339" s="14">
        <v>3.2</v>
      </c>
      <c r="T339" s="7">
        <v>87</v>
      </c>
      <c r="U339" s="15">
        <v>3</v>
      </c>
      <c r="V339" s="15">
        <v>11</v>
      </c>
      <c r="W339" s="15">
        <v>53</v>
      </c>
      <c r="X339" t="s">
        <v>39</v>
      </c>
      <c r="Y339" t="s">
        <v>40</v>
      </c>
      <c r="Z339" s="14">
        <v>6.6</v>
      </c>
      <c r="AA339" s="12">
        <f>YEAR(Table1[Hire_Date])</f>
        <v>2019</v>
      </c>
      <c r="AB33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340" spans="1:28" x14ac:dyDescent="0.25">
      <c r="A340" t="s">
        <v>1515</v>
      </c>
      <c r="B340" s="16" t="s">
        <v>1516</v>
      </c>
      <c r="C340" s="16" t="s">
        <v>1517</v>
      </c>
      <c r="D340" t="s">
        <v>44</v>
      </c>
      <c r="E340" s="15">
        <v>42</v>
      </c>
      <c r="F340" s="16" t="s">
        <v>124</v>
      </c>
      <c r="G340" s="16" t="s">
        <v>104</v>
      </c>
      <c r="H340" s="16" t="s">
        <v>83</v>
      </c>
      <c r="I340" s="16" t="s">
        <v>57</v>
      </c>
      <c r="J340" s="16" t="s">
        <v>49</v>
      </c>
      <c r="K340" s="17" t="s">
        <v>1039</v>
      </c>
      <c r="M340" t="s">
        <v>36</v>
      </c>
      <c r="N340" t="s">
        <v>631</v>
      </c>
      <c r="O340" t="s">
        <v>52</v>
      </c>
      <c r="P340" s="15">
        <v>14</v>
      </c>
      <c r="Q340" s="18">
        <v>43843</v>
      </c>
      <c r="R340" s="19">
        <v>21</v>
      </c>
      <c r="S340" s="14">
        <v>2.5</v>
      </c>
      <c r="T340" s="7">
        <v>98</v>
      </c>
      <c r="U340" s="15">
        <v>19</v>
      </c>
      <c r="V340" s="15">
        <v>21</v>
      </c>
      <c r="W340" s="15">
        <v>16</v>
      </c>
      <c r="X340" t="s">
        <v>39</v>
      </c>
      <c r="Y340" t="s">
        <v>40</v>
      </c>
      <c r="Z340" s="14">
        <v>9.1</v>
      </c>
      <c r="AA340" s="12">
        <f>YEAR(Table1[Hire_Date])</f>
        <v>2017</v>
      </c>
      <c r="AB34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341" spans="1:28" x14ac:dyDescent="0.25">
      <c r="A341" t="s">
        <v>1518</v>
      </c>
      <c r="B341" s="16" t="s">
        <v>1519</v>
      </c>
      <c r="C341" s="16" t="s">
        <v>1520</v>
      </c>
      <c r="D341" t="s">
        <v>44</v>
      </c>
      <c r="E341" s="15">
        <v>52</v>
      </c>
      <c r="F341" s="16" t="s">
        <v>90</v>
      </c>
      <c r="G341" s="16" t="s">
        <v>13</v>
      </c>
      <c r="H341" s="16" t="s">
        <v>47</v>
      </c>
      <c r="I341" s="16" t="s">
        <v>33</v>
      </c>
      <c r="J341" s="16" t="s">
        <v>34</v>
      </c>
      <c r="K341" s="17" t="s">
        <v>1144</v>
      </c>
      <c r="M341" t="s">
        <v>36</v>
      </c>
      <c r="N341" t="s">
        <v>858</v>
      </c>
      <c r="O341" t="s">
        <v>52</v>
      </c>
      <c r="P341" s="15">
        <v>25</v>
      </c>
      <c r="Q341" s="18">
        <v>56394</v>
      </c>
      <c r="R341" s="19">
        <v>11</v>
      </c>
      <c r="S341" s="14">
        <v>4.7</v>
      </c>
      <c r="T341" s="7">
        <v>63</v>
      </c>
      <c r="U341" s="15">
        <v>0</v>
      </c>
      <c r="V341" s="15">
        <v>21</v>
      </c>
      <c r="W341" s="15">
        <v>51</v>
      </c>
      <c r="X341" t="s">
        <v>61</v>
      </c>
      <c r="Y341" t="s">
        <v>62</v>
      </c>
      <c r="Z341" s="14">
        <v>5</v>
      </c>
      <c r="AA341" s="12">
        <f>YEAR(Table1[Hire_Date])</f>
        <v>2021</v>
      </c>
      <c r="AB34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342" spans="1:28" x14ac:dyDescent="0.25">
      <c r="A342" t="s">
        <v>1521</v>
      </c>
      <c r="B342" s="16" t="s">
        <v>1522</v>
      </c>
      <c r="C342" s="16" t="s">
        <v>1523</v>
      </c>
      <c r="D342" t="s">
        <v>44</v>
      </c>
      <c r="E342" s="15">
        <v>22</v>
      </c>
      <c r="F342" s="16" t="s">
        <v>30</v>
      </c>
      <c r="G342" s="16" t="s">
        <v>31</v>
      </c>
      <c r="H342" s="16" t="s">
        <v>66</v>
      </c>
      <c r="I342" s="16" t="s">
        <v>57</v>
      </c>
      <c r="J342" s="16" t="s">
        <v>34</v>
      </c>
      <c r="K342" s="17" t="s">
        <v>1226</v>
      </c>
      <c r="M342" t="s">
        <v>36</v>
      </c>
      <c r="N342" t="s">
        <v>234</v>
      </c>
      <c r="O342" t="s">
        <v>52</v>
      </c>
      <c r="P342" s="15">
        <v>1</v>
      </c>
      <c r="Q342" s="18">
        <v>169737</v>
      </c>
      <c r="R342" s="19">
        <v>6</v>
      </c>
      <c r="S342" s="14">
        <v>3.1</v>
      </c>
      <c r="T342" s="7">
        <v>62</v>
      </c>
      <c r="U342" s="15">
        <v>7</v>
      </c>
      <c r="V342" s="15">
        <v>19</v>
      </c>
      <c r="W342" s="15">
        <v>10</v>
      </c>
      <c r="X342" t="s">
        <v>61</v>
      </c>
      <c r="Y342" t="s">
        <v>62</v>
      </c>
      <c r="Z342" s="14">
        <v>10.4</v>
      </c>
      <c r="AA342" s="12">
        <f>YEAR(Table1[Hire_Date])</f>
        <v>2016</v>
      </c>
      <c r="AB34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343" spans="1:28" x14ac:dyDescent="0.25">
      <c r="A343" t="s">
        <v>1524</v>
      </c>
      <c r="B343" s="16" t="s">
        <v>1525</v>
      </c>
      <c r="C343" s="16" t="s">
        <v>1526</v>
      </c>
      <c r="D343" t="s">
        <v>44</v>
      </c>
      <c r="E343" s="15">
        <v>25</v>
      </c>
      <c r="F343" s="16" t="s">
        <v>90</v>
      </c>
      <c r="G343" s="16" t="s">
        <v>281</v>
      </c>
      <c r="H343" s="16" t="s">
        <v>83</v>
      </c>
      <c r="I343" s="16" t="s">
        <v>57</v>
      </c>
      <c r="J343" s="16" t="s">
        <v>34</v>
      </c>
      <c r="K343" s="17" t="s">
        <v>1527</v>
      </c>
      <c r="M343" t="s">
        <v>36</v>
      </c>
      <c r="N343" t="s">
        <v>268</v>
      </c>
      <c r="O343" t="s">
        <v>52</v>
      </c>
      <c r="P343" s="15">
        <v>27</v>
      </c>
      <c r="Q343" s="18">
        <v>87711</v>
      </c>
      <c r="R343" s="19">
        <v>7</v>
      </c>
      <c r="S343" s="14">
        <v>2.6</v>
      </c>
      <c r="T343" s="7">
        <v>50</v>
      </c>
      <c r="U343" s="15">
        <v>17</v>
      </c>
      <c r="V343" s="15">
        <v>16</v>
      </c>
      <c r="W343" s="15">
        <v>67</v>
      </c>
      <c r="X343" t="s">
        <v>61</v>
      </c>
      <c r="Y343" t="s">
        <v>62</v>
      </c>
      <c r="Z343" s="14">
        <v>4.5999999999999996</v>
      </c>
      <c r="AA343" s="12">
        <f>YEAR(Table1[Hire_Date])</f>
        <v>2021</v>
      </c>
      <c r="AB34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344" spans="1:28" x14ac:dyDescent="0.25">
      <c r="A344" t="s">
        <v>1528</v>
      </c>
      <c r="B344" s="16" t="s">
        <v>1529</v>
      </c>
      <c r="C344" s="16" t="s">
        <v>1530</v>
      </c>
      <c r="D344" t="s">
        <v>44</v>
      </c>
      <c r="E344" s="15">
        <v>26</v>
      </c>
      <c r="F344" s="16" t="s">
        <v>103</v>
      </c>
      <c r="G344" s="16" t="s">
        <v>13</v>
      </c>
      <c r="H344" s="16" t="s">
        <v>83</v>
      </c>
      <c r="I344" s="16" t="s">
        <v>57</v>
      </c>
      <c r="J344" s="16" t="s">
        <v>49</v>
      </c>
      <c r="K344" s="17" t="s">
        <v>1531</v>
      </c>
      <c r="M344" t="s">
        <v>36</v>
      </c>
      <c r="N344" t="s">
        <v>295</v>
      </c>
      <c r="O344" t="s">
        <v>52</v>
      </c>
      <c r="P344" s="15">
        <v>22</v>
      </c>
      <c r="Q344" s="18">
        <v>106067</v>
      </c>
      <c r="R344" s="19">
        <v>22</v>
      </c>
      <c r="S344" s="14">
        <v>3.2</v>
      </c>
      <c r="T344" s="7">
        <v>97</v>
      </c>
      <c r="U344" s="15">
        <v>13</v>
      </c>
      <c r="V344" s="15">
        <v>6</v>
      </c>
      <c r="W344" s="15">
        <v>58</v>
      </c>
      <c r="X344" t="s">
        <v>39</v>
      </c>
      <c r="Y344" t="s">
        <v>40</v>
      </c>
      <c r="Z344" s="14">
        <v>7.4</v>
      </c>
      <c r="AA344" s="12">
        <f>YEAR(Table1[Hire_Date])</f>
        <v>2019</v>
      </c>
      <c r="AB34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345" spans="1:28" x14ac:dyDescent="0.25">
      <c r="A345" t="s">
        <v>1532</v>
      </c>
      <c r="B345" s="16" t="s">
        <v>1533</v>
      </c>
      <c r="C345" s="16" t="s">
        <v>1534</v>
      </c>
      <c r="D345" t="s">
        <v>44</v>
      </c>
      <c r="E345" s="15">
        <v>26</v>
      </c>
      <c r="F345" s="16" t="s">
        <v>45</v>
      </c>
      <c r="G345" s="16" t="s">
        <v>82</v>
      </c>
      <c r="H345" s="16" t="s">
        <v>47</v>
      </c>
      <c r="I345" s="16" t="s">
        <v>33</v>
      </c>
      <c r="J345" s="16" t="s">
        <v>49</v>
      </c>
      <c r="K345" s="17" t="s">
        <v>1535</v>
      </c>
      <c r="M345" t="s">
        <v>36</v>
      </c>
      <c r="N345" t="s">
        <v>1297</v>
      </c>
      <c r="O345" t="s">
        <v>52</v>
      </c>
      <c r="P345" s="15">
        <v>31</v>
      </c>
      <c r="Q345" s="18">
        <v>115680</v>
      </c>
      <c r="R345" s="19">
        <v>24</v>
      </c>
      <c r="S345" s="14">
        <v>3.1</v>
      </c>
      <c r="T345" s="7">
        <v>57</v>
      </c>
      <c r="U345" s="15">
        <v>4</v>
      </c>
      <c r="V345" s="15">
        <v>22</v>
      </c>
      <c r="W345" s="15">
        <v>72</v>
      </c>
      <c r="X345" t="s">
        <v>39</v>
      </c>
      <c r="Y345" t="s">
        <v>78</v>
      </c>
      <c r="Z345" s="14">
        <v>3.8</v>
      </c>
      <c r="AA345" s="12">
        <f>YEAR(Table1[Hire_Date])</f>
        <v>2022</v>
      </c>
      <c r="AB34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346" spans="1:28" x14ac:dyDescent="0.25">
      <c r="A346" t="s">
        <v>1536</v>
      </c>
      <c r="B346" s="16" t="s">
        <v>1537</v>
      </c>
      <c r="C346" s="16" t="s">
        <v>1538</v>
      </c>
      <c r="D346" t="s">
        <v>44</v>
      </c>
      <c r="E346" s="15">
        <v>50</v>
      </c>
      <c r="F346" s="16" t="s">
        <v>30</v>
      </c>
      <c r="G346" s="16" t="s">
        <v>13</v>
      </c>
      <c r="H346" s="16" t="s">
        <v>47</v>
      </c>
      <c r="I346" s="16" t="s">
        <v>48</v>
      </c>
      <c r="J346" s="16" t="s">
        <v>34</v>
      </c>
      <c r="K346" s="17" t="s">
        <v>1539</v>
      </c>
      <c r="M346" t="s">
        <v>36</v>
      </c>
      <c r="N346" t="s">
        <v>120</v>
      </c>
      <c r="O346" t="s">
        <v>52</v>
      </c>
      <c r="P346" s="15">
        <v>25</v>
      </c>
      <c r="Q346" s="18">
        <v>107642</v>
      </c>
      <c r="R346" s="19">
        <v>22</v>
      </c>
      <c r="S346" s="14">
        <v>4.7</v>
      </c>
      <c r="T346" s="7">
        <v>61</v>
      </c>
      <c r="U346" s="15">
        <v>6</v>
      </c>
      <c r="V346" s="15">
        <v>11</v>
      </c>
      <c r="W346" s="15">
        <v>44</v>
      </c>
      <c r="X346" t="s">
        <v>61</v>
      </c>
      <c r="Y346" t="s">
        <v>62</v>
      </c>
      <c r="Z346" s="14">
        <v>2.9</v>
      </c>
      <c r="AA346" s="12">
        <f>YEAR(Table1[Hire_Date])</f>
        <v>2023</v>
      </c>
      <c r="AB34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347" spans="1:28" x14ac:dyDescent="0.25">
      <c r="A347" t="s">
        <v>1540</v>
      </c>
      <c r="B347" s="16" t="s">
        <v>1541</v>
      </c>
      <c r="C347" s="16" t="s">
        <v>1542</v>
      </c>
      <c r="D347" t="s">
        <v>44</v>
      </c>
      <c r="E347" s="15">
        <v>24</v>
      </c>
      <c r="F347" s="16" t="s">
        <v>72</v>
      </c>
      <c r="G347" s="16" t="s">
        <v>97</v>
      </c>
      <c r="H347" s="16" t="s">
        <v>47</v>
      </c>
      <c r="I347" s="16" t="s">
        <v>48</v>
      </c>
      <c r="J347" s="16" t="s">
        <v>34</v>
      </c>
      <c r="K347" s="17" t="s">
        <v>1543</v>
      </c>
      <c r="M347" t="s">
        <v>36</v>
      </c>
      <c r="N347" t="s">
        <v>669</v>
      </c>
      <c r="O347" t="s">
        <v>38</v>
      </c>
      <c r="P347" s="15">
        <v>23</v>
      </c>
      <c r="Q347" s="18">
        <v>159230</v>
      </c>
      <c r="R347" s="19">
        <v>19</v>
      </c>
      <c r="S347" s="14">
        <v>4.2</v>
      </c>
      <c r="T347" s="7">
        <v>84</v>
      </c>
      <c r="U347" s="15">
        <v>10</v>
      </c>
      <c r="V347" s="15">
        <v>11</v>
      </c>
      <c r="W347" s="15">
        <v>29</v>
      </c>
      <c r="X347" t="s">
        <v>39</v>
      </c>
      <c r="Y347" t="s">
        <v>62</v>
      </c>
      <c r="Z347" s="14">
        <v>1.2</v>
      </c>
      <c r="AA347" s="12">
        <f>YEAR(Table1[Hire_Date])</f>
        <v>2025</v>
      </c>
      <c r="AB34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348" spans="1:28" x14ac:dyDescent="0.25">
      <c r="A348" t="s">
        <v>1544</v>
      </c>
      <c r="B348" s="16" t="s">
        <v>1545</v>
      </c>
      <c r="C348" s="16" t="s">
        <v>1546</v>
      </c>
      <c r="D348" t="s">
        <v>29</v>
      </c>
      <c r="E348" s="15">
        <v>21</v>
      </c>
      <c r="F348" s="16" t="s">
        <v>45</v>
      </c>
      <c r="G348" s="16" t="s">
        <v>46</v>
      </c>
      <c r="H348" s="16" t="s">
        <v>56</v>
      </c>
      <c r="I348" s="16" t="s">
        <v>48</v>
      </c>
      <c r="J348" s="16" t="s">
        <v>34</v>
      </c>
      <c r="K348" s="17" t="s">
        <v>1547</v>
      </c>
      <c r="M348" t="s">
        <v>36</v>
      </c>
      <c r="N348" t="s">
        <v>300</v>
      </c>
      <c r="O348" t="s">
        <v>52</v>
      </c>
      <c r="P348" s="15">
        <v>8</v>
      </c>
      <c r="Q348" s="18">
        <v>138952</v>
      </c>
      <c r="R348" s="19">
        <v>25</v>
      </c>
      <c r="S348" s="14">
        <v>2.8</v>
      </c>
      <c r="T348" s="7">
        <v>92</v>
      </c>
      <c r="U348" s="15">
        <v>1</v>
      </c>
      <c r="V348" s="15">
        <v>26</v>
      </c>
      <c r="W348" s="15">
        <v>41</v>
      </c>
      <c r="X348" t="s">
        <v>39</v>
      </c>
      <c r="Y348" t="s">
        <v>40</v>
      </c>
      <c r="Z348" s="14">
        <v>1.6</v>
      </c>
      <c r="AA348" s="12">
        <f>YEAR(Table1[Hire_Date])</f>
        <v>2024</v>
      </c>
      <c r="AB34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349" spans="1:28" x14ac:dyDescent="0.25">
      <c r="A349" t="s">
        <v>1548</v>
      </c>
      <c r="B349" s="16" t="s">
        <v>1549</v>
      </c>
      <c r="C349" s="16" t="s">
        <v>1550</v>
      </c>
      <c r="D349" t="s">
        <v>44</v>
      </c>
      <c r="E349" s="15">
        <v>33</v>
      </c>
      <c r="F349" s="16" t="s">
        <v>124</v>
      </c>
      <c r="G349" s="16" t="s">
        <v>141</v>
      </c>
      <c r="H349" s="16" t="s">
        <v>47</v>
      </c>
      <c r="I349" s="16" t="s">
        <v>57</v>
      </c>
      <c r="J349" s="16" t="s">
        <v>34</v>
      </c>
      <c r="K349" s="17" t="s">
        <v>1551</v>
      </c>
      <c r="M349" t="s">
        <v>36</v>
      </c>
      <c r="N349" t="s">
        <v>180</v>
      </c>
      <c r="O349" t="s">
        <v>60</v>
      </c>
      <c r="P349" s="15">
        <v>23</v>
      </c>
      <c r="Q349" s="18">
        <v>49218</v>
      </c>
      <c r="R349" s="19">
        <v>9</v>
      </c>
      <c r="S349" s="14">
        <v>3.1</v>
      </c>
      <c r="T349" s="7">
        <v>53</v>
      </c>
      <c r="U349" s="15">
        <v>14</v>
      </c>
      <c r="V349" s="15">
        <v>11</v>
      </c>
      <c r="W349" s="15">
        <v>58</v>
      </c>
      <c r="X349" t="s">
        <v>61</v>
      </c>
      <c r="Y349" t="s">
        <v>62</v>
      </c>
      <c r="Z349" s="14">
        <v>8</v>
      </c>
      <c r="AA349" s="12">
        <f>YEAR(Table1[Hire_Date])</f>
        <v>2018</v>
      </c>
      <c r="AB34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350" spans="1:28" x14ac:dyDescent="0.25">
      <c r="A350" t="s">
        <v>1552</v>
      </c>
      <c r="B350" s="16" t="s">
        <v>1553</v>
      </c>
      <c r="C350" s="16" t="s">
        <v>1554</v>
      </c>
      <c r="D350" t="s">
        <v>29</v>
      </c>
      <c r="E350" s="15">
        <v>24</v>
      </c>
      <c r="F350" s="16" t="s">
        <v>103</v>
      </c>
      <c r="G350" s="16" t="s">
        <v>104</v>
      </c>
      <c r="H350" s="16" t="s">
        <v>56</v>
      </c>
      <c r="I350" s="16" t="s">
        <v>33</v>
      </c>
      <c r="J350" s="16" t="s">
        <v>49</v>
      </c>
      <c r="K350" s="17" t="s">
        <v>1555</v>
      </c>
      <c r="M350" t="s">
        <v>36</v>
      </c>
      <c r="N350" t="s">
        <v>605</v>
      </c>
      <c r="O350" t="s">
        <v>52</v>
      </c>
      <c r="P350" s="15">
        <v>6</v>
      </c>
      <c r="Q350" s="18">
        <v>78968</v>
      </c>
      <c r="R350" s="19">
        <v>24</v>
      </c>
      <c r="S350" s="14">
        <v>2.6</v>
      </c>
      <c r="T350" s="7">
        <v>59</v>
      </c>
      <c r="U350" s="15">
        <v>6</v>
      </c>
      <c r="V350" s="15">
        <v>59</v>
      </c>
      <c r="W350" s="15">
        <v>19</v>
      </c>
      <c r="X350" t="s">
        <v>39</v>
      </c>
      <c r="Y350" t="s">
        <v>40</v>
      </c>
      <c r="Z350" s="14">
        <v>1</v>
      </c>
      <c r="AA350" s="12">
        <f>YEAR(Table1[Hire_Date])</f>
        <v>2025</v>
      </c>
      <c r="AB35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351" spans="1:28" x14ac:dyDescent="0.25">
      <c r="A351" t="s">
        <v>1556</v>
      </c>
      <c r="B351" s="16" t="s">
        <v>1557</v>
      </c>
      <c r="C351" s="16" t="s">
        <v>1558</v>
      </c>
      <c r="D351" t="s">
        <v>29</v>
      </c>
      <c r="E351" s="15">
        <v>32</v>
      </c>
      <c r="F351" s="16" t="s">
        <v>124</v>
      </c>
      <c r="G351" s="16" t="s">
        <v>141</v>
      </c>
      <c r="H351" s="16" t="s">
        <v>83</v>
      </c>
      <c r="I351" s="16" t="s">
        <v>48</v>
      </c>
      <c r="J351" s="16" t="s">
        <v>49</v>
      </c>
      <c r="K351" s="17" t="s">
        <v>1559</v>
      </c>
      <c r="M351" t="s">
        <v>36</v>
      </c>
      <c r="N351" t="s">
        <v>896</v>
      </c>
      <c r="O351" t="s">
        <v>60</v>
      </c>
      <c r="P351" s="15">
        <v>21</v>
      </c>
      <c r="Q351" s="18">
        <v>97001</v>
      </c>
      <c r="R351" s="19">
        <v>22</v>
      </c>
      <c r="S351" s="14">
        <v>3.2</v>
      </c>
      <c r="T351" s="7">
        <v>58</v>
      </c>
      <c r="U351" s="15">
        <v>5</v>
      </c>
      <c r="V351" s="15">
        <v>17</v>
      </c>
      <c r="W351" s="15">
        <v>53</v>
      </c>
      <c r="X351" t="s">
        <v>39</v>
      </c>
      <c r="Y351" t="s">
        <v>40</v>
      </c>
      <c r="Z351" s="14">
        <v>1.3</v>
      </c>
      <c r="AA351" s="12">
        <f>YEAR(Table1[Hire_Date])</f>
        <v>2025</v>
      </c>
      <c r="AB35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352" spans="1:28" x14ac:dyDescent="0.25">
      <c r="A352" t="s">
        <v>1560</v>
      </c>
      <c r="B352" s="16" t="s">
        <v>1561</v>
      </c>
      <c r="C352" s="16" t="s">
        <v>1562</v>
      </c>
      <c r="D352" t="s">
        <v>44</v>
      </c>
      <c r="E352" s="15">
        <v>48</v>
      </c>
      <c r="F352" s="16" t="s">
        <v>103</v>
      </c>
      <c r="G352" s="16" t="s">
        <v>147</v>
      </c>
      <c r="H352" s="16" t="s">
        <v>47</v>
      </c>
      <c r="I352" s="16" t="s">
        <v>48</v>
      </c>
      <c r="J352" s="16" t="s">
        <v>34</v>
      </c>
      <c r="K352" s="17" t="s">
        <v>1563</v>
      </c>
      <c r="M352" t="s">
        <v>36</v>
      </c>
      <c r="N352" t="s">
        <v>93</v>
      </c>
      <c r="O352" t="s">
        <v>60</v>
      </c>
      <c r="P352" s="15">
        <v>34</v>
      </c>
      <c r="Q352" s="18">
        <v>46241</v>
      </c>
      <c r="R352" s="19">
        <v>16</v>
      </c>
      <c r="S352" s="14">
        <v>4.5999999999999996</v>
      </c>
      <c r="T352" s="7">
        <v>98</v>
      </c>
      <c r="U352" s="15">
        <v>14</v>
      </c>
      <c r="V352" s="15">
        <v>20</v>
      </c>
      <c r="W352" s="15">
        <v>73</v>
      </c>
      <c r="X352" t="s">
        <v>39</v>
      </c>
      <c r="Y352" t="s">
        <v>40</v>
      </c>
      <c r="Z352" s="14">
        <v>9.6999999999999993</v>
      </c>
      <c r="AA352" s="12">
        <f>YEAR(Table1[Hire_Date])</f>
        <v>2016</v>
      </c>
      <c r="AB35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353" spans="1:28" x14ac:dyDescent="0.25">
      <c r="A353" t="s">
        <v>1564</v>
      </c>
      <c r="B353" s="16" t="s">
        <v>1565</v>
      </c>
      <c r="C353" s="16" t="s">
        <v>1566</v>
      </c>
      <c r="D353" t="s">
        <v>44</v>
      </c>
      <c r="E353" s="15">
        <v>38</v>
      </c>
      <c r="F353" s="16" t="s">
        <v>30</v>
      </c>
      <c r="G353" s="16" t="s">
        <v>13</v>
      </c>
      <c r="H353" s="16" t="s">
        <v>47</v>
      </c>
      <c r="I353" s="16" t="s">
        <v>33</v>
      </c>
      <c r="J353" s="16" t="s">
        <v>34</v>
      </c>
      <c r="K353" s="17" t="s">
        <v>1567</v>
      </c>
      <c r="L353" s="17" t="s">
        <v>1568</v>
      </c>
      <c r="M353" t="s">
        <v>76</v>
      </c>
      <c r="N353" t="s">
        <v>342</v>
      </c>
      <c r="O353" t="s">
        <v>38</v>
      </c>
      <c r="P353" s="15">
        <v>16</v>
      </c>
      <c r="Q353" s="18">
        <v>153894</v>
      </c>
      <c r="R353" s="19">
        <v>24</v>
      </c>
      <c r="S353" s="14">
        <v>2.8</v>
      </c>
      <c r="T353" s="7">
        <v>73</v>
      </c>
      <c r="U353" s="15">
        <v>9</v>
      </c>
      <c r="V353" s="15">
        <v>43</v>
      </c>
      <c r="W353" s="15">
        <v>34</v>
      </c>
      <c r="X353" t="s">
        <v>61</v>
      </c>
      <c r="Y353" t="s">
        <v>62</v>
      </c>
      <c r="Z353" s="14">
        <v>6.6</v>
      </c>
      <c r="AA353" s="12">
        <f>YEAR(Table1[Hire_Date])</f>
        <v>2020</v>
      </c>
      <c r="AB35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354" spans="1:28" x14ac:dyDescent="0.25">
      <c r="A354" t="s">
        <v>1569</v>
      </c>
      <c r="B354" s="16" t="s">
        <v>1570</v>
      </c>
      <c r="C354" s="16" t="s">
        <v>1571</v>
      </c>
      <c r="D354" t="s">
        <v>29</v>
      </c>
      <c r="E354" s="15">
        <v>40</v>
      </c>
      <c r="F354" s="16" t="s">
        <v>45</v>
      </c>
      <c r="G354" s="16" t="s">
        <v>46</v>
      </c>
      <c r="H354" s="16" t="s">
        <v>32</v>
      </c>
      <c r="I354" s="16" t="s">
        <v>57</v>
      </c>
      <c r="J354" s="16" t="s">
        <v>34</v>
      </c>
      <c r="K354" s="17" t="s">
        <v>1572</v>
      </c>
      <c r="M354" t="s">
        <v>36</v>
      </c>
      <c r="N354" t="s">
        <v>149</v>
      </c>
      <c r="O354" t="s">
        <v>52</v>
      </c>
      <c r="P354" s="15">
        <v>2</v>
      </c>
      <c r="Q354" s="18">
        <v>107897</v>
      </c>
      <c r="R354" s="19">
        <v>14</v>
      </c>
      <c r="S354" s="14">
        <v>3.9</v>
      </c>
      <c r="T354" s="7">
        <v>91</v>
      </c>
      <c r="U354" s="15">
        <v>4</v>
      </c>
      <c r="V354" s="15">
        <v>59</v>
      </c>
      <c r="W354" s="15">
        <v>19</v>
      </c>
      <c r="X354" t="s">
        <v>61</v>
      </c>
      <c r="Y354" t="s">
        <v>40</v>
      </c>
      <c r="Z354" s="14">
        <v>6</v>
      </c>
      <c r="AA354" s="12">
        <f>YEAR(Table1[Hire_Date])</f>
        <v>2020</v>
      </c>
      <c r="AB35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355" spans="1:28" x14ac:dyDescent="0.25">
      <c r="A355" t="s">
        <v>1573</v>
      </c>
      <c r="B355" s="16" t="s">
        <v>1574</v>
      </c>
      <c r="C355" s="16" t="s">
        <v>1575</v>
      </c>
      <c r="D355" t="s">
        <v>44</v>
      </c>
      <c r="E355" s="15">
        <v>54</v>
      </c>
      <c r="F355" s="16" t="s">
        <v>72</v>
      </c>
      <c r="G355" s="16" t="s">
        <v>135</v>
      </c>
      <c r="H355" s="16" t="s">
        <v>32</v>
      </c>
      <c r="I355" s="16" t="s">
        <v>48</v>
      </c>
      <c r="J355" s="16" t="s">
        <v>49</v>
      </c>
      <c r="K355" s="17" t="s">
        <v>1576</v>
      </c>
      <c r="M355" t="s">
        <v>36</v>
      </c>
      <c r="N355" t="s">
        <v>165</v>
      </c>
      <c r="O355" t="s">
        <v>52</v>
      </c>
      <c r="P355" s="15">
        <v>14</v>
      </c>
      <c r="Q355" s="18">
        <v>175722</v>
      </c>
      <c r="R355" s="19">
        <v>11</v>
      </c>
      <c r="S355" s="14">
        <v>4.5999999999999996</v>
      </c>
      <c r="T355" s="7">
        <v>60</v>
      </c>
      <c r="U355" s="15">
        <v>12</v>
      </c>
      <c r="V355" s="15">
        <v>27</v>
      </c>
      <c r="W355" s="15">
        <v>71</v>
      </c>
      <c r="X355" t="s">
        <v>61</v>
      </c>
      <c r="Y355" t="s">
        <v>62</v>
      </c>
      <c r="Z355" s="14">
        <v>0.5</v>
      </c>
      <c r="AA355" s="12">
        <f>YEAR(Table1[Hire_Date])</f>
        <v>2026</v>
      </c>
      <c r="AB35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356" spans="1:28" x14ac:dyDescent="0.25">
      <c r="A356" t="s">
        <v>1577</v>
      </c>
      <c r="B356" s="16" t="s">
        <v>1578</v>
      </c>
      <c r="C356" s="16" t="s">
        <v>1579</v>
      </c>
      <c r="D356" t="s">
        <v>44</v>
      </c>
      <c r="E356" s="15">
        <v>35</v>
      </c>
      <c r="F356" s="16" t="s">
        <v>72</v>
      </c>
      <c r="G356" s="16" t="s">
        <v>73</v>
      </c>
      <c r="H356" s="16" t="s">
        <v>83</v>
      </c>
      <c r="I356" s="16" t="s">
        <v>33</v>
      </c>
      <c r="J356" s="16" t="s">
        <v>34</v>
      </c>
      <c r="K356" s="17" t="s">
        <v>1580</v>
      </c>
      <c r="L356" s="17" t="s">
        <v>1581</v>
      </c>
      <c r="M356" t="s">
        <v>76</v>
      </c>
      <c r="N356" t="s">
        <v>253</v>
      </c>
      <c r="O356" t="s">
        <v>60</v>
      </c>
      <c r="P356" s="15">
        <v>22</v>
      </c>
      <c r="Q356" s="18">
        <v>40376</v>
      </c>
      <c r="R356" s="19">
        <v>7</v>
      </c>
      <c r="S356" s="14">
        <v>2.9</v>
      </c>
      <c r="T356" s="7">
        <v>76</v>
      </c>
      <c r="U356" s="15">
        <v>15</v>
      </c>
      <c r="V356" s="15">
        <v>32</v>
      </c>
      <c r="W356" s="15">
        <v>40</v>
      </c>
      <c r="X356" t="s">
        <v>39</v>
      </c>
      <c r="Y356" t="s">
        <v>78</v>
      </c>
      <c r="Z356" s="14">
        <v>8.3000000000000007</v>
      </c>
      <c r="AA356" s="12">
        <f>YEAR(Table1[Hire_Date])</f>
        <v>2018</v>
      </c>
      <c r="AB35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357" spans="1:28" x14ac:dyDescent="0.25">
      <c r="A357" t="s">
        <v>1582</v>
      </c>
      <c r="B357" s="16" t="s">
        <v>1583</v>
      </c>
      <c r="C357" s="16" t="s">
        <v>1584</v>
      </c>
      <c r="D357" t="s">
        <v>44</v>
      </c>
      <c r="E357" s="15">
        <v>56</v>
      </c>
      <c r="F357" s="16" t="s">
        <v>103</v>
      </c>
      <c r="G357" s="16" t="s">
        <v>13</v>
      </c>
      <c r="H357" s="16" t="s">
        <v>56</v>
      </c>
      <c r="I357" s="16" t="s">
        <v>57</v>
      </c>
      <c r="J357" s="16" t="s">
        <v>34</v>
      </c>
      <c r="K357" s="17" t="s">
        <v>1585</v>
      </c>
      <c r="M357" t="s">
        <v>36</v>
      </c>
      <c r="N357" t="s">
        <v>199</v>
      </c>
      <c r="O357" t="s">
        <v>52</v>
      </c>
      <c r="P357" s="15">
        <v>4</v>
      </c>
      <c r="Q357" s="18">
        <v>63443</v>
      </c>
      <c r="R357" s="19">
        <v>12</v>
      </c>
      <c r="S357" s="14">
        <v>3.7</v>
      </c>
      <c r="T357" s="7">
        <v>57</v>
      </c>
      <c r="U357" s="15">
        <v>8</v>
      </c>
      <c r="V357" s="15">
        <v>36</v>
      </c>
      <c r="W357" s="15">
        <v>41</v>
      </c>
      <c r="X357" t="s">
        <v>61</v>
      </c>
      <c r="Y357" t="s">
        <v>78</v>
      </c>
      <c r="Z357" s="14">
        <v>4.4000000000000004</v>
      </c>
      <c r="AA357" s="12">
        <f>YEAR(Table1[Hire_Date])</f>
        <v>2022</v>
      </c>
      <c r="AB35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358" spans="1:28" x14ac:dyDescent="0.25">
      <c r="A358" t="s">
        <v>1586</v>
      </c>
      <c r="B358" s="16" t="s">
        <v>1587</v>
      </c>
      <c r="C358" s="16" t="s">
        <v>1588</v>
      </c>
      <c r="D358" t="s">
        <v>29</v>
      </c>
      <c r="E358" s="15">
        <v>38</v>
      </c>
      <c r="F358" s="16" t="s">
        <v>45</v>
      </c>
      <c r="G358" s="16" t="s">
        <v>46</v>
      </c>
      <c r="H358" s="16" t="s">
        <v>32</v>
      </c>
      <c r="I358" s="16" t="s">
        <v>48</v>
      </c>
      <c r="J358" s="16" t="s">
        <v>49</v>
      </c>
      <c r="K358" s="17" t="s">
        <v>1589</v>
      </c>
      <c r="M358" t="s">
        <v>36</v>
      </c>
      <c r="N358" t="s">
        <v>550</v>
      </c>
      <c r="O358" t="s">
        <v>60</v>
      </c>
      <c r="P358" s="15">
        <v>25</v>
      </c>
      <c r="Q358" s="18">
        <v>75407</v>
      </c>
      <c r="R358" s="19">
        <v>5</v>
      </c>
      <c r="S358" s="14">
        <v>4.8</v>
      </c>
      <c r="T358" s="7">
        <v>59</v>
      </c>
      <c r="U358" s="15">
        <v>7</v>
      </c>
      <c r="V358" s="15">
        <v>30</v>
      </c>
      <c r="W358" s="15">
        <v>3</v>
      </c>
      <c r="X358" t="s">
        <v>39</v>
      </c>
      <c r="Y358" t="s">
        <v>78</v>
      </c>
      <c r="Z358" s="14">
        <v>8.1999999999999993</v>
      </c>
      <c r="AA358" s="12">
        <f>YEAR(Table1[Hire_Date])</f>
        <v>2018</v>
      </c>
      <c r="AB35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359" spans="1:28" x14ac:dyDescent="0.25">
      <c r="A359" t="s">
        <v>1590</v>
      </c>
      <c r="B359" s="16" t="s">
        <v>1591</v>
      </c>
      <c r="C359" s="16" t="s">
        <v>1592</v>
      </c>
      <c r="D359" t="s">
        <v>29</v>
      </c>
      <c r="E359" s="15">
        <v>45</v>
      </c>
      <c r="F359" s="16" t="s">
        <v>30</v>
      </c>
      <c r="G359" s="16" t="s">
        <v>13</v>
      </c>
      <c r="H359" s="16" t="s">
        <v>83</v>
      </c>
      <c r="I359" s="16" t="s">
        <v>57</v>
      </c>
      <c r="J359" s="16" t="s">
        <v>34</v>
      </c>
      <c r="K359" s="17" t="s">
        <v>1593</v>
      </c>
      <c r="M359" t="s">
        <v>36</v>
      </c>
      <c r="N359" t="s">
        <v>337</v>
      </c>
      <c r="O359" t="s">
        <v>60</v>
      </c>
      <c r="P359" s="15">
        <v>4</v>
      </c>
      <c r="Q359" s="18">
        <v>158409</v>
      </c>
      <c r="R359" s="19">
        <v>11</v>
      </c>
      <c r="S359" s="14">
        <v>4.0999999999999996</v>
      </c>
      <c r="T359" s="7">
        <v>75</v>
      </c>
      <c r="U359" s="15">
        <v>12</v>
      </c>
      <c r="V359" s="15">
        <v>4</v>
      </c>
      <c r="W359" s="15">
        <v>74</v>
      </c>
      <c r="X359" t="s">
        <v>39</v>
      </c>
      <c r="Y359" t="s">
        <v>40</v>
      </c>
      <c r="Z359" s="14">
        <v>6.5</v>
      </c>
      <c r="AA359" s="12">
        <f>YEAR(Table1[Hire_Date])</f>
        <v>2020</v>
      </c>
      <c r="AB35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360" spans="1:28" x14ac:dyDescent="0.25">
      <c r="A360" t="s">
        <v>1594</v>
      </c>
      <c r="B360" s="16" t="s">
        <v>1595</v>
      </c>
      <c r="C360" s="16" t="s">
        <v>1596</v>
      </c>
      <c r="D360" t="s">
        <v>44</v>
      </c>
      <c r="E360" s="15">
        <v>60</v>
      </c>
      <c r="F360" s="16" t="s">
        <v>124</v>
      </c>
      <c r="G360" s="16" t="s">
        <v>13</v>
      </c>
      <c r="H360" s="16" t="s">
        <v>56</v>
      </c>
      <c r="I360" s="16" t="s">
        <v>33</v>
      </c>
      <c r="J360" s="16" t="s">
        <v>49</v>
      </c>
      <c r="K360" s="17" t="s">
        <v>1597</v>
      </c>
      <c r="L360" s="17" t="s">
        <v>1598</v>
      </c>
      <c r="M360" t="s">
        <v>76</v>
      </c>
      <c r="N360" t="s">
        <v>353</v>
      </c>
      <c r="O360" t="s">
        <v>52</v>
      </c>
      <c r="P360" s="15">
        <v>32</v>
      </c>
      <c r="Q360" s="18">
        <v>129213</v>
      </c>
      <c r="R360" s="19">
        <v>21</v>
      </c>
      <c r="S360" s="14">
        <v>4.2</v>
      </c>
      <c r="T360" s="7">
        <v>72</v>
      </c>
      <c r="U360" s="15">
        <v>15</v>
      </c>
      <c r="V360" s="15">
        <v>54</v>
      </c>
      <c r="W360" s="15">
        <v>54</v>
      </c>
      <c r="X360" t="s">
        <v>61</v>
      </c>
      <c r="Y360" t="s">
        <v>62</v>
      </c>
      <c r="Z360" s="14">
        <v>9.9</v>
      </c>
      <c r="AA360" s="12">
        <f>YEAR(Table1[Hire_Date])</f>
        <v>2016</v>
      </c>
      <c r="AB36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361" spans="1:28" x14ac:dyDescent="0.25">
      <c r="A361" t="s">
        <v>1599</v>
      </c>
      <c r="B361" s="16" t="s">
        <v>1600</v>
      </c>
      <c r="C361" s="16" t="s">
        <v>1601</v>
      </c>
      <c r="D361" t="s">
        <v>44</v>
      </c>
      <c r="E361" s="15">
        <v>25</v>
      </c>
      <c r="F361" s="16" t="s">
        <v>124</v>
      </c>
      <c r="G361" s="16" t="s">
        <v>13</v>
      </c>
      <c r="H361" s="16" t="s">
        <v>83</v>
      </c>
      <c r="I361" s="16" t="s">
        <v>57</v>
      </c>
      <c r="J361" s="16" t="s">
        <v>49</v>
      </c>
      <c r="K361" s="17" t="s">
        <v>1602</v>
      </c>
      <c r="M361" t="s">
        <v>36</v>
      </c>
      <c r="N361" t="s">
        <v>659</v>
      </c>
      <c r="O361" t="s">
        <v>52</v>
      </c>
      <c r="P361" s="15">
        <v>11</v>
      </c>
      <c r="Q361" s="18">
        <v>72362</v>
      </c>
      <c r="R361" s="19">
        <v>21</v>
      </c>
      <c r="S361" s="14">
        <v>3.8</v>
      </c>
      <c r="T361" s="7">
        <v>69</v>
      </c>
      <c r="U361" s="15">
        <v>2</v>
      </c>
      <c r="V361" s="15">
        <v>48</v>
      </c>
      <c r="W361" s="15">
        <v>0</v>
      </c>
      <c r="X361" t="s">
        <v>39</v>
      </c>
      <c r="Y361" t="s">
        <v>78</v>
      </c>
      <c r="Z361" s="14">
        <v>8</v>
      </c>
      <c r="AA361" s="12">
        <f>YEAR(Table1[Hire_Date])</f>
        <v>2018</v>
      </c>
      <c r="AB36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362" spans="1:28" x14ac:dyDescent="0.25">
      <c r="A362" t="s">
        <v>1603</v>
      </c>
      <c r="B362" s="16" t="s">
        <v>1604</v>
      </c>
      <c r="C362" s="16" t="s">
        <v>1605</v>
      </c>
      <c r="D362" t="s">
        <v>29</v>
      </c>
      <c r="E362" s="15">
        <v>23</v>
      </c>
      <c r="F362" s="16" t="s">
        <v>30</v>
      </c>
      <c r="G362" s="16" t="s">
        <v>31</v>
      </c>
      <c r="H362" s="16" t="s">
        <v>32</v>
      </c>
      <c r="I362" s="16" t="s">
        <v>33</v>
      </c>
      <c r="J362" s="16" t="s">
        <v>34</v>
      </c>
      <c r="K362" s="17" t="s">
        <v>1606</v>
      </c>
      <c r="L362" s="17" t="s">
        <v>1607</v>
      </c>
      <c r="M362" t="s">
        <v>76</v>
      </c>
      <c r="N362" t="s">
        <v>258</v>
      </c>
      <c r="O362" t="s">
        <v>38</v>
      </c>
      <c r="P362" s="15">
        <v>35</v>
      </c>
      <c r="Q362" s="18">
        <v>65576</v>
      </c>
      <c r="R362" s="19">
        <v>8</v>
      </c>
      <c r="S362" s="14">
        <v>3.2</v>
      </c>
      <c r="T362" s="7">
        <v>99</v>
      </c>
      <c r="U362" s="15">
        <v>18</v>
      </c>
      <c r="V362" s="15">
        <v>12</v>
      </c>
      <c r="W362" s="15">
        <v>35</v>
      </c>
      <c r="X362" t="s">
        <v>61</v>
      </c>
      <c r="Y362" t="s">
        <v>78</v>
      </c>
      <c r="Z362" s="14">
        <v>9</v>
      </c>
      <c r="AA362" s="12">
        <f>YEAR(Table1[Hire_Date])</f>
        <v>2017</v>
      </c>
      <c r="AB36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363" spans="1:28" x14ac:dyDescent="0.25">
      <c r="A363" t="s">
        <v>1608</v>
      </c>
      <c r="B363" s="16" t="s">
        <v>1609</v>
      </c>
      <c r="C363" s="16" t="s">
        <v>1610</v>
      </c>
      <c r="D363" t="s">
        <v>44</v>
      </c>
      <c r="E363" s="15">
        <v>45</v>
      </c>
      <c r="F363" s="16" t="s">
        <v>72</v>
      </c>
      <c r="G363" s="16" t="s">
        <v>135</v>
      </c>
      <c r="H363" s="16" t="s">
        <v>66</v>
      </c>
      <c r="I363" s="16" t="s">
        <v>33</v>
      </c>
      <c r="J363" s="16" t="s">
        <v>49</v>
      </c>
      <c r="K363" s="17" t="s">
        <v>1611</v>
      </c>
      <c r="M363" t="s">
        <v>36</v>
      </c>
      <c r="N363" t="s">
        <v>669</v>
      </c>
      <c r="O363" t="s">
        <v>60</v>
      </c>
      <c r="P363" s="15">
        <v>8</v>
      </c>
      <c r="Q363" s="18">
        <v>69831</v>
      </c>
      <c r="R363" s="19">
        <v>13</v>
      </c>
      <c r="S363" s="14">
        <v>3.6</v>
      </c>
      <c r="T363" s="7">
        <v>67</v>
      </c>
      <c r="U363" s="15">
        <v>2</v>
      </c>
      <c r="V363" s="15">
        <v>53</v>
      </c>
      <c r="W363" s="15">
        <v>73</v>
      </c>
      <c r="X363" t="s">
        <v>39</v>
      </c>
      <c r="Y363" t="s">
        <v>40</v>
      </c>
      <c r="Z363" s="14">
        <v>3.6</v>
      </c>
      <c r="AA363" s="12">
        <f>YEAR(Table1[Hire_Date])</f>
        <v>2022</v>
      </c>
      <c r="AB36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364" spans="1:28" x14ac:dyDescent="0.25">
      <c r="A364" t="s">
        <v>1612</v>
      </c>
      <c r="B364" s="16" t="s">
        <v>1613</v>
      </c>
      <c r="C364" s="16" t="s">
        <v>1614</v>
      </c>
      <c r="D364" t="s">
        <v>29</v>
      </c>
      <c r="E364" s="15">
        <v>57</v>
      </c>
      <c r="F364" s="16" t="s">
        <v>45</v>
      </c>
      <c r="G364" s="16" t="s">
        <v>82</v>
      </c>
      <c r="H364" s="16" t="s">
        <v>32</v>
      </c>
      <c r="I364" s="16" t="s">
        <v>57</v>
      </c>
      <c r="J364" s="16" t="s">
        <v>34</v>
      </c>
      <c r="K364" s="17" t="s">
        <v>1615</v>
      </c>
      <c r="M364" t="s">
        <v>36</v>
      </c>
      <c r="N364" t="s">
        <v>588</v>
      </c>
      <c r="O364" t="s">
        <v>38</v>
      </c>
      <c r="P364" s="15">
        <v>25</v>
      </c>
      <c r="Q364" s="18">
        <v>91529</v>
      </c>
      <c r="R364" s="19">
        <v>7</v>
      </c>
      <c r="S364" s="14">
        <v>3.1</v>
      </c>
      <c r="T364" s="7">
        <v>56</v>
      </c>
      <c r="U364" s="15">
        <v>2</v>
      </c>
      <c r="V364" s="15">
        <v>56</v>
      </c>
      <c r="W364" s="15">
        <v>18</v>
      </c>
      <c r="X364" t="s">
        <v>39</v>
      </c>
      <c r="Y364" t="s">
        <v>78</v>
      </c>
      <c r="Z364" s="14">
        <v>6.2</v>
      </c>
      <c r="AA364" s="12">
        <f>YEAR(Table1[Hire_Date])</f>
        <v>2020</v>
      </c>
      <c r="AB36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365" spans="1:28" x14ac:dyDescent="0.25">
      <c r="A365" t="s">
        <v>1616</v>
      </c>
      <c r="B365" s="16" t="s">
        <v>1617</v>
      </c>
      <c r="C365" s="16" t="s">
        <v>1618</v>
      </c>
      <c r="D365" t="s">
        <v>44</v>
      </c>
      <c r="E365" s="15">
        <v>50</v>
      </c>
      <c r="F365" s="16" t="s">
        <v>103</v>
      </c>
      <c r="G365" s="16" t="s">
        <v>13</v>
      </c>
      <c r="H365" s="16" t="s">
        <v>66</v>
      </c>
      <c r="I365" s="16" t="s">
        <v>33</v>
      </c>
      <c r="J365" s="16" t="s">
        <v>49</v>
      </c>
      <c r="K365" s="17" t="s">
        <v>1619</v>
      </c>
      <c r="M365" t="s">
        <v>36</v>
      </c>
      <c r="N365" t="s">
        <v>120</v>
      </c>
      <c r="O365" t="s">
        <v>52</v>
      </c>
      <c r="P365" s="15">
        <v>29</v>
      </c>
      <c r="Q365" s="18">
        <v>159017</v>
      </c>
      <c r="R365" s="19">
        <v>8</v>
      </c>
      <c r="S365" s="14">
        <v>3.9</v>
      </c>
      <c r="T365" s="7">
        <v>69</v>
      </c>
      <c r="U365" s="15">
        <v>15</v>
      </c>
      <c r="V365" s="15">
        <v>21</v>
      </c>
      <c r="W365" s="15">
        <v>38</v>
      </c>
      <c r="X365" t="s">
        <v>61</v>
      </c>
      <c r="Y365" t="s">
        <v>40</v>
      </c>
      <c r="Z365" s="14">
        <v>8.8000000000000007</v>
      </c>
      <c r="AA365" s="12">
        <f>YEAR(Table1[Hire_Date])</f>
        <v>2017</v>
      </c>
      <c r="AB36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366" spans="1:28" x14ac:dyDescent="0.25">
      <c r="A366" t="s">
        <v>1620</v>
      </c>
      <c r="B366" s="16" t="s">
        <v>1621</v>
      </c>
      <c r="C366" s="16" t="s">
        <v>1622</v>
      </c>
      <c r="D366" t="s">
        <v>44</v>
      </c>
      <c r="E366" s="15">
        <v>52</v>
      </c>
      <c r="F366" s="16" t="s">
        <v>30</v>
      </c>
      <c r="G366" s="16" t="s">
        <v>13</v>
      </c>
      <c r="H366" s="16" t="s">
        <v>66</v>
      </c>
      <c r="I366" s="16" t="s">
        <v>57</v>
      </c>
      <c r="J366" s="16" t="s">
        <v>49</v>
      </c>
      <c r="K366" s="17" t="s">
        <v>1623</v>
      </c>
      <c r="M366" t="s">
        <v>36</v>
      </c>
      <c r="N366" t="s">
        <v>300</v>
      </c>
      <c r="O366" t="s">
        <v>52</v>
      </c>
      <c r="P366" s="15">
        <v>6</v>
      </c>
      <c r="Q366" s="18">
        <v>158679</v>
      </c>
      <c r="R366" s="19">
        <v>21</v>
      </c>
      <c r="S366" s="14">
        <v>2.6</v>
      </c>
      <c r="T366" s="7">
        <v>70</v>
      </c>
      <c r="U366" s="15">
        <v>14</v>
      </c>
      <c r="V366" s="15">
        <v>1</v>
      </c>
      <c r="W366" s="15">
        <v>41</v>
      </c>
      <c r="X366" t="s">
        <v>39</v>
      </c>
      <c r="Y366" t="s">
        <v>78</v>
      </c>
      <c r="Z366" s="14">
        <v>9.5</v>
      </c>
      <c r="AA366" s="12">
        <f>YEAR(Table1[Hire_Date])</f>
        <v>2017</v>
      </c>
      <c r="AB36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367" spans="1:28" x14ac:dyDescent="0.25">
      <c r="A367" t="s">
        <v>1624</v>
      </c>
      <c r="B367" s="16" t="s">
        <v>1625</v>
      </c>
      <c r="C367" s="16" t="s">
        <v>1626</v>
      </c>
      <c r="D367" t="s">
        <v>29</v>
      </c>
      <c r="E367" s="15">
        <v>29</v>
      </c>
      <c r="F367" s="16" t="s">
        <v>45</v>
      </c>
      <c r="G367" s="16" t="s">
        <v>46</v>
      </c>
      <c r="H367" s="16" t="s">
        <v>83</v>
      </c>
      <c r="I367" s="16" t="s">
        <v>57</v>
      </c>
      <c r="J367" s="16" t="s">
        <v>49</v>
      </c>
      <c r="K367" s="17" t="s">
        <v>1627</v>
      </c>
      <c r="M367" t="s">
        <v>36</v>
      </c>
      <c r="N367" t="s">
        <v>536</v>
      </c>
      <c r="O367" t="s">
        <v>38</v>
      </c>
      <c r="P367" s="15">
        <v>4</v>
      </c>
      <c r="Q367" s="18">
        <v>43722</v>
      </c>
      <c r="R367" s="19">
        <v>5</v>
      </c>
      <c r="S367" s="14">
        <v>2.7</v>
      </c>
      <c r="T367" s="7">
        <v>72</v>
      </c>
      <c r="U367" s="15">
        <v>3</v>
      </c>
      <c r="V367" s="15">
        <v>19</v>
      </c>
      <c r="W367" s="15">
        <v>41</v>
      </c>
      <c r="X367" t="s">
        <v>61</v>
      </c>
      <c r="Y367" t="s">
        <v>62</v>
      </c>
      <c r="Z367" s="14">
        <v>10.1</v>
      </c>
      <c r="AA367" s="12">
        <f>YEAR(Table1[Hire_Date])</f>
        <v>2016</v>
      </c>
      <c r="AB36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368" spans="1:28" x14ac:dyDescent="0.25">
      <c r="A368" t="s">
        <v>1628</v>
      </c>
      <c r="B368" s="16" t="s">
        <v>1629</v>
      </c>
      <c r="C368" s="16" t="s">
        <v>1630</v>
      </c>
      <c r="D368" t="s">
        <v>44</v>
      </c>
      <c r="E368" s="15">
        <v>36</v>
      </c>
      <c r="F368" s="16" t="s">
        <v>124</v>
      </c>
      <c r="G368" s="16" t="s">
        <v>104</v>
      </c>
      <c r="H368" s="16" t="s">
        <v>47</v>
      </c>
      <c r="I368" s="16" t="s">
        <v>48</v>
      </c>
      <c r="J368" s="16" t="s">
        <v>49</v>
      </c>
      <c r="K368" s="17" t="s">
        <v>1631</v>
      </c>
      <c r="L368" s="17" t="s">
        <v>1632</v>
      </c>
      <c r="M368" t="s">
        <v>76</v>
      </c>
      <c r="N368" t="s">
        <v>550</v>
      </c>
      <c r="O368" t="s">
        <v>52</v>
      </c>
      <c r="P368" s="15">
        <v>29</v>
      </c>
      <c r="Q368" s="18">
        <v>148355</v>
      </c>
      <c r="R368" s="19">
        <v>10</v>
      </c>
      <c r="S368" s="14">
        <v>4.8</v>
      </c>
      <c r="T368" s="7">
        <v>61</v>
      </c>
      <c r="U368" s="15">
        <v>20</v>
      </c>
      <c r="V368" s="15">
        <v>15</v>
      </c>
      <c r="W368" s="15">
        <v>76</v>
      </c>
      <c r="X368" t="s">
        <v>61</v>
      </c>
      <c r="Y368" t="s">
        <v>40</v>
      </c>
      <c r="Z368" s="14">
        <v>9.6999999999999993</v>
      </c>
      <c r="AA368" s="12">
        <f>YEAR(Table1[Hire_Date])</f>
        <v>2016</v>
      </c>
      <c r="AB36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369" spans="1:28" x14ac:dyDescent="0.25">
      <c r="A369" t="s">
        <v>1633</v>
      </c>
      <c r="B369" s="16" t="s">
        <v>1634</v>
      </c>
      <c r="C369" s="16" t="s">
        <v>1635</v>
      </c>
      <c r="D369" t="s">
        <v>29</v>
      </c>
      <c r="E369" s="15">
        <v>38</v>
      </c>
      <c r="F369" s="16" t="s">
        <v>30</v>
      </c>
      <c r="G369" s="16" t="s">
        <v>13</v>
      </c>
      <c r="H369" s="16" t="s">
        <v>47</v>
      </c>
      <c r="I369" s="16" t="s">
        <v>48</v>
      </c>
      <c r="J369" s="16" t="s">
        <v>34</v>
      </c>
      <c r="K369" s="17" t="s">
        <v>1636</v>
      </c>
      <c r="M369" t="s">
        <v>36</v>
      </c>
      <c r="N369" t="s">
        <v>143</v>
      </c>
      <c r="O369" t="s">
        <v>52</v>
      </c>
      <c r="P369" s="15">
        <v>31</v>
      </c>
      <c r="Q369" s="18">
        <v>158387</v>
      </c>
      <c r="R369" s="19">
        <v>15</v>
      </c>
      <c r="S369" s="14">
        <v>3.4</v>
      </c>
      <c r="T369" s="7">
        <v>59</v>
      </c>
      <c r="U369" s="15">
        <v>12</v>
      </c>
      <c r="V369" s="15">
        <v>47</v>
      </c>
      <c r="W369" s="15">
        <v>23</v>
      </c>
      <c r="X369" t="s">
        <v>61</v>
      </c>
      <c r="Y369" t="s">
        <v>62</v>
      </c>
      <c r="Z369" s="14">
        <v>6.7</v>
      </c>
      <c r="AA369" s="12">
        <f>YEAR(Table1[Hire_Date])</f>
        <v>2019</v>
      </c>
      <c r="AB36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370" spans="1:28" x14ac:dyDescent="0.25">
      <c r="A370" t="s">
        <v>1637</v>
      </c>
      <c r="B370" s="16" t="s">
        <v>1638</v>
      </c>
      <c r="C370" s="16" t="s">
        <v>1639</v>
      </c>
      <c r="D370" t="s">
        <v>44</v>
      </c>
      <c r="E370" s="15">
        <v>26</v>
      </c>
      <c r="F370" s="16" t="s">
        <v>103</v>
      </c>
      <c r="G370" s="16" t="s">
        <v>104</v>
      </c>
      <c r="H370" s="16" t="s">
        <v>56</v>
      </c>
      <c r="I370" s="16" t="s">
        <v>57</v>
      </c>
      <c r="J370" s="16" t="s">
        <v>49</v>
      </c>
      <c r="K370" s="17" t="s">
        <v>1640</v>
      </c>
      <c r="L370" s="17" t="s">
        <v>1641</v>
      </c>
      <c r="M370" t="s">
        <v>76</v>
      </c>
      <c r="N370" t="s">
        <v>86</v>
      </c>
      <c r="O370" t="s">
        <v>60</v>
      </c>
      <c r="P370" s="15">
        <v>25</v>
      </c>
      <c r="Q370" s="18">
        <v>109665</v>
      </c>
      <c r="R370" s="19">
        <v>16</v>
      </c>
      <c r="S370" s="14">
        <v>4.9000000000000004</v>
      </c>
      <c r="T370" s="7">
        <v>69</v>
      </c>
      <c r="U370" s="15">
        <v>8</v>
      </c>
      <c r="V370" s="15">
        <v>38</v>
      </c>
      <c r="W370" s="15">
        <v>44</v>
      </c>
      <c r="X370" t="s">
        <v>61</v>
      </c>
      <c r="Y370" t="s">
        <v>40</v>
      </c>
      <c r="Z370" s="14">
        <v>6.7</v>
      </c>
      <c r="AA370" s="12">
        <f>YEAR(Table1[Hire_Date])</f>
        <v>2019</v>
      </c>
      <c r="AB37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371" spans="1:28" x14ac:dyDescent="0.25">
      <c r="A371" t="s">
        <v>1642</v>
      </c>
      <c r="B371" s="16" t="s">
        <v>1643</v>
      </c>
      <c r="C371" s="16" t="s">
        <v>1644</v>
      </c>
      <c r="D371" t="s">
        <v>44</v>
      </c>
      <c r="E371" s="15">
        <v>56</v>
      </c>
      <c r="F371" s="16" t="s">
        <v>45</v>
      </c>
      <c r="G371" s="16" t="s">
        <v>82</v>
      </c>
      <c r="H371" s="16" t="s">
        <v>32</v>
      </c>
      <c r="I371" s="16" t="s">
        <v>33</v>
      </c>
      <c r="J371" s="16" t="s">
        <v>49</v>
      </c>
      <c r="K371" s="17" t="s">
        <v>1645</v>
      </c>
      <c r="M371" t="s">
        <v>36</v>
      </c>
      <c r="N371" t="s">
        <v>896</v>
      </c>
      <c r="O371" t="s">
        <v>52</v>
      </c>
      <c r="P371" s="15">
        <v>2</v>
      </c>
      <c r="Q371" s="18">
        <v>120236</v>
      </c>
      <c r="R371" s="19">
        <v>5</v>
      </c>
      <c r="S371" s="14">
        <v>2.7</v>
      </c>
      <c r="T371" s="7">
        <v>73</v>
      </c>
      <c r="U371" s="15">
        <v>3</v>
      </c>
      <c r="V371" s="15">
        <v>26</v>
      </c>
      <c r="W371" s="15">
        <v>6</v>
      </c>
      <c r="X371" t="s">
        <v>39</v>
      </c>
      <c r="Y371" t="s">
        <v>62</v>
      </c>
      <c r="Z371" s="14">
        <v>2.9</v>
      </c>
      <c r="AA371" s="12">
        <f>YEAR(Table1[Hire_Date])</f>
        <v>2023</v>
      </c>
      <c r="AB37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372" spans="1:28" x14ac:dyDescent="0.25">
      <c r="A372" t="s">
        <v>1646</v>
      </c>
      <c r="B372" s="16" t="s">
        <v>1647</v>
      </c>
      <c r="C372" s="16" t="s">
        <v>1648</v>
      </c>
      <c r="D372" t="s">
        <v>29</v>
      </c>
      <c r="E372" s="15">
        <v>27</v>
      </c>
      <c r="F372" s="16" t="s">
        <v>90</v>
      </c>
      <c r="G372" s="16" t="s">
        <v>13</v>
      </c>
      <c r="H372" s="16" t="s">
        <v>56</v>
      </c>
      <c r="I372" s="16" t="s">
        <v>48</v>
      </c>
      <c r="J372" s="16" t="s">
        <v>34</v>
      </c>
      <c r="K372" s="17" t="s">
        <v>1649</v>
      </c>
      <c r="M372" t="s">
        <v>36</v>
      </c>
      <c r="N372" t="s">
        <v>219</v>
      </c>
      <c r="O372" t="s">
        <v>38</v>
      </c>
      <c r="P372" s="15">
        <v>29</v>
      </c>
      <c r="Q372" s="18">
        <v>134328</v>
      </c>
      <c r="R372" s="19">
        <v>12</v>
      </c>
      <c r="S372" s="14">
        <v>4.5999999999999996</v>
      </c>
      <c r="T372" s="7">
        <v>51</v>
      </c>
      <c r="U372" s="15">
        <v>4</v>
      </c>
      <c r="V372" s="15">
        <v>40</v>
      </c>
      <c r="W372" s="15">
        <v>64</v>
      </c>
      <c r="X372" t="s">
        <v>61</v>
      </c>
      <c r="Y372" t="s">
        <v>62</v>
      </c>
      <c r="Z372" s="14">
        <v>5.6</v>
      </c>
      <c r="AA372" s="12">
        <f>YEAR(Table1[Hire_Date])</f>
        <v>2020</v>
      </c>
      <c r="AB37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373" spans="1:28" x14ac:dyDescent="0.25">
      <c r="A373" t="s">
        <v>1650</v>
      </c>
      <c r="B373" s="16" t="s">
        <v>1651</v>
      </c>
      <c r="C373" s="16" t="s">
        <v>1652</v>
      </c>
      <c r="D373" t="s">
        <v>44</v>
      </c>
      <c r="E373" s="15">
        <v>24</v>
      </c>
      <c r="F373" s="16" t="s">
        <v>103</v>
      </c>
      <c r="G373" s="16" t="s">
        <v>147</v>
      </c>
      <c r="H373" s="16" t="s">
        <v>32</v>
      </c>
      <c r="I373" s="16" t="s">
        <v>48</v>
      </c>
      <c r="J373" s="16" t="s">
        <v>49</v>
      </c>
      <c r="K373" s="17" t="s">
        <v>1653</v>
      </c>
      <c r="M373" t="s">
        <v>36</v>
      </c>
      <c r="N373" t="s">
        <v>605</v>
      </c>
      <c r="O373" t="s">
        <v>52</v>
      </c>
      <c r="P373" s="15">
        <v>31</v>
      </c>
      <c r="Q373" s="18">
        <v>156375</v>
      </c>
      <c r="R373" s="19">
        <v>20</v>
      </c>
      <c r="S373" s="14">
        <v>3.4</v>
      </c>
      <c r="T373" s="7">
        <v>66</v>
      </c>
      <c r="U373" s="15">
        <v>6</v>
      </c>
      <c r="V373" s="15">
        <v>3</v>
      </c>
      <c r="W373" s="15">
        <v>10</v>
      </c>
      <c r="X373" t="s">
        <v>61</v>
      </c>
      <c r="Y373" t="s">
        <v>40</v>
      </c>
      <c r="Z373" s="14">
        <v>3</v>
      </c>
      <c r="AA373" s="12">
        <f>YEAR(Table1[Hire_Date])</f>
        <v>2023</v>
      </c>
      <c r="AB37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374" spans="1:28" x14ac:dyDescent="0.25">
      <c r="A374" t="s">
        <v>1654</v>
      </c>
      <c r="B374" s="16" t="s">
        <v>1655</v>
      </c>
      <c r="C374" s="16" t="s">
        <v>1656</v>
      </c>
      <c r="D374" t="s">
        <v>44</v>
      </c>
      <c r="E374" s="15">
        <v>40</v>
      </c>
      <c r="F374" s="16" t="s">
        <v>103</v>
      </c>
      <c r="G374" s="16" t="s">
        <v>13</v>
      </c>
      <c r="H374" s="16" t="s">
        <v>83</v>
      </c>
      <c r="I374" s="16" t="s">
        <v>33</v>
      </c>
      <c r="J374" s="16" t="s">
        <v>34</v>
      </c>
      <c r="K374" s="17" t="s">
        <v>1657</v>
      </c>
      <c r="L374" s="17" t="s">
        <v>1658</v>
      </c>
      <c r="M374" t="s">
        <v>76</v>
      </c>
      <c r="N374" t="s">
        <v>59</v>
      </c>
      <c r="O374" t="s">
        <v>38</v>
      </c>
      <c r="P374" s="15">
        <v>13</v>
      </c>
      <c r="Q374" s="18">
        <v>136462</v>
      </c>
      <c r="R374" s="19">
        <v>25</v>
      </c>
      <c r="S374" s="14">
        <v>4.4000000000000004</v>
      </c>
      <c r="T374" s="7">
        <v>93</v>
      </c>
      <c r="U374" s="15">
        <v>3</v>
      </c>
      <c r="V374" s="15">
        <v>58</v>
      </c>
      <c r="W374" s="15">
        <v>50</v>
      </c>
      <c r="X374" t="s">
        <v>61</v>
      </c>
      <c r="Y374" t="s">
        <v>40</v>
      </c>
      <c r="Z374" s="14">
        <v>1.7</v>
      </c>
      <c r="AA374" s="12">
        <f>YEAR(Table1[Hire_Date])</f>
        <v>2024</v>
      </c>
      <c r="AB37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375" spans="1:28" x14ac:dyDescent="0.25">
      <c r="A375" t="s">
        <v>1659</v>
      </c>
      <c r="B375" s="16" t="s">
        <v>1660</v>
      </c>
      <c r="C375" s="16" t="s">
        <v>1661</v>
      </c>
      <c r="D375" t="s">
        <v>29</v>
      </c>
      <c r="E375" s="15">
        <v>23</v>
      </c>
      <c r="F375" s="16" t="s">
        <v>45</v>
      </c>
      <c r="G375" s="16" t="s">
        <v>82</v>
      </c>
      <c r="H375" s="16" t="s">
        <v>66</v>
      </c>
      <c r="I375" s="16" t="s">
        <v>33</v>
      </c>
      <c r="J375" s="16" t="s">
        <v>34</v>
      </c>
      <c r="K375" s="17" t="s">
        <v>1555</v>
      </c>
      <c r="M375" t="s">
        <v>36</v>
      </c>
      <c r="N375" t="s">
        <v>224</v>
      </c>
      <c r="O375" t="s">
        <v>38</v>
      </c>
      <c r="P375" s="15">
        <v>21</v>
      </c>
      <c r="Q375" s="18">
        <v>170461</v>
      </c>
      <c r="R375" s="19">
        <v>12</v>
      </c>
      <c r="S375" s="14">
        <v>3.9</v>
      </c>
      <c r="T375" s="7">
        <v>62</v>
      </c>
      <c r="U375" s="15">
        <v>12</v>
      </c>
      <c r="V375" s="15">
        <v>48</v>
      </c>
      <c r="W375" s="15">
        <v>6</v>
      </c>
      <c r="X375" t="s">
        <v>39</v>
      </c>
      <c r="Y375" t="s">
        <v>62</v>
      </c>
      <c r="Z375" s="14">
        <v>1</v>
      </c>
      <c r="AA375" s="12">
        <f>YEAR(Table1[Hire_Date])</f>
        <v>2025</v>
      </c>
      <c r="AB37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376" spans="1:28" x14ac:dyDescent="0.25">
      <c r="A376" t="s">
        <v>1662</v>
      </c>
      <c r="B376" s="16" t="s">
        <v>1663</v>
      </c>
      <c r="C376" s="16" t="s">
        <v>1664</v>
      </c>
      <c r="D376" t="s">
        <v>44</v>
      </c>
      <c r="E376" s="15">
        <v>39</v>
      </c>
      <c r="F376" s="16" t="s">
        <v>72</v>
      </c>
      <c r="G376" s="16" t="s">
        <v>97</v>
      </c>
      <c r="H376" s="16" t="s">
        <v>47</v>
      </c>
      <c r="I376" s="16" t="s">
        <v>48</v>
      </c>
      <c r="J376" s="16" t="s">
        <v>49</v>
      </c>
      <c r="K376" s="17" t="s">
        <v>1665</v>
      </c>
      <c r="M376" t="s">
        <v>36</v>
      </c>
      <c r="N376" t="s">
        <v>155</v>
      </c>
      <c r="O376" t="s">
        <v>38</v>
      </c>
      <c r="P376" s="15">
        <v>17</v>
      </c>
      <c r="Q376" s="18">
        <v>42271</v>
      </c>
      <c r="R376" s="19">
        <v>14</v>
      </c>
      <c r="S376" s="14">
        <v>4.5</v>
      </c>
      <c r="T376" s="7">
        <v>92</v>
      </c>
      <c r="U376" s="15">
        <v>13</v>
      </c>
      <c r="V376" s="15">
        <v>24</v>
      </c>
      <c r="W376" s="15">
        <v>61</v>
      </c>
      <c r="X376" t="s">
        <v>39</v>
      </c>
      <c r="Y376" t="s">
        <v>62</v>
      </c>
      <c r="Z376" s="14">
        <v>0.4</v>
      </c>
      <c r="AA376" s="12">
        <f>YEAR(Table1[Hire_Date])</f>
        <v>2026</v>
      </c>
      <c r="AB37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377" spans="1:28" x14ac:dyDescent="0.25">
      <c r="A377" t="s">
        <v>1666</v>
      </c>
      <c r="B377" s="16" t="s">
        <v>1667</v>
      </c>
      <c r="C377" s="16" t="s">
        <v>1668</v>
      </c>
      <c r="D377" t="s">
        <v>44</v>
      </c>
      <c r="E377" s="15">
        <v>60</v>
      </c>
      <c r="F377" s="16" t="s">
        <v>103</v>
      </c>
      <c r="G377" s="16" t="s">
        <v>104</v>
      </c>
      <c r="H377" s="16" t="s">
        <v>66</v>
      </c>
      <c r="I377" s="16" t="s">
        <v>48</v>
      </c>
      <c r="J377" s="16" t="s">
        <v>49</v>
      </c>
      <c r="K377" s="17" t="s">
        <v>1669</v>
      </c>
      <c r="M377" t="s">
        <v>36</v>
      </c>
      <c r="N377" t="s">
        <v>295</v>
      </c>
      <c r="O377" t="s">
        <v>60</v>
      </c>
      <c r="P377" s="15">
        <v>20</v>
      </c>
      <c r="Q377" s="18">
        <v>56261</v>
      </c>
      <c r="R377" s="19">
        <v>21</v>
      </c>
      <c r="S377" s="14">
        <v>3.5</v>
      </c>
      <c r="T377" s="7">
        <v>73</v>
      </c>
      <c r="U377" s="15">
        <v>7</v>
      </c>
      <c r="V377" s="15">
        <v>0</v>
      </c>
      <c r="W377" s="15">
        <v>3</v>
      </c>
      <c r="X377" t="s">
        <v>61</v>
      </c>
      <c r="Y377" t="s">
        <v>62</v>
      </c>
      <c r="Z377" s="14">
        <v>2.6</v>
      </c>
      <c r="AA377" s="12">
        <f>YEAR(Table1[Hire_Date])</f>
        <v>2023</v>
      </c>
      <c r="AB37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378" spans="1:28" x14ac:dyDescent="0.25">
      <c r="A378" t="s">
        <v>1670</v>
      </c>
      <c r="B378" s="16" t="s">
        <v>1671</v>
      </c>
      <c r="C378" s="16" t="s">
        <v>1672</v>
      </c>
      <c r="D378" t="s">
        <v>44</v>
      </c>
      <c r="E378" s="15">
        <v>51</v>
      </c>
      <c r="F378" s="16" t="s">
        <v>124</v>
      </c>
      <c r="G378" s="16" t="s">
        <v>104</v>
      </c>
      <c r="H378" s="16" t="s">
        <v>56</v>
      </c>
      <c r="I378" s="16" t="s">
        <v>57</v>
      </c>
      <c r="J378" s="16" t="s">
        <v>34</v>
      </c>
      <c r="K378" s="17" t="s">
        <v>1673</v>
      </c>
      <c r="M378" t="s">
        <v>36</v>
      </c>
      <c r="N378" t="s">
        <v>353</v>
      </c>
      <c r="O378" t="s">
        <v>52</v>
      </c>
      <c r="P378" s="15">
        <v>13</v>
      </c>
      <c r="Q378" s="18">
        <v>176258</v>
      </c>
      <c r="R378" s="19">
        <v>18</v>
      </c>
      <c r="S378" s="14">
        <v>2.9</v>
      </c>
      <c r="T378" s="7">
        <v>58</v>
      </c>
      <c r="U378" s="15">
        <v>7</v>
      </c>
      <c r="V378" s="15">
        <v>44</v>
      </c>
      <c r="W378" s="15">
        <v>26</v>
      </c>
      <c r="X378" t="s">
        <v>39</v>
      </c>
      <c r="Y378" t="s">
        <v>78</v>
      </c>
      <c r="Z378" s="14">
        <v>5.9</v>
      </c>
      <c r="AA378" s="12">
        <f>YEAR(Table1[Hire_Date])</f>
        <v>2020</v>
      </c>
      <c r="AB37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379" spans="1:28" x14ac:dyDescent="0.25">
      <c r="A379" t="s">
        <v>1674</v>
      </c>
      <c r="B379" s="16" t="s">
        <v>1675</v>
      </c>
      <c r="C379" s="16" t="s">
        <v>1676</v>
      </c>
      <c r="D379" t="s">
        <v>29</v>
      </c>
      <c r="E379" s="15">
        <v>21</v>
      </c>
      <c r="F379" s="16" t="s">
        <v>72</v>
      </c>
      <c r="G379" s="16" t="s">
        <v>73</v>
      </c>
      <c r="H379" s="16" t="s">
        <v>47</v>
      </c>
      <c r="I379" s="16" t="s">
        <v>57</v>
      </c>
      <c r="J379" s="16" t="s">
        <v>34</v>
      </c>
      <c r="K379" s="17" t="s">
        <v>1677</v>
      </c>
      <c r="L379" s="17" t="s">
        <v>1678</v>
      </c>
      <c r="M379" t="s">
        <v>76</v>
      </c>
      <c r="N379" t="s">
        <v>170</v>
      </c>
      <c r="O379" t="s">
        <v>52</v>
      </c>
      <c r="P379" s="15">
        <v>21</v>
      </c>
      <c r="Q379" s="18">
        <v>166961</v>
      </c>
      <c r="R379" s="19">
        <v>23</v>
      </c>
      <c r="S379" s="14">
        <v>3.8</v>
      </c>
      <c r="T379" s="7">
        <v>73</v>
      </c>
      <c r="U379" s="15">
        <v>18</v>
      </c>
      <c r="V379" s="15">
        <v>1</v>
      </c>
      <c r="W379" s="15">
        <v>69</v>
      </c>
      <c r="X379" t="s">
        <v>39</v>
      </c>
      <c r="Y379" t="s">
        <v>78</v>
      </c>
      <c r="Z379" s="14">
        <v>0.3</v>
      </c>
      <c r="AA379" s="12">
        <f>YEAR(Table1[Hire_Date])</f>
        <v>2026</v>
      </c>
      <c r="AB37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380" spans="1:28" x14ac:dyDescent="0.25">
      <c r="A380" t="s">
        <v>1679</v>
      </c>
      <c r="B380" s="16" t="s">
        <v>1680</v>
      </c>
      <c r="C380" s="16" t="s">
        <v>1681</v>
      </c>
      <c r="D380" t="s">
        <v>29</v>
      </c>
      <c r="E380" s="15">
        <v>53</v>
      </c>
      <c r="F380" s="16" t="s">
        <v>45</v>
      </c>
      <c r="G380" s="16" t="s">
        <v>82</v>
      </c>
      <c r="H380" s="16" t="s">
        <v>47</v>
      </c>
      <c r="I380" s="16" t="s">
        <v>48</v>
      </c>
      <c r="J380" s="16" t="s">
        <v>49</v>
      </c>
      <c r="K380" s="17" t="s">
        <v>1682</v>
      </c>
      <c r="M380" t="s">
        <v>36</v>
      </c>
      <c r="N380" t="s">
        <v>170</v>
      </c>
      <c r="O380" t="s">
        <v>60</v>
      </c>
      <c r="P380" s="15">
        <v>22</v>
      </c>
      <c r="Q380" s="18">
        <v>122557</v>
      </c>
      <c r="R380" s="19">
        <v>13</v>
      </c>
      <c r="S380" s="14">
        <v>3.8</v>
      </c>
      <c r="T380" s="7">
        <v>83</v>
      </c>
      <c r="U380" s="15">
        <v>7</v>
      </c>
      <c r="V380" s="15">
        <v>54</v>
      </c>
      <c r="W380" s="15">
        <v>61</v>
      </c>
      <c r="X380" t="s">
        <v>39</v>
      </c>
      <c r="Y380" t="s">
        <v>40</v>
      </c>
      <c r="Z380" s="14">
        <v>2</v>
      </c>
      <c r="AA380" s="12">
        <f>YEAR(Table1[Hire_Date])</f>
        <v>2024</v>
      </c>
      <c r="AB38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381" spans="1:28" x14ac:dyDescent="0.25">
      <c r="A381" t="s">
        <v>1683</v>
      </c>
      <c r="B381" s="16" t="s">
        <v>1684</v>
      </c>
      <c r="C381" s="16" t="s">
        <v>1685</v>
      </c>
      <c r="D381" t="s">
        <v>44</v>
      </c>
      <c r="E381" s="15">
        <v>37</v>
      </c>
      <c r="F381" s="16" t="s">
        <v>72</v>
      </c>
      <c r="G381" s="16" t="s">
        <v>135</v>
      </c>
      <c r="H381" s="16" t="s">
        <v>47</v>
      </c>
      <c r="I381" s="16" t="s">
        <v>33</v>
      </c>
      <c r="J381" s="16" t="s">
        <v>49</v>
      </c>
      <c r="K381" s="17" t="s">
        <v>1686</v>
      </c>
      <c r="M381" t="s">
        <v>36</v>
      </c>
      <c r="N381" t="s">
        <v>126</v>
      </c>
      <c r="O381" t="s">
        <v>52</v>
      </c>
      <c r="P381" s="15">
        <v>16</v>
      </c>
      <c r="Q381" s="18">
        <v>140576</v>
      </c>
      <c r="R381" s="19">
        <v>12</v>
      </c>
      <c r="S381" s="14">
        <v>4.4000000000000004</v>
      </c>
      <c r="T381" s="7">
        <v>91</v>
      </c>
      <c r="U381" s="15">
        <v>11</v>
      </c>
      <c r="V381" s="15">
        <v>57</v>
      </c>
      <c r="W381" s="15">
        <v>62</v>
      </c>
      <c r="X381" t="s">
        <v>39</v>
      </c>
      <c r="Y381" t="s">
        <v>78</v>
      </c>
      <c r="Z381" s="14">
        <v>4.0999999999999996</v>
      </c>
      <c r="AA381" s="12">
        <f>YEAR(Table1[Hire_Date])</f>
        <v>2022</v>
      </c>
      <c r="AB38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382" spans="1:28" x14ac:dyDescent="0.25">
      <c r="A382" t="s">
        <v>1687</v>
      </c>
      <c r="B382" s="16" t="s">
        <v>1688</v>
      </c>
      <c r="C382" s="16" t="s">
        <v>1689</v>
      </c>
      <c r="D382" t="s">
        <v>29</v>
      </c>
      <c r="E382" s="15">
        <v>57</v>
      </c>
      <c r="F382" s="16" t="s">
        <v>90</v>
      </c>
      <c r="G382" s="16" t="s">
        <v>281</v>
      </c>
      <c r="H382" s="16" t="s">
        <v>47</v>
      </c>
      <c r="I382" s="16" t="s">
        <v>57</v>
      </c>
      <c r="J382" s="16" t="s">
        <v>49</v>
      </c>
      <c r="K382" s="17" t="s">
        <v>1156</v>
      </c>
      <c r="M382" t="s">
        <v>36</v>
      </c>
      <c r="N382" t="s">
        <v>204</v>
      </c>
      <c r="O382" t="s">
        <v>60</v>
      </c>
      <c r="P382" s="15">
        <v>33</v>
      </c>
      <c r="Q382" s="18">
        <v>159669</v>
      </c>
      <c r="R382" s="19">
        <v>16</v>
      </c>
      <c r="S382" s="14">
        <v>4</v>
      </c>
      <c r="T382" s="7">
        <v>83</v>
      </c>
      <c r="U382" s="15">
        <v>18</v>
      </c>
      <c r="V382" s="15">
        <v>10</v>
      </c>
      <c r="W382" s="15">
        <v>49</v>
      </c>
      <c r="X382" t="s">
        <v>61</v>
      </c>
      <c r="Y382" t="s">
        <v>78</v>
      </c>
      <c r="Z382" s="14">
        <v>4.3</v>
      </c>
      <c r="AA382" s="12">
        <f>YEAR(Table1[Hire_Date])</f>
        <v>2022</v>
      </c>
      <c r="AB38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383" spans="1:28" x14ac:dyDescent="0.25">
      <c r="A383" t="s">
        <v>1690</v>
      </c>
      <c r="B383" s="16" t="s">
        <v>1691</v>
      </c>
      <c r="C383" s="16" t="s">
        <v>1692</v>
      </c>
      <c r="D383" t="s">
        <v>44</v>
      </c>
      <c r="E383" s="15">
        <v>53</v>
      </c>
      <c r="F383" s="16" t="s">
        <v>72</v>
      </c>
      <c r="G383" s="16" t="s">
        <v>97</v>
      </c>
      <c r="H383" s="16" t="s">
        <v>83</v>
      </c>
      <c r="I383" s="16" t="s">
        <v>33</v>
      </c>
      <c r="J383" s="16" t="s">
        <v>49</v>
      </c>
      <c r="K383" s="17" t="s">
        <v>1693</v>
      </c>
      <c r="M383" t="s">
        <v>36</v>
      </c>
      <c r="N383" t="s">
        <v>1694</v>
      </c>
      <c r="O383" t="s">
        <v>38</v>
      </c>
      <c r="P383" s="15">
        <v>2</v>
      </c>
      <c r="Q383" s="18">
        <v>41578</v>
      </c>
      <c r="R383" s="19">
        <v>20</v>
      </c>
      <c r="S383" s="14">
        <v>2.6</v>
      </c>
      <c r="T383" s="7">
        <v>89</v>
      </c>
      <c r="U383" s="15">
        <v>10</v>
      </c>
      <c r="V383" s="15">
        <v>20</v>
      </c>
      <c r="W383" s="15">
        <v>22</v>
      </c>
      <c r="X383" t="s">
        <v>61</v>
      </c>
      <c r="Y383" t="s">
        <v>78</v>
      </c>
      <c r="Z383" s="14">
        <v>4</v>
      </c>
      <c r="AA383" s="12">
        <f>YEAR(Table1[Hire_Date])</f>
        <v>2022</v>
      </c>
      <c r="AB38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384" spans="1:28" x14ac:dyDescent="0.25">
      <c r="A384" t="s">
        <v>1695</v>
      </c>
      <c r="B384" s="16" t="s">
        <v>1696</v>
      </c>
      <c r="C384" s="16" t="s">
        <v>1697</v>
      </c>
      <c r="D384" t="s">
        <v>29</v>
      </c>
      <c r="E384" s="15">
        <v>44</v>
      </c>
      <c r="F384" s="16" t="s">
        <v>45</v>
      </c>
      <c r="G384" s="16" t="s">
        <v>82</v>
      </c>
      <c r="H384" s="16" t="s">
        <v>32</v>
      </c>
      <c r="I384" s="16" t="s">
        <v>48</v>
      </c>
      <c r="J384" s="16" t="s">
        <v>34</v>
      </c>
      <c r="K384" s="17" t="s">
        <v>1698</v>
      </c>
      <c r="M384" t="s">
        <v>36</v>
      </c>
      <c r="N384" t="s">
        <v>337</v>
      </c>
      <c r="O384" t="s">
        <v>38</v>
      </c>
      <c r="P384" s="15">
        <v>20</v>
      </c>
      <c r="Q384" s="18">
        <v>73283</v>
      </c>
      <c r="R384" s="19">
        <v>17</v>
      </c>
      <c r="S384" s="14">
        <v>3.2</v>
      </c>
      <c r="T384" s="7">
        <v>79</v>
      </c>
      <c r="U384" s="15">
        <v>20</v>
      </c>
      <c r="V384" s="15">
        <v>0</v>
      </c>
      <c r="W384" s="15">
        <v>46</v>
      </c>
      <c r="X384" t="s">
        <v>39</v>
      </c>
      <c r="Y384" t="s">
        <v>62</v>
      </c>
      <c r="Z384" s="14">
        <v>3.8</v>
      </c>
      <c r="AA384" s="12">
        <f>YEAR(Table1[Hire_Date])</f>
        <v>2022</v>
      </c>
      <c r="AB38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385" spans="1:28" x14ac:dyDescent="0.25">
      <c r="A385" t="s">
        <v>1699</v>
      </c>
      <c r="B385" s="16" t="s">
        <v>1700</v>
      </c>
      <c r="C385" s="16" t="s">
        <v>1701</v>
      </c>
      <c r="D385" t="s">
        <v>29</v>
      </c>
      <c r="E385" s="15">
        <v>56</v>
      </c>
      <c r="F385" s="16" t="s">
        <v>124</v>
      </c>
      <c r="G385" s="16" t="s">
        <v>104</v>
      </c>
      <c r="H385" s="16" t="s">
        <v>56</v>
      </c>
      <c r="I385" s="16" t="s">
        <v>48</v>
      </c>
      <c r="J385" s="16" t="s">
        <v>49</v>
      </c>
      <c r="K385" s="17" t="s">
        <v>1702</v>
      </c>
      <c r="M385" t="s">
        <v>36</v>
      </c>
      <c r="N385" t="s">
        <v>550</v>
      </c>
      <c r="O385" t="s">
        <v>38</v>
      </c>
      <c r="P385" s="15">
        <v>33</v>
      </c>
      <c r="Q385" s="18">
        <v>71120</v>
      </c>
      <c r="R385" s="19">
        <v>23</v>
      </c>
      <c r="S385" s="14">
        <v>3</v>
      </c>
      <c r="T385" s="7">
        <v>62</v>
      </c>
      <c r="U385" s="15">
        <v>11</v>
      </c>
      <c r="V385" s="15">
        <v>28</v>
      </c>
      <c r="W385" s="15">
        <v>55</v>
      </c>
      <c r="X385" t="s">
        <v>61</v>
      </c>
      <c r="Y385" t="s">
        <v>62</v>
      </c>
      <c r="Z385" s="14">
        <v>2.6</v>
      </c>
      <c r="AA385" s="12">
        <f>YEAR(Table1[Hire_Date])</f>
        <v>2023</v>
      </c>
      <c r="AB38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386" spans="1:28" x14ac:dyDescent="0.25">
      <c r="A386" t="s">
        <v>1703</v>
      </c>
      <c r="B386" s="16" t="s">
        <v>1704</v>
      </c>
      <c r="C386" s="16" t="s">
        <v>1705</v>
      </c>
      <c r="D386" t="s">
        <v>44</v>
      </c>
      <c r="E386" s="15">
        <v>34</v>
      </c>
      <c r="F386" s="16" t="s">
        <v>30</v>
      </c>
      <c r="G386" s="16" t="s">
        <v>31</v>
      </c>
      <c r="H386" s="16" t="s">
        <v>66</v>
      </c>
      <c r="I386" s="16" t="s">
        <v>33</v>
      </c>
      <c r="J386" s="16" t="s">
        <v>49</v>
      </c>
      <c r="K386" s="17" t="s">
        <v>1706</v>
      </c>
      <c r="M386" t="s">
        <v>36</v>
      </c>
      <c r="N386" t="s">
        <v>143</v>
      </c>
      <c r="O386" t="s">
        <v>52</v>
      </c>
      <c r="P386" s="15">
        <v>28</v>
      </c>
      <c r="Q386" s="18">
        <v>163010</v>
      </c>
      <c r="R386" s="19">
        <v>22</v>
      </c>
      <c r="S386" s="14">
        <v>3.8</v>
      </c>
      <c r="T386" s="7">
        <v>83</v>
      </c>
      <c r="U386" s="15">
        <v>19</v>
      </c>
      <c r="V386" s="15">
        <v>57</v>
      </c>
      <c r="W386" s="15">
        <v>0</v>
      </c>
      <c r="X386" t="s">
        <v>39</v>
      </c>
      <c r="Y386" t="s">
        <v>62</v>
      </c>
      <c r="Z386" s="14">
        <v>6.6</v>
      </c>
      <c r="AA386" s="12">
        <f>YEAR(Table1[Hire_Date])</f>
        <v>2019</v>
      </c>
      <c r="AB38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387" spans="1:28" x14ac:dyDescent="0.25">
      <c r="A387" t="s">
        <v>1707</v>
      </c>
      <c r="B387" s="16" t="s">
        <v>1708</v>
      </c>
      <c r="C387" s="16" t="s">
        <v>1709</v>
      </c>
      <c r="D387" t="s">
        <v>29</v>
      </c>
      <c r="E387" s="15">
        <v>50</v>
      </c>
      <c r="F387" s="16" t="s">
        <v>45</v>
      </c>
      <c r="G387" s="16" t="s">
        <v>46</v>
      </c>
      <c r="H387" s="16" t="s">
        <v>56</v>
      </c>
      <c r="I387" s="16" t="s">
        <v>48</v>
      </c>
      <c r="J387" s="16" t="s">
        <v>34</v>
      </c>
      <c r="K387" s="17" t="s">
        <v>1710</v>
      </c>
      <c r="M387" t="s">
        <v>36</v>
      </c>
      <c r="N387" t="s">
        <v>175</v>
      </c>
      <c r="O387" t="s">
        <v>52</v>
      </c>
      <c r="P387" s="15">
        <v>23</v>
      </c>
      <c r="Q387" s="18">
        <v>109419</v>
      </c>
      <c r="R387" s="19">
        <v>7</v>
      </c>
      <c r="S387" s="14">
        <v>3.5</v>
      </c>
      <c r="T387" s="7">
        <v>90</v>
      </c>
      <c r="U387" s="15">
        <v>4</v>
      </c>
      <c r="V387" s="15">
        <v>26</v>
      </c>
      <c r="W387" s="15">
        <v>5</v>
      </c>
      <c r="X387" t="s">
        <v>61</v>
      </c>
      <c r="Y387" t="s">
        <v>78</v>
      </c>
      <c r="Z387" s="14">
        <v>4.8</v>
      </c>
      <c r="AA387" s="12">
        <f>YEAR(Table1[Hire_Date])</f>
        <v>2021</v>
      </c>
      <c r="AB38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388" spans="1:28" x14ac:dyDescent="0.25">
      <c r="A388" t="s">
        <v>1711</v>
      </c>
      <c r="B388" s="16" t="s">
        <v>1712</v>
      </c>
      <c r="C388" s="16" t="s">
        <v>1713</v>
      </c>
      <c r="D388" t="s">
        <v>44</v>
      </c>
      <c r="E388" s="15">
        <v>57</v>
      </c>
      <c r="F388" s="16" t="s">
        <v>72</v>
      </c>
      <c r="G388" s="16" t="s">
        <v>73</v>
      </c>
      <c r="H388" s="16" t="s">
        <v>66</v>
      </c>
      <c r="I388" s="16" t="s">
        <v>57</v>
      </c>
      <c r="J388" s="16" t="s">
        <v>34</v>
      </c>
      <c r="K388" s="17" t="s">
        <v>1714</v>
      </c>
      <c r="L388" s="17" t="s">
        <v>50</v>
      </c>
      <c r="M388" t="s">
        <v>76</v>
      </c>
      <c r="N388" t="s">
        <v>858</v>
      </c>
      <c r="O388" t="s">
        <v>52</v>
      </c>
      <c r="P388" s="15">
        <v>13</v>
      </c>
      <c r="Q388" s="18">
        <v>166055</v>
      </c>
      <c r="R388" s="19">
        <v>17</v>
      </c>
      <c r="S388" s="14">
        <v>2.6</v>
      </c>
      <c r="T388" s="7">
        <v>85</v>
      </c>
      <c r="U388" s="15">
        <v>5</v>
      </c>
      <c r="V388" s="15">
        <v>11</v>
      </c>
      <c r="W388" s="15">
        <v>62</v>
      </c>
      <c r="X388" t="s">
        <v>39</v>
      </c>
      <c r="Y388" t="s">
        <v>62</v>
      </c>
      <c r="Z388" s="14">
        <v>3</v>
      </c>
      <c r="AA388" s="12">
        <f>YEAR(Table1[Hire_Date])</f>
        <v>2023</v>
      </c>
      <c r="AB38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389" spans="1:28" x14ac:dyDescent="0.25">
      <c r="A389" t="s">
        <v>1715</v>
      </c>
      <c r="B389" s="16" t="s">
        <v>1716</v>
      </c>
      <c r="C389" s="16" t="s">
        <v>1717</v>
      </c>
      <c r="D389" t="s">
        <v>44</v>
      </c>
      <c r="E389" s="15">
        <v>43</v>
      </c>
      <c r="F389" s="16" t="s">
        <v>103</v>
      </c>
      <c r="G389" s="16" t="s">
        <v>13</v>
      </c>
      <c r="H389" s="16" t="s">
        <v>47</v>
      </c>
      <c r="I389" s="16" t="s">
        <v>48</v>
      </c>
      <c r="J389" s="16" t="s">
        <v>34</v>
      </c>
      <c r="K389" s="17" t="s">
        <v>1031</v>
      </c>
      <c r="M389" t="s">
        <v>36</v>
      </c>
      <c r="N389" t="s">
        <v>309</v>
      </c>
      <c r="O389" t="s">
        <v>52</v>
      </c>
      <c r="P389" s="15">
        <v>16</v>
      </c>
      <c r="Q389" s="18">
        <v>54840</v>
      </c>
      <c r="R389" s="19">
        <v>23</v>
      </c>
      <c r="S389" s="14">
        <v>2.5</v>
      </c>
      <c r="T389" s="7">
        <v>75</v>
      </c>
      <c r="U389" s="15">
        <v>10</v>
      </c>
      <c r="V389" s="15">
        <v>60</v>
      </c>
      <c r="W389" s="15">
        <v>36</v>
      </c>
      <c r="X389" t="s">
        <v>61</v>
      </c>
      <c r="Y389" t="s">
        <v>62</v>
      </c>
      <c r="Z389" s="14">
        <v>5.7</v>
      </c>
      <c r="AA389" s="12">
        <f>YEAR(Table1[Hire_Date])</f>
        <v>2020</v>
      </c>
      <c r="AB38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390" spans="1:28" x14ac:dyDescent="0.25">
      <c r="A390" t="s">
        <v>1718</v>
      </c>
      <c r="B390" s="16" t="s">
        <v>1719</v>
      </c>
      <c r="C390" s="16" t="s">
        <v>1720</v>
      </c>
      <c r="D390" t="s">
        <v>29</v>
      </c>
      <c r="E390" s="15">
        <v>24</v>
      </c>
      <c r="F390" s="16" t="s">
        <v>30</v>
      </c>
      <c r="G390" s="16" t="s">
        <v>13</v>
      </c>
      <c r="H390" s="16" t="s">
        <v>32</v>
      </c>
      <c r="I390" s="16" t="s">
        <v>57</v>
      </c>
      <c r="J390" s="16" t="s">
        <v>49</v>
      </c>
      <c r="K390" s="17" t="s">
        <v>1721</v>
      </c>
      <c r="M390" t="s">
        <v>36</v>
      </c>
      <c r="N390" t="s">
        <v>229</v>
      </c>
      <c r="O390" t="s">
        <v>52</v>
      </c>
      <c r="P390" s="15">
        <v>8</v>
      </c>
      <c r="Q390" s="18">
        <v>61692</v>
      </c>
      <c r="R390" s="19">
        <v>22</v>
      </c>
      <c r="S390" s="14">
        <v>4.2</v>
      </c>
      <c r="T390" s="7">
        <v>53</v>
      </c>
      <c r="U390" s="15">
        <v>6</v>
      </c>
      <c r="V390" s="15">
        <v>50</v>
      </c>
      <c r="W390" s="15">
        <v>77</v>
      </c>
      <c r="X390" t="s">
        <v>39</v>
      </c>
      <c r="Y390" t="s">
        <v>40</v>
      </c>
      <c r="Z390" s="14">
        <v>4.2</v>
      </c>
      <c r="AA390" s="12">
        <f>YEAR(Table1[Hire_Date])</f>
        <v>2022</v>
      </c>
      <c r="AB39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391" spans="1:28" x14ac:dyDescent="0.25">
      <c r="A391" t="s">
        <v>1722</v>
      </c>
      <c r="B391" s="16" t="s">
        <v>1723</v>
      </c>
      <c r="C391" s="16" t="s">
        <v>1724</v>
      </c>
      <c r="D391" t="s">
        <v>29</v>
      </c>
      <c r="E391" s="15">
        <v>25</v>
      </c>
      <c r="F391" s="16" t="s">
        <v>124</v>
      </c>
      <c r="G391" s="16" t="s">
        <v>141</v>
      </c>
      <c r="H391" s="16" t="s">
        <v>56</v>
      </c>
      <c r="I391" s="16" t="s">
        <v>48</v>
      </c>
      <c r="J391" s="16" t="s">
        <v>34</v>
      </c>
      <c r="K391" s="17" t="s">
        <v>1725</v>
      </c>
      <c r="M391" t="s">
        <v>36</v>
      </c>
      <c r="N391" t="s">
        <v>175</v>
      </c>
      <c r="O391" t="s">
        <v>60</v>
      </c>
      <c r="P391" s="15">
        <v>20</v>
      </c>
      <c r="Q391" s="18">
        <v>44375</v>
      </c>
      <c r="R391" s="19">
        <v>21</v>
      </c>
      <c r="S391" s="14">
        <v>3.8</v>
      </c>
      <c r="T391" s="7">
        <v>99</v>
      </c>
      <c r="U391" s="15">
        <v>10</v>
      </c>
      <c r="V391" s="15">
        <v>2</v>
      </c>
      <c r="W391" s="15">
        <v>60</v>
      </c>
      <c r="X391" t="s">
        <v>61</v>
      </c>
      <c r="Y391" t="s">
        <v>40</v>
      </c>
      <c r="Z391" s="14">
        <v>2.2000000000000002</v>
      </c>
      <c r="AA391" s="12">
        <f>YEAR(Table1[Hire_Date])</f>
        <v>2024</v>
      </c>
      <c r="AB39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392" spans="1:28" x14ac:dyDescent="0.25">
      <c r="A392" t="s">
        <v>1726</v>
      </c>
      <c r="B392" s="16" t="s">
        <v>1727</v>
      </c>
      <c r="C392" s="16" t="s">
        <v>1728</v>
      </c>
      <c r="D392" t="s">
        <v>29</v>
      </c>
      <c r="E392" s="15">
        <v>22</v>
      </c>
      <c r="F392" s="16" t="s">
        <v>90</v>
      </c>
      <c r="G392" s="16" t="s">
        <v>13</v>
      </c>
      <c r="H392" s="16" t="s">
        <v>32</v>
      </c>
      <c r="I392" s="16" t="s">
        <v>57</v>
      </c>
      <c r="J392" s="16" t="s">
        <v>34</v>
      </c>
      <c r="K392" s="17" t="s">
        <v>1729</v>
      </c>
      <c r="M392" t="s">
        <v>36</v>
      </c>
      <c r="N392" t="s">
        <v>51</v>
      </c>
      <c r="O392" t="s">
        <v>60</v>
      </c>
      <c r="P392" s="15">
        <v>1</v>
      </c>
      <c r="Q392" s="18">
        <v>44894</v>
      </c>
      <c r="R392" s="19">
        <v>5</v>
      </c>
      <c r="S392" s="14">
        <v>4</v>
      </c>
      <c r="T392" s="7">
        <v>75</v>
      </c>
      <c r="U392" s="15">
        <v>6</v>
      </c>
      <c r="V392" s="15">
        <v>31</v>
      </c>
      <c r="W392" s="15">
        <v>56</v>
      </c>
      <c r="X392" t="s">
        <v>61</v>
      </c>
      <c r="Y392" t="s">
        <v>62</v>
      </c>
      <c r="Z392" s="14">
        <v>0.7</v>
      </c>
      <c r="AA392" s="12">
        <f>YEAR(Table1[Hire_Date])</f>
        <v>2025</v>
      </c>
      <c r="AB39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393" spans="1:28" x14ac:dyDescent="0.25">
      <c r="A393" t="s">
        <v>1730</v>
      </c>
      <c r="B393" s="16" t="s">
        <v>1731</v>
      </c>
      <c r="C393" s="16" t="s">
        <v>1732</v>
      </c>
      <c r="D393" t="s">
        <v>29</v>
      </c>
      <c r="E393" s="15">
        <v>25</v>
      </c>
      <c r="F393" s="16" t="s">
        <v>72</v>
      </c>
      <c r="G393" s="16" t="s">
        <v>73</v>
      </c>
      <c r="H393" s="16" t="s">
        <v>66</v>
      </c>
      <c r="I393" s="16" t="s">
        <v>57</v>
      </c>
      <c r="J393" s="16" t="s">
        <v>49</v>
      </c>
      <c r="K393" s="17" t="s">
        <v>1733</v>
      </c>
      <c r="M393" t="s">
        <v>36</v>
      </c>
      <c r="N393" t="s">
        <v>631</v>
      </c>
      <c r="O393" t="s">
        <v>38</v>
      </c>
      <c r="P393" s="15">
        <v>24</v>
      </c>
      <c r="Q393" s="18">
        <v>101538</v>
      </c>
      <c r="R393" s="19">
        <v>23</v>
      </c>
      <c r="S393" s="14">
        <v>2.6</v>
      </c>
      <c r="T393" s="7">
        <v>54</v>
      </c>
      <c r="U393" s="15">
        <v>3</v>
      </c>
      <c r="V393" s="15">
        <v>56</v>
      </c>
      <c r="W393" s="15">
        <v>23</v>
      </c>
      <c r="X393" t="s">
        <v>39</v>
      </c>
      <c r="Y393" t="s">
        <v>78</v>
      </c>
      <c r="Z393" s="14">
        <v>9</v>
      </c>
      <c r="AA393" s="12">
        <f>YEAR(Table1[Hire_Date])</f>
        <v>2017</v>
      </c>
      <c r="AB39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394" spans="1:28" x14ac:dyDescent="0.25">
      <c r="A394" t="s">
        <v>1734</v>
      </c>
      <c r="B394" s="16" t="s">
        <v>1735</v>
      </c>
      <c r="C394" s="16" t="s">
        <v>1736</v>
      </c>
      <c r="D394" t="s">
        <v>29</v>
      </c>
      <c r="E394" s="15">
        <v>31</v>
      </c>
      <c r="F394" s="16" t="s">
        <v>103</v>
      </c>
      <c r="G394" s="16" t="s">
        <v>13</v>
      </c>
      <c r="H394" s="16" t="s">
        <v>83</v>
      </c>
      <c r="I394" s="16" t="s">
        <v>57</v>
      </c>
      <c r="J394" s="16" t="s">
        <v>49</v>
      </c>
      <c r="K394" s="17" t="s">
        <v>767</v>
      </c>
      <c r="M394" t="s">
        <v>36</v>
      </c>
      <c r="N394" t="s">
        <v>93</v>
      </c>
      <c r="O394" t="s">
        <v>38</v>
      </c>
      <c r="P394" s="15">
        <v>1</v>
      </c>
      <c r="Q394" s="18">
        <v>105181</v>
      </c>
      <c r="R394" s="19">
        <v>24</v>
      </c>
      <c r="S394" s="14">
        <v>2.8</v>
      </c>
      <c r="T394" s="7">
        <v>77</v>
      </c>
      <c r="U394" s="15">
        <v>11</v>
      </c>
      <c r="V394" s="15">
        <v>15</v>
      </c>
      <c r="W394" s="15">
        <v>40</v>
      </c>
      <c r="X394" t="s">
        <v>61</v>
      </c>
      <c r="Y394" t="s">
        <v>40</v>
      </c>
      <c r="Z394" s="14">
        <v>2.8</v>
      </c>
      <c r="AA394" s="12">
        <f>YEAR(Table1[Hire_Date])</f>
        <v>2023</v>
      </c>
      <c r="AB39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395" spans="1:28" x14ac:dyDescent="0.25">
      <c r="A395" t="s">
        <v>1737</v>
      </c>
      <c r="B395" s="16" t="s">
        <v>1738</v>
      </c>
      <c r="C395" s="16" t="s">
        <v>1739</v>
      </c>
      <c r="D395" t="s">
        <v>29</v>
      </c>
      <c r="E395" s="15">
        <v>35</v>
      </c>
      <c r="F395" s="16" t="s">
        <v>103</v>
      </c>
      <c r="G395" s="16" t="s">
        <v>13</v>
      </c>
      <c r="H395" s="16" t="s">
        <v>66</v>
      </c>
      <c r="I395" s="16" t="s">
        <v>57</v>
      </c>
      <c r="J395" s="16" t="s">
        <v>49</v>
      </c>
      <c r="K395" s="17" t="s">
        <v>1563</v>
      </c>
      <c r="M395" t="s">
        <v>36</v>
      </c>
      <c r="N395" t="s">
        <v>367</v>
      </c>
      <c r="O395" t="s">
        <v>52</v>
      </c>
      <c r="P395" s="15">
        <v>28</v>
      </c>
      <c r="Q395" s="18">
        <v>127076</v>
      </c>
      <c r="R395" s="19">
        <v>13</v>
      </c>
      <c r="S395" s="14">
        <v>3.2</v>
      </c>
      <c r="T395" s="7">
        <v>84</v>
      </c>
      <c r="U395" s="15">
        <v>19</v>
      </c>
      <c r="V395" s="15">
        <v>60</v>
      </c>
      <c r="W395" s="15">
        <v>42</v>
      </c>
      <c r="X395" t="s">
        <v>61</v>
      </c>
      <c r="Y395" t="s">
        <v>40</v>
      </c>
      <c r="Z395" s="14">
        <v>9.6999999999999993</v>
      </c>
      <c r="AA395" s="12">
        <f>YEAR(Table1[Hire_Date])</f>
        <v>2016</v>
      </c>
      <c r="AB39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396" spans="1:28" x14ac:dyDescent="0.25">
      <c r="A396" t="s">
        <v>1740</v>
      </c>
      <c r="B396" s="16" t="s">
        <v>1741</v>
      </c>
      <c r="C396" s="16" t="s">
        <v>1742</v>
      </c>
      <c r="D396" t="s">
        <v>44</v>
      </c>
      <c r="E396" s="15">
        <v>51</v>
      </c>
      <c r="F396" s="16" t="s">
        <v>45</v>
      </c>
      <c r="G396" s="16" t="s">
        <v>46</v>
      </c>
      <c r="H396" s="16" t="s">
        <v>47</v>
      </c>
      <c r="I396" s="16" t="s">
        <v>48</v>
      </c>
      <c r="J396" s="16" t="s">
        <v>34</v>
      </c>
      <c r="K396" s="17" t="s">
        <v>1743</v>
      </c>
      <c r="M396" t="s">
        <v>36</v>
      </c>
      <c r="N396" t="s">
        <v>99</v>
      </c>
      <c r="O396" t="s">
        <v>52</v>
      </c>
      <c r="P396" s="15">
        <v>5</v>
      </c>
      <c r="Q396" s="18">
        <v>83109</v>
      </c>
      <c r="R396" s="19">
        <v>9</v>
      </c>
      <c r="S396" s="14">
        <v>2.6</v>
      </c>
      <c r="T396" s="7">
        <v>81</v>
      </c>
      <c r="U396" s="15">
        <v>1</v>
      </c>
      <c r="V396" s="15">
        <v>10</v>
      </c>
      <c r="W396" s="15">
        <v>40</v>
      </c>
      <c r="X396" t="s">
        <v>61</v>
      </c>
      <c r="Y396" t="s">
        <v>40</v>
      </c>
      <c r="Z396" s="14">
        <v>1.8</v>
      </c>
      <c r="AA396" s="12">
        <f>YEAR(Table1[Hire_Date])</f>
        <v>2024</v>
      </c>
      <c r="AB39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397" spans="1:28" x14ac:dyDescent="0.25">
      <c r="A397" t="s">
        <v>1744</v>
      </c>
      <c r="B397" s="16" t="s">
        <v>1745</v>
      </c>
      <c r="C397" s="16" t="s">
        <v>1746</v>
      </c>
      <c r="D397" t="s">
        <v>29</v>
      </c>
      <c r="E397" s="15">
        <v>56</v>
      </c>
      <c r="F397" s="16" t="s">
        <v>30</v>
      </c>
      <c r="G397" s="16" t="s">
        <v>31</v>
      </c>
      <c r="H397" s="16" t="s">
        <v>32</v>
      </c>
      <c r="I397" s="16" t="s">
        <v>57</v>
      </c>
      <c r="J397" s="16" t="s">
        <v>49</v>
      </c>
      <c r="K397" s="17" t="s">
        <v>1747</v>
      </c>
      <c r="M397" t="s">
        <v>36</v>
      </c>
      <c r="N397" t="s">
        <v>669</v>
      </c>
      <c r="O397" t="s">
        <v>52</v>
      </c>
      <c r="P397" s="15">
        <v>18</v>
      </c>
      <c r="Q397" s="18">
        <v>140461</v>
      </c>
      <c r="R397" s="19">
        <v>22</v>
      </c>
      <c r="S397" s="14">
        <v>4.3</v>
      </c>
      <c r="T397" s="7">
        <v>99</v>
      </c>
      <c r="U397" s="15">
        <v>13</v>
      </c>
      <c r="V397" s="15">
        <v>29</v>
      </c>
      <c r="W397" s="15">
        <v>7</v>
      </c>
      <c r="X397" t="s">
        <v>61</v>
      </c>
      <c r="Y397" t="s">
        <v>78</v>
      </c>
      <c r="Z397" s="14">
        <v>0.6</v>
      </c>
      <c r="AA397" s="12">
        <f>YEAR(Table1[Hire_Date])</f>
        <v>2025</v>
      </c>
      <c r="AB39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398" spans="1:28" x14ac:dyDescent="0.25">
      <c r="A398" t="s">
        <v>1748</v>
      </c>
      <c r="B398" s="16" t="s">
        <v>1749</v>
      </c>
      <c r="C398" s="16" t="s">
        <v>1750</v>
      </c>
      <c r="D398" t="s">
        <v>29</v>
      </c>
      <c r="E398" s="15">
        <v>35</v>
      </c>
      <c r="F398" s="16" t="s">
        <v>30</v>
      </c>
      <c r="G398" s="16" t="s">
        <v>31</v>
      </c>
      <c r="H398" s="16" t="s">
        <v>32</v>
      </c>
      <c r="I398" s="16" t="s">
        <v>48</v>
      </c>
      <c r="J398" s="16" t="s">
        <v>34</v>
      </c>
      <c r="K398" s="17" t="s">
        <v>1751</v>
      </c>
      <c r="M398" t="s">
        <v>36</v>
      </c>
      <c r="N398" t="s">
        <v>175</v>
      </c>
      <c r="O398" t="s">
        <v>52</v>
      </c>
      <c r="P398" s="15">
        <v>28</v>
      </c>
      <c r="Q398" s="18">
        <v>161321</v>
      </c>
      <c r="R398" s="19">
        <v>11</v>
      </c>
      <c r="S398" s="14">
        <v>3.9</v>
      </c>
      <c r="T398" s="7">
        <v>84</v>
      </c>
      <c r="U398" s="15">
        <v>15</v>
      </c>
      <c r="V398" s="15">
        <v>49</v>
      </c>
      <c r="W398" s="15">
        <v>10</v>
      </c>
      <c r="X398" t="s">
        <v>61</v>
      </c>
      <c r="Y398" t="s">
        <v>78</v>
      </c>
      <c r="Z398" s="14">
        <v>6.1</v>
      </c>
      <c r="AA398" s="12">
        <f>YEAR(Table1[Hire_Date])</f>
        <v>2020</v>
      </c>
      <c r="AB39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399" spans="1:28" x14ac:dyDescent="0.25">
      <c r="A399" t="s">
        <v>1752</v>
      </c>
      <c r="B399" s="16" t="s">
        <v>1753</v>
      </c>
      <c r="C399" s="16" t="s">
        <v>1754</v>
      </c>
      <c r="D399" t="s">
        <v>29</v>
      </c>
      <c r="E399" s="15">
        <v>33</v>
      </c>
      <c r="F399" s="16" t="s">
        <v>103</v>
      </c>
      <c r="G399" s="16" t="s">
        <v>13</v>
      </c>
      <c r="H399" s="16" t="s">
        <v>56</v>
      </c>
      <c r="I399" s="16" t="s">
        <v>48</v>
      </c>
      <c r="J399" s="16" t="s">
        <v>49</v>
      </c>
      <c r="K399" s="17" t="s">
        <v>1755</v>
      </c>
      <c r="M399" t="s">
        <v>36</v>
      </c>
      <c r="N399" t="s">
        <v>51</v>
      </c>
      <c r="O399" t="s">
        <v>60</v>
      </c>
      <c r="P399" s="15">
        <v>24</v>
      </c>
      <c r="Q399" s="18">
        <v>134145</v>
      </c>
      <c r="R399" s="19">
        <v>14</v>
      </c>
      <c r="S399" s="14">
        <v>3.3</v>
      </c>
      <c r="T399" s="7">
        <v>67</v>
      </c>
      <c r="U399" s="15">
        <v>8</v>
      </c>
      <c r="V399" s="15">
        <v>60</v>
      </c>
      <c r="W399" s="15">
        <v>24</v>
      </c>
      <c r="X399" t="s">
        <v>39</v>
      </c>
      <c r="Y399" t="s">
        <v>78</v>
      </c>
      <c r="Z399" s="14">
        <v>7.3</v>
      </c>
      <c r="AA399" s="12">
        <f>YEAR(Table1[Hire_Date])</f>
        <v>2019</v>
      </c>
      <c r="AB39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400" spans="1:28" x14ac:dyDescent="0.25">
      <c r="A400" t="s">
        <v>1756</v>
      </c>
      <c r="B400" s="16" t="s">
        <v>1757</v>
      </c>
      <c r="C400" s="16" t="s">
        <v>1758</v>
      </c>
      <c r="D400" t="s">
        <v>29</v>
      </c>
      <c r="E400" s="15">
        <v>28</v>
      </c>
      <c r="F400" s="16" t="s">
        <v>72</v>
      </c>
      <c r="G400" s="16" t="s">
        <v>135</v>
      </c>
      <c r="H400" s="16" t="s">
        <v>56</v>
      </c>
      <c r="I400" s="16" t="s">
        <v>33</v>
      </c>
      <c r="J400" s="16" t="s">
        <v>34</v>
      </c>
      <c r="K400" s="17" t="s">
        <v>1759</v>
      </c>
      <c r="L400" s="17" t="s">
        <v>1760</v>
      </c>
      <c r="M400" t="s">
        <v>76</v>
      </c>
      <c r="N400" t="s">
        <v>268</v>
      </c>
      <c r="O400" t="s">
        <v>38</v>
      </c>
      <c r="P400" s="15">
        <v>17</v>
      </c>
      <c r="Q400" s="18">
        <v>136097</v>
      </c>
      <c r="R400" s="19">
        <v>15</v>
      </c>
      <c r="S400" s="14">
        <v>4.4000000000000004</v>
      </c>
      <c r="T400" s="7">
        <v>98</v>
      </c>
      <c r="U400" s="15">
        <v>8</v>
      </c>
      <c r="V400" s="15">
        <v>58</v>
      </c>
      <c r="W400" s="15">
        <v>67</v>
      </c>
      <c r="X400" t="s">
        <v>61</v>
      </c>
      <c r="Y400" t="s">
        <v>40</v>
      </c>
      <c r="Z400" s="14">
        <v>1.1000000000000001</v>
      </c>
      <c r="AA400" s="12">
        <f>YEAR(Table1[Hire_Date])</f>
        <v>2025</v>
      </c>
      <c r="AB40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401" spans="1:28" x14ac:dyDescent="0.25">
      <c r="A401" t="s">
        <v>1761</v>
      </c>
      <c r="B401" s="16" t="s">
        <v>1762</v>
      </c>
      <c r="C401" s="16" t="s">
        <v>1763</v>
      </c>
      <c r="D401" t="s">
        <v>29</v>
      </c>
      <c r="E401" s="15">
        <v>44</v>
      </c>
      <c r="F401" s="16" t="s">
        <v>72</v>
      </c>
      <c r="G401" s="16" t="s">
        <v>97</v>
      </c>
      <c r="H401" s="16" t="s">
        <v>32</v>
      </c>
      <c r="I401" s="16" t="s">
        <v>48</v>
      </c>
      <c r="J401" s="16" t="s">
        <v>34</v>
      </c>
      <c r="K401" s="17" t="s">
        <v>136</v>
      </c>
      <c r="M401" t="s">
        <v>36</v>
      </c>
      <c r="N401" t="s">
        <v>77</v>
      </c>
      <c r="O401" t="s">
        <v>60</v>
      </c>
      <c r="P401" s="15">
        <v>19</v>
      </c>
      <c r="Q401" s="18">
        <v>72196</v>
      </c>
      <c r="R401" s="19">
        <v>5</v>
      </c>
      <c r="S401" s="14">
        <v>2.7</v>
      </c>
      <c r="T401" s="7">
        <v>97</v>
      </c>
      <c r="U401" s="15">
        <v>7</v>
      </c>
      <c r="V401" s="15">
        <v>37</v>
      </c>
      <c r="W401" s="15">
        <v>28</v>
      </c>
      <c r="X401" t="s">
        <v>39</v>
      </c>
      <c r="Y401" t="s">
        <v>40</v>
      </c>
      <c r="Z401" s="14">
        <v>0.5</v>
      </c>
      <c r="AA401" s="12">
        <f>YEAR(Table1[Hire_Date])</f>
        <v>2026</v>
      </c>
      <c r="AB40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402" spans="1:28" x14ac:dyDescent="0.25">
      <c r="A402" t="s">
        <v>1764</v>
      </c>
      <c r="B402" s="16" t="s">
        <v>1765</v>
      </c>
      <c r="C402" s="16" t="s">
        <v>1766</v>
      </c>
      <c r="D402" t="s">
        <v>29</v>
      </c>
      <c r="E402" s="15">
        <v>28</v>
      </c>
      <c r="F402" s="16" t="s">
        <v>103</v>
      </c>
      <c r="G402" s="16" t="s">
        <v>147</v>
      </c>
      <c r="H402" s="16" t="s">
        <v>56</v>
      </c>
      <c r="I402" s="16" t="s">
        <v>57</v>
      </c>
      <c r="J402" s="16" t="s">
        <v>49</v>
      </c>
      <c r="K402" s="17" t="s">
        <v>1767</v>
      </c>
      <c r="M402" t="s">
        <v>36</v>
      </c>
      <c r="N402" t="s">
        <v>896</v>
      </c>
      <c r="O402" t="s">
        <v>38</v>
      </c>
      <c r="P402" s="15">
        <v>1</v>
      </c>
      <c r="Q402" s="18">
        <v>121839</v>
      </c>
      <c r="R402" s="19">
        <v>17</v>
      </c>
      <c r="S402" s="14">
        <v>3.4</v>
      </c>
      <c r="T402" s="7">
        <v>92</v>
      </c>
      <c r="U402" s="15">
        <v>4</v>
      </c>
      <c r="V402" s="15">
        <v>52</v>
      </c>
      <c r="W402" s="15">
        <v>18</v>
      </c>
      <c r="X402" t="s">
        <v>61</v>
      </c>
      <c r="Y402" t="s">
        <v>40</v>
      </c>
      <c r="Z402" s="14">
        <v>8.5</v>
      </c>
      <c r="AA402" s="12">
        <f>YEAR(Table1[Hire_Date])</f>
        <v>2018</v>
      </c>
      <c r="AB40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403" spans="1:28" x14ac:dyDescent="0.25">
      <c r="A403" t="s">
        <v>1768</v>
      </c>
      <c r="B403" s="16" t="s">
        <v>1769</v>
      </c>
      <c r="C403" s="16" t="s">
        <v>1770</v>
      </c>
      <c r="D403" t="s">
        <v>29</v>
      </c>
      <c r="E403" s="15">
        <v>42</v>
      </c>
      <c r="F403" s="16" t="s">
        <v>103</v>
      </c>
      <c r="G403" s="16" t="s">
        <v>13</v>
      </c>
      <c r="H403" s="16" t="s">
        <v>32</v>
      </c>
      <c r="I403" s="16" t="s">
        <v>48</v>
      </c>
      <c r="J403" s="16" t="s">
        <v>49</v>
      </c>
      <c r="K403" s="17" t="s">
        <v>1771</v>
      </c>
      <c r="M403" t="s">
        <v>36</v>
      </c>
      <c r="N403" t="s">
        <v>224</v>
      </c>
      <c r="O403" t="s">
        <v>52</v>
      </c>
      <c r="P403" s="15">
        <v>3</v>
      </c>
      <c r="Q403" s="18">
        <v>82456</v>
      </c>
      <c r="R403" s="19">
        <v>14</v>
      </c>
      <c r="S403" s="14">
        <v>4.2</v>
      </c>
      <c r="T403" s="7">
        <v>62</v>
      </c>
      <c r="U403" s="15">
        <v>5</v>
      </c>
      <c r="V403" s="15">
        <v>39</v>
      </c>
      <c r="W403" s="15">
        <v>21</v>
      </c>
      <c r="X403" t="s">
        <v>39</v>
      </c>
      <c r="Y403" t="s">
        <v>40</v>
      </c>
      <c r="Z403" s="14">
        <v>2.8</v>
      </c>
      <c r="AA403" s="12">
        <f>YEAR(Table1[Hire_Date])</f>
        <v>2023</v>
      </c>
      <c r="AB40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404" spans="1:28" x14ac:dyDescent="0.25">
      <c r="A404" t="s">
        <v>1772</v>
      </c>
      <c r="B404" s="16" t="s">
        <v>1773</v>
      </c>
      <c r="C404" s="16" t="s">
        <v>1774</v>
      </c>
      <c r="D404" t="s">
        <v>44</v>
      </c>
      <c r="E404" s="15">
        <v>57</v>
      </c>
      <c r="F404" s="16" t="s">
        <v>30</v>
      </c>
      <c r="G404" s="16" t="s">
        <v>31</v>
      </c>
      <c r="H404" s="16" t="s">
        <v>47</v>
      </c>
      <c r="I404" s="16" t="s">
        <v>48</v>
      </c>
      <c r="J404" s="16" t="s">
        <v>34</v>
      </c>
      <c r="K404" s="17" t="s">
        <v>1775</v>
      </c>
      <c r="M404" t="s">
        <v>36</v>
      </c>
      <c r="N404" t="s">
        <v>358</v>
      </c>
      <c r="O404" t="s">
        <v>38</v>
      </c>
      <c r="P404" s="15">
        <v>2</v>
      </c>
      <c r="Q404" s="18">
        <v>44188</v>
      </c>
      <c r="R404" s="19">
        <v>8</v>
      </c>
      <c r="S404" s="14">
        <v>3.9</v>
      </c>
      <c r="T404" s="7">
        <v>61</v>
      </c>
      <c r="U404" s="15">
        <v>14</v>
      </c>
      <c r="V404" s="15">
        <v>45</v>
      </c>
      <c r="W404" s="15">
        <v>0</v>
      </c>
      <c r="X404" t="s">
        <v>61</v>
      </c>
      <c r="Y404" t="s">
        <v>40</v>
      </c>
      <c r="Z404" s="14">
        <v>8.3000000000000007</v>
      </c>
      <c r="AA404" s="12">
        <f>YEAR(Table1[Hire_Date])</f>
        <v>2018</v>
      </c>
      <c r="AB40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405" spans="1:28" x14ac:dyDescent="0.25">
      <c r="A405" t="s">
        <v>1776</v>
      </c>
      <c r="B405" s="16" t="s">
        <v>1777</v>
      </c>
      <c r="C405" s="16" t="s">
        <v>1778</v>
      </c>
      <c r="D405" t="s">
        <v>29</v>
      </c>
      <c r="E405" s="15">
        <v>56</v>
      </c>
      <c r="F405" s="16" t="s">
        <v>103</v>
      </c>
      <c r="G405" s="16" t="s">
        <v>13</v>
      </c>
      <c r="H405" s="16" t="s">
        <v>83</v>
      </c>
      <c r="I405" s="16" t="s">
        <v>33</v>
      </c>
      <c r="J405" s="16" t="s">
        <v>49</v>
      </c>
      <c r="K405" s="17" t="s">
        <v>1779</v>
      </c>
      <c r="M405" t="s">
        <v>36</v>
      </c>
      <c r="N405" t="s">
        <v>219</v>
      </c>
      <c r="O405" t="s">
        <v>38</v>
      </c>
      <c r="P405" s="15">
        <v>8</v>
      </c>
      <c r="Q405" s="18">
        <v>101318</v>
      </c>
      <c r="R405" s="19">
        <v>24</v>
      </c>
      <c r="S405" s="14">
        <v>4.5</v>
      </c>
      <c r="T405" s="7">
        <v>74</v>
      </c>
      <c r="U405" s="15">
        <v>19</v>
      </c>
      <c r="V405" s="15">
        <v>44</v>
      </c>
      <c r="W405" s="15">
        <v>63</v>
      </c>
      <c r="X405" t="s">
        <v>39</v>
      </c>
      <c r="Y405" t="s">
        <v>62</v>
      </c>
      <c r="Z405" s="14">
        <v>2.8</v>
      </c>
      <c r="AA405" s="12">
        <f>YEAR(Table1[Hire_Date])</f>
        <v>2023</v>
      </c>
      <c r="AB40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406" spans="1:28" x14ac:dyDescent="0.25">
      <c r="A406" t="s">
        <v>1780</v>
      </c>
      <c r="B406" s="16" t="s">
        <v>1781</v>
      </c>
      <c r="C406" s="16" t="s">
        <v>1782</v>
      </c>
      <c r="D406" t="s">
        <v>29</v>
      </c>
      <c r="E406" s="15">
        <v>28</v>
      </c>
      <c r="F406" s="16" t="s">
        <v>103</v>
      </c>
      <c r="G406" s="16" t="s">
        <v>13</v>
      </c>
      <c r="H406" s="16" t="s">
        <v>66</v>
      </c>
      <c r="I406" s="16" t="s">
        <v>33</v>
      </c>
      <c r="J406" s="16" t="s">
        <v>34</v>
      </c>
      <c r="K406" s="17" t="s">
        <v>1783</v>
      </c>
      <c r="M406" t="s">
        <v>36</v>
      </c>
      <c r="N406" t="s">
        <v>253</v>
      </c>
      <c r="O406" t="s">
        <v>38</v>
      </c>
      <c r="P406" s="15">
        <v>9</v>
      </c>
      <c r="Q406" s="18">
        <v>107817</v>
      </c>
      <c r="R406" s="19">
        <v>19</v>
      </c>
      <c r="S406" s="14">
        <v>3.3</v>
      </c>
      <c r="T406" s="7">
        <v>64</v>
      </c>
      <c r="U406" s="15">
        <v>9</v>
      </c>
      <c r="V406" s="15">
        <v>21</v>
      </c>
      <c r="W406" s="15">
        <v>7</v>
      </c>
      <c r="X406" t="s">
        <v>39</v>
      </c>
      <c r="Y406" t="s">
        <v>78</v>
      </c>
      <c r="Z406" s="14">
        <v>0.4</v>
      </c>
      <c r="AA406" s="12">
        <f>YEAR(Table1[Hire_Date])</f>
        <v>2026</v>
      </c>
      <c r="AB40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407" spans="1:28" x14ac:dyDescent="0.25">
      <c r="A407" t="s">
        <v>1784</v>
      </c>
      <c r="B407" s="16" t="s">
        <v>1785</v>
      </c>
      <c r="C407" s="16" t="s">
        <v>1786</v>
      </c>
      <c r="D407" t="s">
        <v>44</v>
      </c>
      <c r="E407" s="15">
        <v>51</v>
      </c>
      <c r="F407" s="16" t="s">
        <v>30</v>
      </c>
      <c r="G407" s="16" t="s">
        <v>13</v>
      </c>
      <c r="H407" s="16" t="s">
        <v>32</v>
      </c>
      <c r="I407" s="16" t="s">
        <v>48</v>
      </c>
      <c r="J407" s="16" t="s">
        <v>49</v>
      </c>
      <c r="K407" s="17" t="s">
        <v>1787</v>
      </c>
      <c r="M407" t="s">
        <v>36</v>
      </c>
      <c r="N407" t="s">
        <v>333</v>
      </c>
      <c r="O407" t="s">
        <v>60</v>
      </c>
      <c r="P407" s="15">
        <v>12</v>
      </c>
      <c r="Q407" s="18">
        <v>96655</v>
      </c>
      <c r="R407" s="19">
        <v>9</v>
      </c>
      <c r="S407" s="14">
        <v>2.6</v>
      </c>
      <c r="T407" s="7">
        <v>100</v>
      </c>
      <c r="U407" s="15">
        <v>16</v>
      </c>
      <c r="V407" s="15">
        <v>42</v>
      </c>
      <c r="W407" s="15">
        <v>66</v>
      </c>
      <c r="X407" t="s">
        <v>39</v>
      </c>
      <c r="Y407" t="s">
        <v>40</v>
      </c>
      <c r="Z407" s="14">
        <v>6</v>
      </c>
      <c r="AA407" s="12">
        <f>YEAR(Table1[Hire_Date])</f>
        <v>2020</v>
      </c>
      <c r="AB40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408" spans="1:28" x14ac:dyDescent="0.25">
      <c r="A408" t="s">
        <v>1788</v>
      </c>
      <c r="B408" s="16" t="s">
        <v>1789</v>
      </c>
      <c r="C408" s="16" t="s">
        <v>1790</v>
      </c>
      <c r="D408" t="s">
        <v>29</v>
      </c>
      <c r="E408" s="15">
        <v>21</v>
      </c>
      <c r="F408" s="16" t="s">
        <v>124</v>
      </c>
      <c r="G408" s="16" t="s">
        <v>141</v>
      </c>
      <c r="H408" s="16" t="s">
        <v>83</v>
      </c>
      <c r="I408" s="16" t="s">
        <v>48</v>
      </c>
      <c r="J408" s="16" t="s">
        <v>34</v>
      </c>
      <c r="K408" s="17" t="s">
        <v>648</v>
      </c>
      <c r="M408" t="s">
        <v>36</v>
      </c>
      <c r="N408" t="s">
        <v>1791</v>
      </c>
      <c r="O408" t="s">
        <v>52</v>
      </c>
      <c r="P408" s="15">
        <v>19</v>
      </c>
      <c r="Q408" s="18">
        <v>71931</v>
      </c>
      <c r="R408" s="19">
        <v>14</v>
      </c>
      <c r="S408" s="14">
        <v>3.2</v>
      </c>
      <c r="T408" s="7">
        <v>53</v>
      </c>
      <c r="U408" s="15">
        <v>6</v>
      </c>
      <c r="V408" s="15">
        <v>1</v>
      </c>
      <c r="W408" s="15">
        <v>71</v>
      </c>
      <c r="X408" t="s">
        <v>61</v>
      </c>
      <c r="Y408" t="s">
        <v>78</v>
      </c>
      <c r="Z408" s="14">
        <v>5.3</v>
      </c>
      <c r="AA408" s="12">
        <f>YEAR(Table1[Hire_Date])</f>
        <v>2021</v>
      </c>
      <c r="AB40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409" spans="1:28" x14ac:dyDescent="0.25">
      <c r="A409" t="s">
        <v>1792</v>
      </c>
      <c r="B409" s="16" t="s">
        <v>1793</v>
      </c>
      <c r="C409" s="16" t="s">
        <v>1794</v>
      </c>
      <c r="D409" t="s">
        <v>44</v>
      </c>
      <c r="E409" s="15">
        <v>38</v>
      </c>
      <c r="F409" s="16" t="s">
        <v>124</v>
      </c>
      <c r="G409" s="16" t="s">
        <v>13</v>
      </c>
      <c r="H409" s="16" t="s">
        <v>66</v>
      </c>
      <c r="I409" s="16" t="s">
        <v>57</v>
      </c>
      <c r="J409" s="16" t="s">
        <v>34</v>
      </c>
      <c r="K409" s="17" t="s">
        <v>1795</v>
      </c>
      <c r="M409" t="s">
        <v>36</v>
      </c>
      <c r="N409" t="s">
        <v>268</v>
      </c>
      <c r="O409" t="s">
        <v>38</v>
      </c>
      <c r="P409" s="15">
        <v>16</v>
      </c>
      <c r="Q409" s="18">
        <v>173162</v>
      </c>
      <c r="R409" s="19">
        <v>15</v>
      </c>
      <c r="S409" s="14">
        <v>2.7</v>
      </c>
      <c r="T409" s="7">
        <v>56</v>
      </c>
      <c r="U409" s="15">
        <v>12</v>
      </c>
      <c r="V409" s="15">
        <v>11</v>
      </c>
      <c r="W409" s="15">
        <v>27</v>
      </c>
      <c r="X409" t="s">
        <v>61</v>
      </c>
      <c r="Y409" t="s">
        <v>62</v>
      </c>
      <c r="Z409" s="14">
        <v>7.8</v>
      </c>
      <c r="AA409" s="12">
        <f>YEAR(Table1[Hire_Date])</f>
        <v>2018</v>
      </c>
      <c r="AB40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410" spans="1:28" x14ac:dyDescent="0.25">
      <c r="A410" t="s">
        <v>1796</v>
      </c>
      <c r="B410" s="16" t="s">
        <v>1797</v>
      </c>
      <c r="C410" s="16" t="s">
        <v>1798</v>
      </c>
      <c r="D410" t="s">
        <v>44</v>
      </c>
      <c r="E410" s="15">
        <v>28</v>
      </c>
      <c r="F410" s="16" t="s">
        <v>72</v>
      </c>
      <c r="G410" s="16" t="s">
        <v>97</v>
      </c>
      <c r="H410" s="16" t="s">
        <v>56</v>
      </c>
      <c r="I410" s="16" t="s">
        <v>48</v>
      </c>
      <c r="J410" s="16" t="s">
        <v>34</v>
      </c>
      <c r="K410" s="17" t="s">
        <v>1799</v>
      </c>
      <c r="L410" s="17" t="s">
        <v>1800</v>
      </c>
      <c r="M410" t="s">
        <v>76</v>
      </c>
      <c r="N410" t="s">
        <v>170</v>
      </c>
      <c r="O410" t="s">
        <v>38</v>
      </c>
      <c r="P410" s="15">
        <v>17</v>
      </c>
      <c r="Q410" s="18">
        <v>85551</v>
      </c>
      <c r="R410" s="19">
        <v>17</v>
      </c>
      <c r="S410" s="14">
        <v>3.9</v>
      </c>
      <c r="T410" s="7">
        <v>83</v>
      </c>
      <c r="U410" s="15">
        <v>18</v>
      </c>
      <c r="V410" s="15">
        <v>29</v>
      </c>
      <c r="W410" s="15">
        <v>17</v>
      </c>
      <c r="X410" t="s">
        <v>61</v>
      </c>
      <c r="Y410" t="s">
        <v>62</v>
      </c>
      <c r="Z410" s="14">
        <v>2.4</v>
      </c>
      <c r="AA410" s="12">
        <f>YEAR(Table1[Hire_Date])</f>
        <v>2024</v>
      </c>
      <c r="AB41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411" spans="1:28" x14ac:dyDescent="0.25">
      <c r="A411" t="s">
        <v>1801</v>
      </c>
      <c r="B411" s="16" t="s">
        <v>1802</v>
      </c>
      <c r="C411" s="16" t="s">
        <v>1803</v>
      </c>
      <c r="D411" t="s">
        <v>44</v>
      </c>
      <c r="E411" s="15">
        <v>50</v>
      </c>
      <c r="F411" s="16" t="s">
        <v>103</v>
      </c>
      <c r="G411" s="16" t="s">
        <v>104</v>
      </c>
      <c r="H411" s="16" t="s">
        <v>66</v>
      </c>
      <c r="I411" s="16" t="s">
        <v>57</v>
      </c>
      <c r="J411" s="16" t="s">
        <v>49</v>
      </c>
      <c r="K411" s="17" t="s">
        <v>1804</v>
      </c>
      <c r="M411" t="s">
        <v>36</v>
      </c>
      <c r="N411" t="s">
        <v>1237</v>
      </c>
      <c r="O411" t="s">
        <v>52</v>
      </c>
      <c r="P411" s="15">
        <v>24</v>
      </c>
      <c r="Q411" s="18">
        <v>143327</v>
      </c>
      <c r="R411" s="19">
        <v>5</v>
      </c>
      <c r="S411" s="14">
        <v>2.9</v>
      </c>
      <c r="T411" s="7">
        <v>70</v>
      </c>
      <c r="U411" s="15">
        <v>17</v>
      </c>
      <c r="V411" s="15">
        <v>27</v>
      </c>
      <c r="W411" s="15">
        <v>54</v>
      </c>
      <c r="X411" t="s">
        <v>39</v>
      </c>
      <c r="Y411" t="s">
        <v>78</v>
      </c>
      <c r="Z411" s="14">
        <v>1.4</v>
      </c>
      <c r="AA411" s="12">
        <f>YEAR(Table1[Hire_Date])</f>
        <v>2025</v>
      </c>
      <c r="AB41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412" spans="1:28" x14ac:dyDescent="0.25">
      <c r="A412" t="s">
        <v>1805</v>
      </c>
      <c r="B412" s="16" t="s">
        <v>1806</v>
      </c>
      <c r="C412" s="16" t="s">
        <v>1807</v>
      </c>
      <c r="D412" t="s">
        <v>29</v>
      </c>
      <c r="E412" s="15">
        <v>50</v>
      </c>
      <c r="F412" s="16" t="s">
        <v>124</v>
      </c>
      <c r="G412" s="16" t="s">
        <v>141</v>
      </c>
      <c r="H412" s="16" t="s">
        <v>66</v>
      </c>
      <c r="I412" s="16" t="s">
        <v>48</v>
      </c>
      <c r="J412" s="16" t="s">
        <v>34</v>
      </c>
      <c r="K412" s="17" t="s">
        <v>1808</v>
      </c>
      <c r="M412" t="s">
        <v>36</v>
      </c>
      <c r="N412" t="s">
        <v>224</v>
      </c>
      <c r="O412" t="s">
        <v>52</v>
      </c>
      <c r="P412" s="15">
        <v>0</v>
      </c>
      <c r="Q412" s="18">
        <v>101878</v>
      </c>
      <c r="R412" s="19">
        <v>14</v>
      </c>
      <c r="S412" s="14">
        <v>2.6</v>
      </c>
      <c r="T412" s="7">
        <v>73</v>
      </c>
      <c r="U412" s="15">
        <v>2</v>
      </c>
      <c r="V412" s="15">
        <v>6</v>
      </c>
      <c r="W412" s="15">
        <v>20</v>
      </c>
      <c r="X412" t="s">
        <v>39</v>
      </c>
      <c r="Y412" t="s">
        <v>62</v>
      </c>
      <c r="Z412" s="14">
        <v>7.5</v>
      </c>
      <c r="AA412" s="12">
        <f>YEAR(Table1[Hire_Date])</f>
        <v>2019</v>
      </c>
      <c r="AB41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413" spans="1:28" x14ac:dyDescent="0.25">
      <c r="A413" t="s">
        <v>1809</v>
      </c>
      <c r="B413" s="16" t="s">
        <v>1810</v>
      </c>
      <c r="C413" s="16" t="s">
        <v>1811</v>
      </c>
      <c r="D413" t="s">
        <v>44</v>
      </c>
      <c r="E413" s="15">
        <v>47</v>
      </c>
      <c r="F413" s="16" t="s">
        <v>124</v>
      </c>
      <c r="G413" s="16" t="s">
        <v>13</v>
      </c>
      <c r="H413" s="16" t="s">
        <v>66</v>
      </c>
      <c r="I413" s="16" t="s">
        <v>48</v>
      </c>
      <c r="J413" s="16" t="s">
        <v>49</v>
      </c>
      <c r="K413" s="17" t="s">
        <v>1812</v>
      </c>
      <c r="L413" s="17" t="s">
        <v>1813</v>
      </c>
      <c r="M413" t="s">
        <v>76</v>
      </c>
      <c r="N413" t="s">
        <v>337</v>
      </c>
      <c r="O413" t="s">
        <v>38</v>
      </c>
      <c r="P413" s="15">
        <v>1</v>
      </c>
      <c r="Q413" s="18">
        <v>93413</v>
      </c>
      <c r="R413" s="19">
        <v>13</v>
      </c>
      <c r="S413" s="14">
        <v>2.5</v>
      </c>
      <c r="T413" s="7">
        <v>55</v>
      </c>
      <c r="U413" s="15">
        <v>12</v>
      </c>
      <c r="V413" s="15">
        <v>43</v>
      </c>
      <c r="W413" s="15">
        <v>42</v>
      </c>
      <c r="X413" t="s">
        <v>61</v>
      </c>
      <c r="Y413" t="s">
        <v>62</v>
      </c>
      <c r="Z413" s="14">
        <v>6.1</v>
      </c>
      <c r="AA413" s="12">
        <f>YEAR(Table1[Hire_Date])</f>
        <v>2020</v>
      </c>
      <c r="AB41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414" spans="1:28" x14ac:dyDescent="0.25">
      <c r="A414" t="s">
        <v>1814</v>
      </c>
      <c r="B414" s="16" t="s">
        <v>1815</v>
      </c>
      <c r="C414" s="16" t="s">
        <v>1816</v>
      </c>
      <c r="D414" t="s">
        <v>29</v>
      </c>
      <c r="E414" s="15">
        <v>56</v>
      </c>
      <c r="F414" s="16" t="s">
        <v>45</v>
      </c>
      <c r="G414" s="16" t="s">
        <v>82</v>
      </c>
      <c r="H414" s="16" t="s">
        <v>32</v>
      </c>
      <c r="I414" s="16" t="s">
        <v>57</v>
      </c>
      <c r="J414" s="16" t="s">
        <v>49</v>
      </c>
      <c r="K414" s="17" t="s">
        <v>1817</v>
      </c>
      <c r="M414" t="s">
        <v>36</v>
      </c>
      <c r="N414" t="s">
        <v>1297</v>
      </c>
      <c r="O414" t="s">
        <v>38</v>
      </c>
      <c r="P414" s="15">
        <v>29</v>
      </c>
      <c r="Q414" s="18">
        <v>67568</v>
      </c>
      <c r="R414" s="19">
        <v>15</v>
      </c>
      <c r="S414" s="14">
        <v>4.5</v>
      </c>
      <c r="T414" s="7">
        <v>75</v>
      </c>
      <c r="U414" s="15">
        <v>3</v>
      </c>
      <c r="V414" s="15">
        <v>13</v>
      </c>
      <c r="W414" s="15">
        <v>63</v>
      </c>
      <c r="X414" t="s">
        <v>61</v>
      </c>
      <c r="Y414" t="s">
        <v>40</v>
      </c>
      <c r="Z414" s="14">
        <v>2.2000000000000002</v>
      </c>
      <c r="AA414" s="12">
        <f>YEAR(Table1[Hire_Date])</f>
        <v>2024</v>
      </c>
      <c r="AB41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415" spans="1:28" x14ac:dyDescent="0.25">
      <c r="A415" t="s">
        <v>1818</v>
      </c>
      <c r="B415" s="16" t="s">
        <v>1819</v>
      </c>
      <c r="C415" s="16" t="s">
        <v>1820</v>
      </c>
      <c r="D415" t="s">
        <v>29</v>
      </c>
      <c r="E415" s="15">
        <v>50</v>
      </c>
      <c r="F415" s="16" t="s">
        <v>90</v>
      </c>
      <c r="G415" s="16" t="s">
        <v>281</v>
      </c>
      <c r="H415" s="16" t="s">
        <v>32</v>
      </c>
      <c r="I415" s="16" t="s">
        <v>57</v>
      </c>
      <c r="J415" s="16" t="s">
        <v>49</v>
      </c>
      <c r="K415" s="17" t="s">
        <v>1821</v>
      </c>
      <c r="M415" t="s">
        <v>36</v>
      </c>
      <c r="N415" t="s">
        <v>731</v>
      </c>
      <c r="O415" t="s">
        <v>38</v>
      </c>
      <c r="P415" s="15">
        <v>18</v>
      </c>
      <c r="Q415" s="18">
        <v>47223</v>
      </c>
      <c r="R415" s="19">
        <v>21</v>
      </c>
      <c r="S415" s="14">
        <v>2.8</v>
      </c>
      <c r="T415" s="7">
        <v>83</v>
      </c>
      <c r="U415" s="15">
        <v>5</v>
      </c>
      <c r="V415" s="15">
        <v>49</v>
      </c>
      <c r="W415" s="15">
        <v>14</v>
      </c>
      <c r="X415" t="s">
        <v>61</v>
      </c>
      <c r="Y415" t="s">
        <v>78</v>
      </c>
      <c r="Z415" s="14">
        <v>5</v>
      </c>
      <c r="AA415" s="12">
        <f>YEAR(Table1[Hire_Date])</f>
        <v>2021</v>
      </c>
      <c r="AB41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416" spans="1:28" x14ac:dyDescent="0.25">
      <c r="A416" t="s">
        <v>1822</v>
      </c>
      <c r="B416" s="16" t="s">
        <v>1823</v>
      </c>
      <c r="C416" s="16" t="s">
        <v>1824</v>
      </c>
      <c r="D416" t="s">
        <v>29</v>
      </c>
      <c r="E416" s="15">
        <v>31</v>
      </c>
      <c r="F416" s="16" t="s">
        <v>103</v>
      </c>
      <c r="G416" s="16" t="s">
        <v>104</v>
      </c>
      <c r="H416" s="16" t="s">
        <v>66</v>
      </c>
      <c r="I416" s="16" t="s">
        <v>57</v>
      </c>
      <c r="J416" s="16" t="s">
        <v>49</v>
      </c>
      <c r="K416" s="17" t="s">
        <v>1825</v>
      </c>
      <c r="M416" t="s">
        <v>36</v>
      </c>
      <c r="N416" t="s">
        <v>175</v>
      </c>
      <c r="O416" t="s">
        <v>60</v>
      </c>
      <c r="P416" s="15">
        <v>21</v>
      </c>
      <c r="Q416" s="18">
        <v>88577</v>
      </c>
      <c r="R416" s="19">
        <v>15</v>
      </c>
      <c r="S416" s="14">
        <v>2.9</v>
      </c>
      <c r="T416" s="7">
        <v>89</v>
      </c>
      <c r="U416" s="15">
        <v>17</v>
      </c>
      <c r="V416" s="15">
        <v>2</v>
      </c>
      <c r="W416" s="15">
        <v>8</v>
      </c>
      <c r="X416" t="s">
        <v>61</v>
      </c>
      <c r="Y416" t="s">
        <v>62</v>
      </c>
      <c r="Z416" s="14">
        <v>3.7</v>
      </c>
      <c r="AA416" s="12">
        <f>YEAR(Table1[Hire_Date])</f>
        <v>2022</v>
      </c>
      <c r="AB41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417" spans="1:28" x14ac:dyDescent="0.25">
      <c r="A417" t="s">
        <v>1826</v>
      </c>
      <c r="B417" s="16" t="s">
        <v>1827</v>
      </c>
      <c r="C417" s="16" t="s">
        <v>1828</v>
      </c>
      <c r="D417" t="s">
        <v>29</v>
      </c>
      <c r="E417" s="15">
        <v>39</v>
      </c>
      <c r="F417" s="16" t="s">
        <v>30</v>
      </c>
      <c r="G417" s="16" t="s">
        <v>13</v>
      </c>
      <c r="H417" s="16" t="s">
        <v>56</v>
      </c>
      <c r="I417" s="16" t="s">
        <v>57</v>
      </c>
      <c r="J417" s="16" t="s">
        <v>34</v>
      </c>
      <c r="K417" s="17" t="s">
        <v>1829</v>
      </c>
      <c r="M417" t="s">
        <v>36</v>
      </c>
      <c r="N417" t="s">
        <v>170</v>
      </c>
      <c r="O417" t="s">
        <v>52</v>
      </c>
      <c r="P417" s="15">
        <v>25</v>
      </c>
      <c r="Q417" s="18">
        <v>156880</v>
      </c>
      <c r="R417" s="19">
        <v>16</v>
      </c>
      <c r="S417" s="14">
        <v>4.5999999999999996</v>
      </c>
      <c r="T417" s="7">
        <v>64</v>
      </c>
      <c r="U417" s="15">
        <v>8</v>
      </c>
      <c r="V417" s="15">
        <v>32</v>
      </c>
      <c r="W417" s="15">
        <v>40</v>
      </c>
      <c r="X417" t="s">
        <v>39</v>
      </c>
      <c r="Y417" t="s">
        <v>40</v>
      </c>
      <c r="Z417" s="14">
        <v>3.7</v>
      </c>
      <c r="AA417" s="12">
        <f>YEAR(Table1[Hire_Date])</f>
        <v>2022</v>
      </c>
      <c r="AB41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418" spans="1:28" x14ac:dyDescent="0.25">
      <c r="A418" t="s">
        <v>1830</v>
      </c>
      <c r="B418" s="16" t="s">
        <v>1831</v>
      </c>
      <c r="C418" s="16" t="s">
        <v>1832</v>
      </c>
      <c r="D418" t="s">
        <v>29</v>
      </c>
      <c r="E418" s="15">
        <v>44</v>
      </c>
      <c r="F418" s="16" t="s">
        <v>30</v>
      </c>
      <c r="G418" s="16" t="s">
        <v>31</v>
      </c>
      <c r="H418" s="16" t="s">
        <v>66</v>
      </c>
      <c r="I418" s="16" t="s">
        <v>48</v>
      </c>
      <c r="J418" s="16" t="s">
        <v>34</v>
      </c>
      <c r="K418" s="17" t="s">
        <v>1833</v>
      </c>
      <c r="L418" s="17" t="s">
        <v>1834</v>
      </c>
      <c r="M418" t="s">
        <v>76</v>
      </c>
      <c r="N418" t="s">
        <v>342</v>
      </c>
      <c r="O418" t="s">
        <v>52</v>
      </c>
      <c r="P418" s="15">
        <v>31</v>
      </c>
      <c r="Q418" s="18">
        <v>152729</v>
      </c>
      <c r="R418" s="19">
        <v>18</v>
      </c>
      <c r="S418" s="14">
        <v>3.3</v>
      </c>
      <c r="T418" s="7">
        <v>50</v>
      </c>
      <c r="U418" s="15">
        <v>10</v>
      </c>
      <c r="V418" s="15">
        <v>34</v>
      </c>
      <c r="W418" s="15">
        <v>40</v>
      </c>
      <c r="X418" t="s">
        <v>39</v>
      </c>
      <c r="Y418" t="s">
        <v>40</v>
      </c>
      <c r="Z418" s="14">
        <v>7.1</v>
      </c>
      <c r="AA418" s="12">
        <f>YEAR(Table1[Hire_Date])</f>
        <v>2019</v>
      </c>
      <c r="AB41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419" spans="1:28" x14ac:dyDescent="0.25">
      <c r="A419" t="s">
        <v>1835</v>
      </c>
      <c r="B419" s="16" t="s">
        <v>1836</v>
      </c>
      <c r="C419" s="16" t="s">
        <v>1837</v>
      </c>
      <c r="D419" t="s">
        <v>44</v>
      </c>
      <c r="E419" s="15">
        <v>47</v>
      </c>
      <c r="F419" s="16" t="s">
        <v>45</v>
      </c>
      <c r="G419" s="16" t="s">
        <v>82</v>
      </c>
      <c r="H419" s="16" t="s">
        <v>32</v>
      </c>
      <c r="I419" s="16" t="s">
        <v>48</v>
      </c>
      <c r="J419" s="16" t="s">
        <v>34</v>
      </c>
      <c r="K419" s="17" t="s">
        <v>1838</v>
      </c>
      <c r="M419" t="s">
        <v>36</v>
      </c>
      <c r="N419" t="s">
        <v>277</v>
      </c>
      <c r="O419" t="s">
        <v>52</v>
      </c>
      <c r="P419" s="15">
        <v>4</v>
      </c>
      <c r="Q419" s="18">
        <v>69931</v>
      </c>
      <c r="R419" s="19">
        <v>25</v>
      </c>
      <c r="S419" s="14">
        <v>2.5</v>
      </c>
      <c r="T419" s="7">
        <v>76</v>
      </c>
      <c r="U419" s="15">
        <v>10</v>
      </c>
      <c r="V419" s="15">
        <v>59</v>
      </c>
      <c r="W419" s="15">
        <v>33</v>
      </c>
      <c r="X419" t="s">
        <v>39</v>
      </c>
      <c r="Y419" t="s">
        <v>62</v>
      </c>
      <c r="Z419" s="14">
        <v>2</v>
      </c>
      <c r="AA419" s="12">
        <f>YEAR(Table1[Hire_Date])</f>
        <v>2024</v>
      </c>
      <c r="AB41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420" spans="1:28" x14ac:dyDescent="0.25">
      <c r="A420" t="s">
        <v>1839</v>
      </c>
      <c r="B420" s="16" t="s">
        <v>1840</v>
      </c>
      <c r="C420" s="16" t="s">
        <v>1841</v>
      </c>
      <c r="D420" t="s">
        <v>29</v>
      </c>
      <c r="E420" s="15">
        <v>49</v>
      </c>
      <c r="F420" s="16" t="s">
        <v>90</v>
      </c>
      <c r="G420" s="16" t="s">
        <v>13</v>
      </c>
      <c r="H420" s="16" t="s">
        <v>56</v>
      </c>
      <c r="I420" s="16" t="s">
        <v>57</v>
      </c>
      <c r="J420" s="16" t="s">
        <v>34</v>
      </c>
      <c r="K420" s="17" t="s">
        <v>1842</v>
      </c>
      <c r="L420" s="17" t="s">
        <v>384</v>
      </c>
      <c r="M420" t="s">
        <v>76</v>
      </c>
      <c r="N420" t="s">
        <v>219</v>
      </c>
      <c r="O420" t="s">
        <v>60</v>
      </c>
      <c r="P420" s="15">
        <v>13</v>
      </c>
      <c r="Q420" s="18">
        <v>41923</v>
      </c>
      <c r="R420" s="19">
        <v>14</v>
      </c>
      <c r="S420" s="14">
        <v>3.6</v>
      </c>
      <c r="T420" s="7">
        <v>63</v>
      </c>
      <c r="U420" s="15">
        <v>11</v>
      </c>
      <c r="V420" s="15">
        <v>52</v>
      </c>
      <c r="W420" s="15">
        <v>68</v>
      </c>
      <c r="X420" t="s">
        <v>61</v>
      </c>
      <c r="Y420" t="s">
        <v>78</v>
      </c>
      <c r="Z420" s="14">
        <v>8.6</v>
      </c>
      <c r="AA420" s="12">
        <f>YEAR(Table1[Hire_Date])</f>
        <v>2017</v>
      </c>
      <c r="AB42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421" spans="1:28" x14ac:dyDescent="0.25">
      <c r="A421" t="s">
        <v>1843</v>
      </c>
      <c r="B421" s="16" t="s">
        <v>1844</v>
      </c>
      <c r="C421" s="16" t="s">
        <v>1845</v>
      </c>
      <c r="D421" t="s">
        <v>29</v>
      </c>
      <c r="E421" s="15">
        <v>22</v>
      </c>
      <c r="F421" s="16" t="s">
        <v>103</v>
      </c>
      <c r="G421" s="16" t="s">
        <v>147</v>
      </c>
      <c r="H421" s="16" t="s">
        <v>47</v>
      </c>
      <c r="I421" s="16" t="s">
        <v>33</v>
      </c>
      <c r="J421" s="16" t="s">
        <v>34</v>
      </c>
      <c r="K421" s="17" t="s">
        <v>1846</v>
      </c>
      <c r="M421" t="s">
        <v>36</v>
      </c>
      <c r="N421" t="s">
        <v>194</v>
      </c>
      <c r="O421" t="s">
        <v>52</v>
      </c>
      <c r="P421" s="15">
        <v>25</v>
      </c>
      <c r="Q421" s="18">
        <v>69222</v>
      </c>
      <c r="R421" s="19">
        <v>9</v>
      </c>
      <c r="S421" s="14">
        <v>2.7</v>
      </c>
      <c r="T421" s="7">
        <v>51</v>
      </c>
      <c r="U421" s="15">
        <v>12</v>
      </c>
      <c r="V421" s="15">
        <v>46</v>
      </c>
      <c r="W421" s="15">
        <v>4</v>
      </c>
      <c r="X421" t="s">
        <v>39</v>
      </c>
      <c r="Y421" t="s">
        <v>40</v>
      </c>
      <c r="Z421" s="14">
        <v>0.5</v>
      </c>
      <c r="AA421" s="12">
        <f>YEAR(Table1[Hire_Date])</f>
        <v>2026</v>
      </c>
      <c r="AB42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422" spans="1:28" x14ac:dyDescent="0.25">
      <c r="A422" t="s">
        <v>1847</v>
      </c>
      <c r="B422" s="16" t="s">
        <v>1848</v>
      </c>
      <c r="C422" s="16" t="s">
        <v>1849</v>
      </c>
      <c r="D422" t="s">
        <v>29</v>
      </c>
      <c r="E422" s="15">
        <v>46</v>
      </c>
      <c r="F422" s="16" t="s">
        <v>45</v>
      </c>
      <c r="G422" s="16" t="s">
        <v>82</v>
      </c>
      <c r="H422" s="16" t="s">
        <v>56</v>
      </c>
      <c r="I422" s="16" t="s">
        <v>48</v>
      </c>
      <c r="J422" s="16" t="s">
        <v>49</v>
      </c>
      <c r="K422" s="17" t="s">
        <v>1850</v>
      </c>
      <c r="M422" t="s">
        <v>36</v>
      </c>
      <c r="N422" t="s">
        <v>155</v>
      </c>
      <c r="O422" t="s">
        <v>52</v>
      </c>
      <c r="P422" s="15">
        <v>8</v>
      </c>
      <c r="Q422" s="18">
        <v>123489</v>
      </c>
      <c r="R422" s="19">
        <v>15</v>
      </c>
      <c r="S422" s="14">
        <v>3.5</v>
      </c>
      <c r="T422" s="7">
        <v>90</v>
      </c>
      <c r="U422" s="15">
        <v>7</v>
      </c>
      <c r="V422" s="15">
        <v>11</v>
      </c>
      <c r="W422" s="15">
        <v>12</v>
      </c>
      <c r="X422" t="s">
        <v>39</v>
      </c>
      <c r="Y422" t="s">
        <v>78</v>
      </c>
      <c r="Z422" s="14">
        <v>9</v>
      </c>
      <c r="AA422" s="12">
        <f>YEAR(Table1[Hire_Date])</f>
        <v>2017</v>
      </c>
      <c r="AB42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423" spans="1:28" x14ac:dyDescent="0.25">
      <c r="A423" t="s">
        <v>1851</v>
      </c>
      <c r="B423" s="16" t="s">
        <v>1852</v>
      </c>
      <c r="C423" s="16" t="s">
        <v>1853</v>
      </c>
      <c r="D423" t="s">
        <v>44</v>
      </c>
      <c r="E423" s="15">
        <v>56</v>
      </c>
      <c r="F423" s="16" t="s">
        <v>90</v>
      </c>
      <c r="G423" s="16" t="s">
        <v>13</v>
      </c>
      <c r="H423" s="16" t="s">
        <v>32</v>
      </c>
      <c r="I423" s="16" t="s">
        <v>57</v>
      </c>
      <c r="J423" s="16" t="s">
        <v>49</v>
      </c>
      <c r="K423" s="17" t="s">
        <v>1854</v>
      </c>
      <c r="M423" t="s">
        <v>36</v>
      </c>
      <c r="N423" t="s">
        <v>1791</v>
      </c>
      <c r="O423" t="s">
        <v>38</v>
      </c>
      <c r="P423" s="15">
        <v>23</v>
      </c>
      <c r="Q423" s="18">
        <v>43993</v>
      </c>
      <c r="R423" s="19">
        <v>6</v>
      </c>
      <c r="S423" s="14">
        <v>4.3</v>
      </c>
      <c r="T423" s="7">
        <v>83</v>
      </c>
      <c r="U423" s="15">
        <v>1</v>
      </c>
      <c r="V423" s="15">
        <v>41</v>
      </c>
      <c r="W423" s="15">
        <v>46</v>
      </c>
      <c r="X423" t="s">
        <v>61</v>
      </c>
      <c r="Y423" t="s">
        <v>62</v>
      </c>
      <c r="Z423" s="14">
        <v>7.5</v>
      </c>
      <c r="AA423" s="12">
        <f>YEAR(Table1[Hire_Date])</f>
        <v>2019</v>
      </c>
      <c r="AB42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424" spans="1:28" x14ac:dyDescent="0.25">
      <c r="A424" t="s">
        <v>1855</v>
      </c>
      <c r="B424" s="16" t="s">
        <v>1856</v>
      </c>
      <c r="C424" s="16" t="s">
        <v>1857</v>
      </c>
      <c r="D424" t="s">
        <v>29</v>
      </c>
      <c r="E424" s="15">
        <v>40</v>
      </c>
      <c r="F424" s="16" t="s">
        <v>72</v>
      </c>
      <c r="G424" s="16" t="s">
        <v>135</v>
      </c>
      <c r="H424" s="16" t="s">
        <v>47</v>
      </c>
      <c r="I424" s="16" t="s">
        <v>48</v>
      </c>
      <c r="J424" s="16" t="s">
        <v>49</v>
      </c>
      <c r="K424" s="17" t="s">
        <v>1858</v>
      </c>
      <c r="M424" t="s">
        <v>36</v>
      </c>
      <c r="N424" t="s">
        <v>165</v>
      </c>
      <c r="O424" t="s">
        <v>38</v>
      </c>
      <c r="P424" s="15">
        <v>17</v>
      </c>
      <c r="Q424" s="18">
        <v>91236</v>
      </c>
      <c r="R424" s="19">
        <v>7</v>
      </c>
      <c r="S424" s="14">
        <v>3.7</v>
      </c>
      <c r="T424" s="7">
        <v>70</v>
      </c>
      <c r="U424" s="15">
        <v>17</v>
      </c>
      <c r="V424" s="15">
        <v>42</v>
      </c>
      <c r="W424" s="15">
        <v>55</v>
      </c>
      <c r="X424" t="s">
        <v>61</v>
      </c>
      <c r="Y424" t="s">
        <v>62</v>
      </c>
      <c r="Z424" s="14">
        <v>1</v>
      </c>
      <c r="AA424" s="12">
        <f>YEAR(Table1[Hire_Date])</f>
        <v>2025</v>
      </c>
      <c r="AB42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425" spans="1:28" x14ac:dyDescent="0.25">
      <c r="A425" t="s">
        <v>1859</v>
      </c>
      <c r="B425" s="16" t="s">
        <v>1860</v>
      </c>
      <c r="C425" s="16" t="s">
        <v>1861</v>
      </c>
      <c r="D425" t="s">
        <v>29</v>
      </c>
      <c r="E425" s="15">
        <v>59</v>
      </c>
      <c r="F425" s="16" t="s">
        <v>90</v>
      </c>
      <c r="G425" s="16" t="s">
        <v>281</v>
      </c>
      <c r="H425" s="16" t="s">
        <v>83</v>
      </c>
      <c r="I425" s="16" t="s">
        <v>48</v>
      </c>
      <c r="J425" s="16" t="s">
        <v>49</v>
      </c>
      <c r="K425" s="17" t="s">
        <v>755</v>
      </c>
      <c r="L425" s="17" t="s">
        <v>1862</v>
      </c>
      <c r="M425" t="s">
        <v>76</v>
      </c>
      <c r="N425" t="s">
        <v>209</v>
      </c>
      <c r="O425" t="s">
        <v>38</v>
      </c>
      <c r="P425" s="15">
        <v>20</v>
      </c>
      <c r="Q425" s="18">
        <v>162808</v>
      </c>
      <c r="R425" s="19">
        <v>20</v>
      </c>
      <c r="S425" s="14">
        <v>3.7</v>
      </c>
      <c r="T425" s="7">
        <v>64</v>
      </c>
      <c r="U425" s="15">
        <v>3</v>
      </c>
      <c r="V425" s="15">
        <v>38</v>
      </c>
      <c r="W425" s="15">
        <v>24</v>
      </c>
      <c r="X425" t="s">
        <v>61</v>
      </c>
      <c r="Y425" t="s">
        <v>40</v>
      </c>
      <c r="Z425" s="14">
        <v>2.4</v>
      </c>
      <c r="AA425" s="12">
        <f>YEAR(Table1[Hire_Date])</f>
        <v>2024</v>
      </c>
      <c r="AB42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426" spans="1:28" x14ac:dyDescent="0.25">
      <c r="A426" t="s">
        <v>1863</v>
      </c>
      <c r="B426" s="16" t="s">
        <v>1864</v>
      </c>
      <c r="C426" s="16" t="s">
        <v>1865</v>
      </c>
      <c r="D426" t="s">
        <v>29</v>
      </c>
      <c r="E426" s="15">
        <v>44</v>
      </c>
      <c r="F426" s="16" t="s">
        <v>90</v>
      </c>
      <c r="G426" s="16" t="s">
        <v>13</v>
      </c>
      <c r="H426" s="16" t="s">
        <v>47</v>
      </c>
      <c r="I426" s="16" t="s">
        <v>48</v>
      </c>
      <c r="J426" s="16" t="s">
        <v>34</v>
      </c>
      <c r="K426" s="17" t="s">
        <v>1866</v>
      </c>
      <c r="M426" t="s">
        <v>36</v>
      </c>
      <c r="N426" t="s">
        <v>224</v>
      </c>
      <c r="O426" t="s">
        <v>38</v>
      </c>
      <c r="P426" s="15">
        <v>3</v>
      </c>
      <c r="Q426" s="18">
        <v>45256</v>
      </c>
      <c r="R426" s="19">
        <v>5</v>
      </c>
      <c r="S426" s="14">
        <v>4.2</v>
      </c>
      <c r="T426" s="7">
        <v>66</v>
      </c>
      <c r="U426" s="15">
        <v>11</v>
      </c>
      <c r="V426" s="15">
        <v>31</v>
      </c>
      <c r="W426" s="15">
        <v>9</v>
      </c>
      <c r="X426" t="s">
        <v>39</v>
      </c>
      <c r="Y426" t="s">
        <v>62</v>
      </c>
      <c r="Z426" s="14">
        <v>5.4</v>
      </c>
      <c r="AA426" s="12">
        <f>YEAR(Table1[Hire_Date])</f>
        <v>2021</v>
      </c>
      <c r="AB42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427" spans="1:28" x14ac:dyDescent="0.25">
      <c r="A427" t="s">
        <v>1867</v>
      </c>
      <c r="B427" s="16" t="s">
        <v>1868</v>
      </c>
      <c r="C427" s="16" t="s">
        <v>1869</v>
      </c>
      <c r="D427" t="s">
        <v>44</v>
      </c>
      <c r="E427" s="15">
        <v>53</v>
      </c>
      <c r="F427" s="16" t="s">
        <v>103</v>
      </c>
      <c r="G427" s="16" t="s">
        <v>13</v>
      </c>
      <c r="H427" s="16" t="s">
        <v>32</v>
      </c>
      <c r="I427" s="16" t="s">
        <v>33</v>
      </c>
      <c r="J427" s="16" t="s">
        <v>34</v>
      </c>
      <c r="K427" s="17" t="s">
        <v>1870</v>
      </c>
      <c r="M427" t="s">
        <v>36</v>
      </c>
      <c r="N427" t="s">
        <v>536</v>
      </c>
      <c r="O427" t="s">
        <v>60</v>
      </c>
      <c r="P427" s="15">
        <v>1</v>
      </c>
      <c r="Q427" s="18">
        <v>171134</v>
      </c>
      <c r="R427" s="19">
        <v>23</v>
      </c>
      <c r="S427" s="14">
        <v>4.9000000000000004</v>
      </c>
      <c r="T427" s="7">
        <v>84</v>
      </c>
      <c r="U427" s="15">
        <v>14</v>
      </c>
      <c r="V427" s="15">
        <v>7</v>
      </c>
      <c r="W427" s="15">
        <v>4</v>
      </c>
      <c r="X427" t="s">
        <v>61</v>
      </c>
      <c r="Y427" t="s">
        <v>40</v>
      </c>
      <c r="Z427" s="14">
        <v>1.3</v>
      </c>
      <c r="AA427" s="12">
        <f>YEAR(Table1[Hire_Date])</f>
        <v>2025</v>
      </c>
      <c r="AB42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428" spans="1:28" x14ac:dyDescent="0.25">
      <c r="A428" t="s">
        <v>1871</v>
      </c>
      <c r="B428" s="16" t="s">
        <v>1872</v>
      </c>
      <c r="C428" s="16" t="s">
        <v>1873</v>
      </c>
      <c r="D428" t="s">
        <v>29</v>
      </c>
      <c r="E428" s="15">
        <v>21</v>
      </c>
      <c r="F428" s="16" t="s">
        <v>72</v>
      </c>
      <c r="G428" s="16" t="s">
        <v>73</v>
      </c>
      <c r="H428" s="16" t="s">
        <v>47</v>
      </c>
      <c r="I428" s="16" t="s">
        <v>33</v>
      </c>
      <c r="J428" s="16" t="s">
        <v>34</v>
      </c>
      <c r="K428" s="17" t="s">
        <v>1874</v>
      </c>
      <c r="M428" t="s">
        <v>36</v>
      </c>
      <c r="N428" t="s">
        <v>263</v>
      </c>
      <c r="O428" t="s">
        <v>52</v>
      </c>
      <c r="P428" s="15">
        <v>23</v>
      </c>
      <c r="Q428" s="18">
        <v>117988</v>
      </c>
      <c r="R428" s="19">
        <v>24</v>
      </c>
      <c r="S428" s="14">
        <v>4.7</v>
      </c>
      <c r="T428" s="7">
        <v>55</v>
      </c>
      <c r="U428" s="15">
        <v>19</v>
      </c>
      <c r="V428" s="15">
        <v>21</v>
      </c>
      <c r="W428" s="15">
        <v>28</v>
      </c>
      <c r="X428" t="s">
        <v>61</v>
      </c>
      <c r="Y428" t="s">
        <v>62</v>
      </c>
      <c r="Z428" s="14">
        <v>0.2</v>
      </c>
      <c r="AA428" s="12">
        <f>YEAR(Table1[Hire_Date])</f>
        <v>2026</v>
      </c>
      <c r="AB42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429" spans="1:28" x14ac:dyDescent="0.25">
      <c r="A429" t="s">
        <v>1875</v>
      </c>
      <c r="B429" s="16" t="s">
        <v>1876</v>
      </c>
      <c r="C429" s="16" t="s">
        <v>1877</v>
      </c>
      <c r="D429" t="s">
        <v>29</v>
      </c>
      <c r="E429" s="15">
        <v>37</v>
      </c>
      <c r="F429" s="16" t="s">
        <v>72</v>
      </c>
      <c r="G429" s="16" t="s">
        <v>97</v>
      </c>
      <c r="H429" s="16" t="s">
        <v>32</v>
      </c>
      <c r="I429" s="16" t="s">
        <v>48</v>
      </c>
      <c r="J429" s="16" t="s">
        <v>34</v>
      </c>
      <c r="K429" s="17" t="s">
        <v>677</v>
      </c>
      <c r="M429" t="s">
        <v>36</v>
      </c>
      <c r="N429" t="s">
        <v>323</v>
      </c>
      <c r="O429" t="s">
        <v>60</v>
      </c>
      <c r="P429" s="15">
        <v>31</v>
      </c>
      <c r="Q429" s="18">
        <v>142024</v>
      </c>
      <c r="R429" s="19">
        <v>10</v>
      </c>
      <c r="S429" s="14">
        <v>4.9000000000000004</v>
      </c>
      <c r="T429" s="7">
        <v>56</v>
      </c>
      <c r="U429" s="15">
        <v>15</v>
      </c>
      <c r="V429" s="15">
        <v>54</v>
      </c>
      <c r="W429" s="15">
        <v>38</v>
      </c>
      <c r="X429" t="s">
        <v>39</v>
      </c>
      <c r="Y429" t="s">
        <v>78</v>
      </c>
      <c r="Z429" s="14">
        <v>9.6</v>
      </c>
      <c r="AA429" s="12">
        <f>YEAR(Table1[Hire_Date])</f>
        <v>2016</v>
      </c>
      <c r="AB42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430" spans="1:28" x14ac:dyDescent="0.25">
      <c r="A430" t="s">
        <v>1878</v>
      </c>
      <c r="B430" s="16" t="s">
        <v>1879</v>
      </c>
      <c r="C430" s="16" t="s">
        <v>1880</v>
      </c>
      <c r="D430" t="s">
        <v>44</v>
      </c>
      <c r="E430" s="15">
        <v>58</v>
      </c>
      <c r="F430" s="16" t="s">
        <v>103</v>
      </c>
      <c r="G430" s="16" t="s">
        <v>147</v>
      </c>
      <c r="H430" s="16" t="s">
        <v>32</v>
      </c>
      <c r="I430" s="16" t="s">
        <v>57</v>
      </c>
      <c r="J430" s="16" t="s">
        <v>34</v>
      </c>
      <c r="K430" s="17" t="s">
        <v>1881</v>
      </c>
      <c r="M430" t="s">
        <v>36</v>
      </c>
      <c r="N430" t="s">
        <v>654</v>
      </c>
      <c r="O430" t="s">
        <v>60</v>
      </c>
      <c r="P430" s="15">
        <v>18</v>
      </c>
      <c r="Q430" s="18">
        <v>45981</v>
      </c>
      <c r="R430" s="19">
        <v>11</v>
      </c>
      <c r="S430" s="14">
        <v>3.7</v>
      </c>
      <c r="T430" s="7">
        <v>96</v>
      </c>
      <c r="U430" s="15">
        <v>2</v>
      </c>
      <c r="V430" s="15">
        <v>43</v>
      </c>
      <c r="W430" s="15">
        <v>17</v>
      </c>
      <c r="X430" t="s">
        <v>61</v>
      </c>
      <c r="Y430" t="s">
        <v>78</v>
      </c>
      <c r="Z430" s="14">
        <v>8</v>
      </c>
      <c r="AA430" s="12">
        <f>YEAR(Table1[Hire_Date])</f>
        <v>2018</v>
      </c>
      <c r="AB43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431" spans="1:28" x14ac:dyDescent="0.25">
      <c r="A431" t="s">
        <v>1882</v>
      </c>
      <c r="B431" s="16" t="s">
        <v>1883</v>
      </c>
      <c r="C431" s="16" t="s">
        <v>1884</v>
      </c>
      <c r="D431" t="s">
        <v>29</v>
      </c>
      <c r="E431" s="15">
        <v>40</v>
      </c>
      <c r="F431" s="16" t="s">
        <v>45</v>
      </c>
      <c r="G431" s="16" t="s">
        <v>46</v>
      </c>
      <c r="H431" s="16" t="s">
        <v>56</v>
      </c>
      <c r="I431" s="16" t="s">
        <v>48</v>
      </c>
      <c r="J431" s="16" t="s">
        <v>49</v>
      </c>
      <c r="K431" s="17" t="s">
        <v>1885</v>
      </c>
      <c r="L431" s="17" t="s">
        <v>1886</v>
      </c>
      <c r="M431" t="s">
        <v>76</v>
      </c>
      <c r="N431" t="s">
        <v>588</v>
      </c>
      <c r="O431" t="s">
        <v>52</v>
      </c>
      <c r="P431" s="15">
        <v>15</v>
      </c>
      <c r="Q431" s="18">
        <v>149447</v>
      </c>
      <c r="R431" s="19">
        <v>21</v>
      </c>
      <c r="S431" s="14">
        <v>4.0999999999999996</v>
      </c>
      <c r="T431" s="7">
        <v>69</v>
      </c>
      <c r="U431" s="15">
        <v>2</v>
      </c>
      <c r="V431" s="15">
        <v>52</v>
      </c>
      <c r="W431" s="15">
        <v>73</v>
      </c>
      <c r="X431" t="s">
        <v>39</v>
      </c>
      <c r="Y431" t="s">
        <v>78</v>
      </c>
      <c r="Z431" s="14">
        <v>5.7</v>
      </c>
      <c r="AA431" s="12">
        <f>YEAR(Table1[Hire_Date])</f>
        <v>2020</v>
      </c>
      <c r="AB43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432" spans="1:28" x14ac:dyDescent="0.25">
      <c r="A432" t="s">
        <v>1887</v>
      </c>
      <c r="B432" s="16" t="s">
        <v>1888</v>
      </c>
      <c r="C432" s="16" t="s">
        <v>1889</v>
      </c>
      <c r="D432" t="s">
        <v>29</v>
      </c>
      <c r="E432" s="15">
        <v>33</v>
      </c>
      <c r="F432" s="16" t="s">
        <v>45</v>
      </c>
      <c r="G432" s="16" t="s">
        <v>46</v>
      </c>
      <c r="H432" s="16" t="s">
        <v>83</v>
      </c>
      <c r="I432" s="16" t="s">
        <v>48</v>
      </c>
      <c r="J432" s="16" t="s">
        <v>49</v>
      </c>
      <c r="K432" s="17" t="s">
        <v>1890</v>
      </c>
      <c r="L432" s="17" t="s">
        <v>1891</v>
      </c>
      <c r="M432" t="s">
        <v>76</v>
      </c>
      <c r="N432" t="s">
        <v>395</v>
      </c>
      <c r="O432" t="s">
        <v>52</v>
      </c>
      <c r="P432" s="15">
        <v>0</v>
      </c>
      <c r="Q432" s="18">
        <v>54945</v>
      </c>
      <c r="R432" s="19">
        <v>5</v>
      </c>
      <c r="S432" s="14">
        <v>2.8</v>
      </c>
      <c r="T432" s="7">
        <v>98</v>
      </c>
      <c r="U432" s="15">
        <v>3</v>
      </c>
      <c r="V432" s="15">
        <v>24</v>
      </c>
      <c r="W432" s="15">
        <v>38</v>
      </c>
      <c r="X432" t="s">
        <v>39</v>
      </c>
      <c r="Y432" t="s">
        <v>78</v>
      </c>
      <c r="Z432" s="14">
        <v>9.3000000000000007</v>
      </c>
      <c r="AA432" s="12">
        <f>YEAR(Table1[Hire_Date])</f>
        <v>2017</v>
      </c>
      <c r="AB43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433" spans="1:28" x14ac:dyDescent="0.25">
      <c r="A433" t="s">
        <v>1892</v>
      </c>
      <c r="B433" s="16" t="s">
        <v>1893</v>
      </c>
      <c r="C433" s="16" t="s">
        <v>1894</v>
      </c>
      <c r="D433" t="s">
        <v>29</v>
      </c>
      <c r="E433" s="15">
        <v>59</v>
      </c>
      <c r="F433" s="16" t="s">
        <v>30</v>
      </c>
      <c r="G433" s="16" t="s">
        <v>31</v>
      </c>
      <c r="H433" s="16" t="s">
        <v>83</v>
      </c>
      <c r="I433" s="16" t="s">
        <v>33</v>
      </c>
      <c r="J433" s="16" t="s">
        <v>34</v>
      </c>
      <c r="K433" s="17" t="s">
        <v>1729</v>
      </c>
      <c r="M433" t="s">
        <v>36</v>
      </c>
      <c r="N433" t="s">
        <v>323</v>
      </c>
      <c r="O433" t="s">
        <v>60</v>
      </c>
      <c r="P433" s="15">
        <v>30</v>
      </c>
      <c r="Q433" s="18">
        <v>146369</v>
      </c>
      <c r="R433" s="19">
        <v>15</v>
      </c>
      <c r="S433" s="14">
        <v>4.2</v>
      </c>
      <c r="T433" s="7">
        <v>86</v>
      </c>
      <c r="U433" s="15">
        <v>3</v>
      </c>
      <c r="V433" s="15">
        <v>16</v>
      </c>
      <c r="W433" s="15">
        <v>53</v>
      </c>
      <c r="X433" t="s">
        <v>61</v>
      </c>
      <c r="Y433" t="s">
        <v>62</v>
      </c>
      <c r="Z433" s="14">
        <v>0.7</v>
      </c>
      <c r="AA433" s="12">
        <f>YEAR(Table1[Hire_Date])</f>
        <v>2025</v>
      </c>
      <c r="AB43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434" spans="1:28" x14ac:dyDescent="0.25">
      <c r="A434" t="s">
        <v>1895</v>
      </c>
      <c r="B434" s="16" t="s">
        <v>1896</v>
      </c>
      <c r="C434" s="16" t="s">
        <v>1897</v>
      </c>
      <c r="D434" t="s">
        <v>29</v>
      </c>
      <c r="E434" s="15">
        <v>41</v>
      </c>
      <c r="F434" s="16" t="s">
        <v>45</v>
      </c>
      <c r="G434" s="16" t="s">
        <v>82</v>
      </c>
      <c r="H434" s="16" t="s">
        <v>32</v>
      </c>
      <c r="I434" s="16" t="s">
        <v>33</v>
      </c>
      <c r="J434" s="16" t="s">
        <v>49</v>
      </c>
      <c r="K434" s="17" t="s">
        <v>1898</v>
      </c>
      <c r="M434" t="s">
        <v>36</v>
      </c>
      <c r="N434" t="s">
        <v>536</v>
      </c>
      <c r="O434" t="s">
        <v>52</v>
      </c>
      <c r="P434" s="15">
        <v>9</v>
      </c>
      <c r="Q434" s="18">
        <v>119672</v>
      </c>
      <c r="R434" s="19">
        <v>18</v>
      </c>
      <c r="S434" s="14">
        <v>3.5</v>
      </c>
      <c r="T434" s="7">
        <v>79</v>
      </c>
      <c r="U434" s="15">
        <v>6</v>
      </c>
      <c r="V434" s="15">
        <v>40</v>
      </c>
      <c r="W434" s="15">
        <v>17</v>
      </c>
      <c r="X434" t="s">
        <v>39</v>
      </c>
      <c r="Y434" t="s">
        <v>40</v>
      </c>
      <c r="Z434" s="14">
        <v>1.4</v>
      </c>
      <c r="AA434" s="12">
        <f>YEAR(Table1[Hire_Date])</f>
        <v>2025</v>
      </c>
      <c r="AB43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435" spans="1:28" x14ac:dyDescent="0.25">
      <c r="A435" t="s">
        <v>1899</v>
      </c>
      <c r="B435" s="16" t="s">
        <v>1900</v>
      </c>
      <c r="C435" s="16" t="s">
        <v>1901</v>
      </c>
      <c r="D435" t="s">
        <v>44</v>
      </c>
      <c r="E435" s="15">
        <v>44</v>
      </c>
      <c r="F435" s="16" t="s">
        <v>72</v>
      </c>
      <c r="G435" s="16" t="s">
        <v>73</v>
      </c>
      <c r="H435" s="16" t="s">
        <v>47</v>
      </c>
      <c r="I435" s="16" t="s">
        <v>33</v>
      </c>
      <c r="J435" s="16" t="s">
        <v>34</v>
      </c>
      <c r="K435" s="17" t="s">
        <v>1902</v>
      </c>
      <c r="M435" t="s">
        <v>36</v>
      </c>
      <c r="N435" t="s">
        <v>77</v>
      </c>
      <c r="O435" t="s">
        <v>60</v>
      </c>
      <c r="P435" s="15">
        <v>12</v>
      </c>
      <c r="Q435" s="18">
        <v>137358</v>
      </c>
      <c r="R435" s="19">
        <v>23</v>
      </c>
      <c r="S435" s="14">
        <v>4.0999999999999996</v>
      </c>
      <c r="T435" s="7">
        <v>75</v>
      </c>
      <c r="U435" s="15">
        <v>6</v>
      </c>
      <c r="V435" s="15">
        <v>58</v>
      </c>
      <c r="W435" s="15">
        <v>68</v>
      </c>
      <c r="X435" t="s">
        <v>39</v>
      </c>
      <c r="Y435" t="s">
        <v>78</v>
      </c>
      <c r="Z435" s="14">
        <v>1.8</v>
      </c>
      <c r="AA435" s="12">
        <f>YEAR(Table1[Hire_Date])</f>
        <v>2024</v>
      </c>
      <c r="AB43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436" spans="1:28" x14ac:dyDescent="0.25">
      <c r="A436" t="s">
        <v>1903</v>
      </c>
      <c r="B436" s="16" t="s">
        <v>1904</v>
      </c>
      <c r="C436" s="16" t="s">
        <v>1905</v>
      </c>
      <c r="D436" t="s">
        <v>29</v>
      </c>
      <c r="E436" s="15">
        <v>55</v>
      </c>
      <c r="F436" s="16" t="s">
        <v>72</v>
      </c>
      <c r="G436" s="16" t="s">
        <v>135</v>
      </c>
      <c r="H436" s="16" t="s">
        <v>66</v>
      </c>
      <c r="I436" s="16" t="s">
        <v>57</v>
      </c>
      <c r="J436" s="16" t="s">
        <v>34</v>
      </c>
      <c r="K436" s="17" t="s">
        <v>1906</v>
      </c>
      <c r="M436" t="s">
        <v>36</v>
      </c>
      <c r="N436" t="s">
        <v>224</v>
      </c>
      <c r="O436" t="s">
        <v>38</v>
      </c>
      <c r="P436" s="15">
        <v>26</v>
      </c>
      <c r="Q436" s="18">
        <v>102246</v>
      </c>
      <c r="R436" s="19">
        <v>20</v>
      </c>
      <c r="S436" s="14">
        <v>4.5999999999999996</v>
      </c>
      <c r="T436" s="7">
        <v>72</v>
      </c>
      <c r="U436" s="15">
        <v>7</v>
      </c>
      <c r="V436" s="15">
        <v>34</v>
      </c>
      <c r="W436" s="15">
        <v>72</v>
      </c>
      <c r="X436" t="s">
        <v>39</v>
      </c>
      <c r="Y436" t="s">
        <v>62</v>
      </c>
      <c r="Z436" s="14">
        <v>0.5</v>
      </c>
      <c r="AA436" s="12">
        <f>YEAR(Table1[Hire_Date])</f>
        <v>2026</v>
      </c>
      <c r="AB43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437" spans="1:28" x14ac:dyDescent="0.25">
      <c r="A437" t="s">
        <v>1907</v>
      </c>
      <c r="B437" s="16" t="s">
        <v>1908</v>
      </c>
      <c r="C437" s="16" t="s">
        <v>1909</v>
      </c>
      <c r="D437" t="s">
        <v>44</v>
      </c>
      <c r="E437" s="15">
        <v>59</v>
      </c>
      <c r="F437" s="16" t="s">
        <v>124</v>
      </c>
      <c r="G437" s="16" t="s">
        <v>141</v>
      </c>
      <c r="H437" s="16" t="s">
        <v>83</v>
      </c>
      <c r="I437" s="16" t="s">
        <v>33</v>
      </c>
      <c r="J437" s="16" t="s">
        <v>34</v>
      </c>
      <c r="K437" s="17" t="s">
        <v>1910</v>
      </c>
      <c r="M437" t="s">
        <v>36</v>
      </c>
      <c r="N437" t="s">
        <v>593</v>
      </c>
      <c r="O437" t="s">
        <v>60</v>
      </c>
      <c r="P437" s="15">
        <v>19</v>
      </c>
      <c r="Q437" s="18">
        <v>73502</v>
      </c>
      <c r="R437" s="19">
        <v>13</v>
      </c>
      <c r="S437" s="14">
        <v>3.4</v>
      </c>
      <c r="T437" s="7">
        <v>86</v>
      </c>
      <c r="U437" s="15">
        <v>7</v>
      </c>
      <c r="V437" s="15">
        <v>4</v>
      </c>
      <c r="W437" s="15">
        <v>8</v>
      </c>
      <c r="X437" t="s">
        <v>39</v>
      </c>
      <c r="Y437" t="s">
        <v>62</v>
      </c>
      <c r="Z437" s="14">
        <v>9.3000000000000007</v>
      </c>
      <c r="AA437" s="12">
        <f>YEAR(Table1[Hire_Date])</f>
        <v>2017</v>
      </c>
      <c r="AB43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438" spans="1:28" x14ac:dyDescent="0.25">
      <c r="A438" t="s">
        <v>1911</v>
      </c>
      <c r="B438" s="16" t="s">
        <v>1912</v>
      </c>
      <c r="C438" s="16" t="s">
        <v>1913</v>
      </c>
      <c r="D438" t="s">
        <v>29</v>
      </c>
      <c r="E438" s="15">
        <v>30</v>
      </c>
      <c r="F438" s="16" t="s">
        <v>45</v>
      </c>
      <c r="G438" s="16" t="s">
        <v>46</v>
      </c>
      <c r="H438" s="16" t="s">
        <v>56</v>
      </c>
      <c r="I438" s="16" t="s">
        <v>33</v>
      </c>
      <c r="J438" s="16" t="s">
        <v>49</v>
      </c>
      <c r="K438" s="17" t="s">
        <v>1914</v>
      </c>
      <c r="M438" t="s">
        <v>36</v>
      </c>
      <c r="N438" t="s">
        <v>277</v>
      </c>
      <c r="O438" t="s">
        <v>52</v>
      </c>
      <c r="P438" s="15">
        <v>0</v>
      </c>
      <c r="Q438" s="18">
        <v>118419</v>
      </c>
      <c r="R438" s="19">
        <v>21</v>
      </c>
      <c r="S438" s="14">
        <v>3.6</v>
      </c>
      <c r="T438" s="7">
        <v>53</v>
      </c>
      <c r="U438" s="15">
        <v>3</v>
      </c>
      <c r="V438" s="15">
        <v>22</v>
      </c>
      <c r="W438" s="15">
        <v>38</v>
      </c>
      <c r="X438" t="s">
        <v>61</v>
      </c>
      <c r="Y438" t="s">
        <v>62</v>
      </c>
      <c r="Z438" s="14">
        <v>6.8</v>
      </c>
      <c r="AA438" s="12">
        <f>YEAR(Table1[Hire_Date])</f>
        <v>2019</v>
      </c>
      <c r="AB43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439" spans="1:28" x14ac:dyDescent="0.25">
      <c r="A439" t="s">
        <v>1915</v>
      </c>
      <c r="B439" s="16" t="s">
        <v>1916</v>
      </c>
      <c r="C439" s="16" t="s">
        <v>1917</v>
      </c>
      <c r="D439" t="s">
        <v>44</v>
      </c>
      <c r="E439" s="15">
        <v>44</v>
      </c>
      <c r="F439" s="16" t="s">
        <v>72</v>
      </c>
      <c r="G439" s="16" t="s">
        <v>97</v>
      </c>
      <c r="H439" s="16" t="s">
        <v>56</v>
      </c>
      <c r="I439" s="16" t="s">
        <v>57</v>
      </c>
      <c r="J439" s="16" t="s">
        <v>34</v>
      </c>
      <c r="K439" s="17" t="s">
        <v>1918</v>
      </c>
      <c r="M439" t="s">
        <v>36</v>
      </c>
      <c r="N439" t="s">
        <v>199</v>
      </c>
      <c r="O439" t="s">
        <v>52</v>
      </c>
      <c r="P439" s="15">
        <v>23</v>
      </c>
      <c r="Q439" s="18">
        <v>87881</v>
      </c>
      <c r="R439" s="19">
        <v>25</v>
      </c>
      <c r="S439" s="14">
        <v>3.7</v>
      </c>
      <c r="T439" s="7">
        <v>61</v>
      </c>
      <c r="U439" s="15">
        <v>20</v>
      </c>
      <c r="V439" s="15">
        <v>52</v>
      </c>
      <c r="W439" s="15">
        <v>62</v>
      </c>
      <c r="X439" t="s">
        <v>39</v>
      </c>
      <c r="Y439" t="s">
        <v>62</v>
      </c>
      <c r="Z439" s="14">
        <v>9.1999999999999993</v>
      </c>
      <c r="AA439" s="12">
        <f>YEAR(Table1[Hire_Date])</f>
        <v>2017</v>
      </c>
      <c r="AB43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440" spans="1:28" x14ac:dyDescent="0.25">
      <c r="A440" t="s">
        <v>1919</v>
      </c>
      <c r="B440" s="16" t="s">
        <v>1920</v>
      </c>
      <c r="C440" s="16" t="s">
        <v>1921</v>
      </c>
      <c r="D440" t="s">
        <v>44</v>
      </c>
      <c r="E440" s="15">
        <v>36</v>
      </c>
      <c r="F440" s="16" t="s">
        <v>30</v>
      </c>
      <c r="G440" s="16" t="s">
        <v>31</v>
      </c>
      <c r="H440" s="16" t="s">
        <v>83</v>
      </c>
      <c r="I440" s="16" t="s">
        <v>33</v>
      </c>
      <c r="J440" s="16" t="s">
        <v>34</v>
      </c>
      <c r="K440" s="17" t="s">
        <v>1922</v>
      </c>
      <c r="M440" t="s">
        <v>36</v>
      </c>
      <c r="N440" t="s">
        <v>111</v>
      </c>
      <c r="O440" t="s">
        <v>38</v>
      </c>
      <c r="P440" s="15">
        <v>16</v>
      </c>
      <c r="Q440" s="18">
        <v>56841</v>
      </c>
      <c r="R440" s="19">
        <v>21</v>
      </c>
      <c r="S440" s="14">
        <v>3.7</v>
      </c>
      <c r="T440" s="7">
        <v>86</v>
      </c>
      <c r="U440" s="15">
        <v>15</v>
      </c>
      <c r="V440" s="15">
        <v>18</v>
      </c>
      <c r="W440" s="15">
        <v>23</v>
      </c>
      <c r="X440" t="s">
        <v>61</v>
      </c>
      <c r="Y440" t="s">
        <v>62</v>
      </c>
      <c r="Z440" s="14">
        <v>3</v>
      </c>
      <c r="AA440" s="12">
        <f>YEAR(Table1[Hire_Date])</f>
        <v>2023</v>
      </c>
      <c r="AB44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441" spans="1:28" x14ac:dyDescent="0.25">
      <c r="A441" t="s">
        <v>1923</v>
      </c>
      <c r="B441" s="16" t="s">
        <v>1924</v>
      </c>
      <c r="C441" s="16" t="s">
        <v>1925</v>
      </c>
      <c r="D441" t="s">
        <v>44</v>
      </c>
      <c r="E441" s="15">
        <v>33</v>
      </c>
      <c r="F441" s="16" t="s">
        <v>45</v>
      </c>
      <c r="G441" s="16" t="s">
        <v>46</v>
      </c>
      <c r="H441" s="16" t="s">
        <v>47</v>
      </c>
      <c r="I441" s="16" t="s">
        <v>48</v>
      </c>
      <c r="J441" s="16" t="s">
        <v>49</v>
      </c>
      <c r="K441" s="17" t="s">
        <v>1926</v>
      </c>
      <c r="M441" t="s">
        <v>36</v>
      </c>
      <c r="N441" t="s">
        <v>219</v>
      </c>
      <c r="O441" t="s">
        <v>52</v>
      </c>
      <c r="P441" s="15">
        <v>7</v>
      </c>
      <c r="Q441" s="18">
        <v>135340</v>
      </c>
      <c r="R441" s="19">
        <v>22</v>
      </c>
      <c r="S441" s="14">
        <v>3.7</v>
      </c>
      <c r="T441" s="7">
        <v>72</v>
      </c>
      <c r="U441" s="15">
        <v>18</v>
      </c>
      <c r="V441" s="15">
        <v>3</v>
      </c>
      <c r="W441" s="15">
        <v>29</v>
      </c>
      <c r="X441" t="s">
        <v>39</v>
      </c>
      <c r="Y441" t="s">
        <v>40</v>
      </c>
      <c r="Z441" s="14">
        <v>0.4</v>
      </c>
      <c r="AA441" s="12">
        <f>YEAR(Table1[Hire_Date])</f>
        <v>2026</v>
      </c>
      <c r="AB44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442" spans="1:28" x14ac:dyDescent="0.25">
      <c r="A442" t="s">
        <v>1927</v>
      </c>
      <c r="B442" s="16" t="s">
        <v>1928</v>
      </c>
      <c r="C442" s="16" t="s">
        <v>1929</v>
      </c>
      <c r="D442" t="s">
        <v>29</v>
      </c>
      <c r="E442" s="15">
        <v>28</v>
      </c>
      <c r="F442" s="16" t="s">
        <v>72</v>
      </c>
      <c r="G442" s="16" t="s">
        <v>97</v>
      </c>
      <c r="H442" s="16" t="s">
        <v>56</v>
      </c>
      <c r="I442" s="16" t="s">
        <v>33</v>
      </c>
      <c r="J442" s="16" t="s">
        <v>34</v>
      </c>
      <c r="K442" s="17" t="s">
        <v>1930</v>
      </c>
      <c r="M442" t="s">
        <v>36</v>
      </c>
      <c r="N442" t="s">
        <v>224</v>
      </c>
      <c r="O442" t="s">
        <v>60</v>
      </c>
      <c r="P442" s="15">
        <v>29</v>
      </c>
      <c r="Q442" s="18">
        <v>151168</v>
      </c>
      <c r="R442" s="19">
        <v>15</v>
      </c>
      <c r="S442" s="14">
        <v>4.3</v>
      </c>
      <c r="T442" s="7">
        <v>61</v>
      </c>
      <c r="U442" s="15">
        <v>18</v>
      </c>
      <c r="V442" s="15">
        <v>50</v>
      </c>
      <c r="W442" s="15">
        <v>7</v>
      </c>
      <c r="X442" t="s">
        <v>39</v>
      </c>
      <c r="Y442" t="s">
        <v>40</v>
      </c>
      <c r="Z442" s="14">
        <v>1</v>
      </c>
      <c r="AA442" s="12">
        <f>YEAR(Table1[Hire_Date])</f>
        <v>2025</v>
      </c>
      <c r="AB44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443" spans="1:28" x14ac:dyDescent="0.25">
      <c r="A443" t="s">
        <v>1931</v>
      </c>
      <c r="B443" s="16" t="s">
        <v>1932</v>
      </c>
      <c r="C443" s="16" t="s">
        <v>1933</v>
      </c>
      <c r="D443" t="s">
        <v>44</v>
      </c>
      <c r="E443" s="15">
        <v>31</v>
      </c>
      <c r="F443" s="16" t="s">
        <v>30</v>
      </c>
      <c r="G443" s="16" t="s">
        <v>31</v>
      </c>
      <c r="H443" s="16" t="s">
        <v>83</v>
      </c>
      <c r="I443" s="16" t="s">
        <v>57</v>
      </c>
      <c r="J443" s="16" t="s">
        <v>34</v>
      </c>
      <c r="K443" s="17" t="s">
        <v>1934</v>
      </c>
      <c r="M443" t="s">
        <v>36</v>
      </c>
      <c r="N443" t="s">
        <v>367</v>
      </c>
      <c r="O443" t="s">
        <v>52</v>
      </c>
      <c r="P443" s="15">
        <v>11</v>
      </c>
      <c r="Q443" s="18">
        <v>87885</v>
      </c>
      <c r="R443" s="19">
        <v>22</v>
      </c>
      <c r="S443" s="14">
        <v>4.4000000000000004</v>
      </c>
      <c r="T443" s="7">
        <v>79</v>
      </c>
      <c r="U443" s="15">
        <v>19</v>
      </c>
      <c r="V443" s="15">
        <v>39</v>
      </c>
      <c r="W443" s="15">
        <v>4</v>
      </c>
      <c r="X443" t="s">
        <v>61</v>
      </c>
      <c r="Y443" t="s">
        <v>40</v>
      </c>
      <c r="Z443" s="14">
        <v>9.9</v>
      </c>
      <c r="AA443" s="12">
        <f>YEAR(Table1[Hire_Date])</f>
        <v>2016</v>
      </c>
      <c r="AB44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444" spans="1:28" x14ac:dyDescent="0.25">
      <c r="A444" t="s">
        <v>1935</v>
      </c>
      <c r="B444" s="16" t="s">
        <v>1936</v>
      </c>
      <c r="C444" s="16" t="s">
        <v>1937</v>
      </c>
      <c r="D444" t="s">
        <v>29</v>
      </c>
      <c r="E444" s="15">
        <v>51</v>
      </c>
      <c r="F444" s="16" t="s">
        <v>72</v>
      </c>
      <c r="G444" s="16" t="s">
        <v>73</v>
      </c>
      <c r="H444" s="16" t="s">
        <v>66</v>
      </c>
      <c r="I444" s="16" t="s">
        <v>57</v>
      </c>
      <c r="J444" s="16" t="s">
        <v>49</v>
      </c>
      <c r="K444" s="17" t="s">
        <v>1938</v>
      </c>
      <c r="M444" t="s">
        <v>36</v>
      </c>
      <c r="N444" t="s">
        <v>328</v>
      </c>
      <c r="O444" t="s">
        <v>38</v>
      </c>
      <c r="P444" s="15">
        <v>26</v>
      </c>
      <c r="Q444" s="18">
        <v>110833</v>
      </c>
      <c r="R444" s="19">
        <v>18</v>
      </c>
      <c r="S444" s="14">
        <v>4.7</v>
      </c>
      <c r="T444" s="7">
        <v>55</v>
      </c>
      <c r="U444" s="15">
        <v>19</v>
      </c>
      <c r="V444" s="15">
        <v>9</v>
      </c>
      <c r="W444" s="15">
        <v>59</v>
      </c>
      <c r="X444" t="s">
        <v>61</v>
      </c>
      <c r="Y444" t="s">
        <v>78</v>
      </c>
      <c r="Z444" s="14">
        <v>0.8</v>
      </c>
      <c r="AA444" s="12">
        <f>YEAR(Table1[Hire_Date])</f>
        <v>2025</v>
      </c>
      <c r="AB44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445" spans="1:28" x14ac:dyDescent="0.25">
      <c r="A445" t="s">
        <v>1939</v>
      </c>
      <c r="B445" s="16" t="s">
        <v>1940</v>
      </c>
      <c r="C445" s="16" t="s">
        <v>1941</v>
      </c>
      <c r="D445" t="s">
        <v>29</v>
      </c>
      <c r="E445" s="15">
        <v>22</v>
      </c>
      <c r="F445" s="16" t="s">
        <v>30</v>
      </c>
      <c r="G445" s="16" t="s">
        <v>13</v>
      </c>
      <c r="H445" s="16" t="s">
        <v>32</v>
      </c>
      <c r="I445" s="16" t="s">
        <v>57</v>
      </c>
      <c r="J445" s="16" t="s">
        <v>34</v>
      </c>
      <c r="K445" s="17" t="s">
        <v>1942</v>
      </c>
      <c r="M445" t="s">
        <v>36</v>
      </c>
      <c r="N445" t="s">
        <v>380</v>
      </c>
      <c r="O445" t="s">
        <v>38</v>
      </c>
      <c r="P445" s="15">
        <v>17</v>
      </c>
      <c r="Q445" s="18">
        <v>101304</v>
      </c>
      <c r="R445" s="19">
        <v>13</v>
      </c>
      <c r="S445" s="14">
        <v>3.7</v>
      </c>
      <c r="T445" s="7">
        <v>74</v>
      </c>
      <c r="U445" s="15">
        <v>13</v>
      </c>
      <c r="V445" s="15">
        <v>18</v>
      </c>
      <c r="W445" s="15">
        <v>8</v>
      </c>
      <c r="X445" t="s">
        <v>39</v>
      </c>
      <c r="Y445" t="s">
        <v>62</v>
      </c>
      <c r="Z445" s="14">
        <v>5.7</v>
      </c>
      <c r="AA445" s="12">
        <f>YEAR(Table1[Hire_Date])</f>
        <v>2020</v>
      </c>
      <c r="AB44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446" spans="1:28" x14ac:dyDescent="0.25">
      <c r="A446" t="s">
        <v>1943</v>
      </c>
      <c r="B446" s="16" t="s">
        <v>1944</v>
      </c>
      <c r="C446" s="16" t="s">
        <v>1945</v>
      </c>
      <c r="D446" t="s">
        <v>29</v>
      </c>
      <c r="E446" s="15">
        <v>47</v>
      </c>
      <c r="F446" s="16" t="s">
        <v>103</v>
      </c>
      <c r="G446" s="16" t="s">
        <v>13</v>
      </c>
      <c r="H446" s="16" t="s">
        <v>32</v>
      </c>
      <c r="I446" s="16" t="s">
        <v>48</v>
      </c>
      <c r="J446" s="16" t="s">
        <v>49</v>
      </c>
      <c r="K446" s="17" t="s">
        <v>1267</v>
      </c>
      <c r="M446" t="s">
        <v>36</v>
      </c>
      <c r="N446" t="s">
        <v>348</v>
      </c>
      <c r="O446" t="s">
        <v>52</v>
      </c>
      <c r="P446" s="15">
        <v>20</v>
      </c>
      <c r="Q446" s="18">
        <v>64407</v>
      </c>
      <c r="R446" s="19">
        <v>9</v>
      </c>
      <c r="S446" s="14">
        <v>2.8</v>
      </c>
      <c r="T446" s="7">
        <v>62</v>
      </c>
      <c r="U446" s="15">
        <v>12</v>
      </c>
      <c r="V446" s="15">
        <v>28</v>
      </c>
      <c r="W446" s="15">
        <v>26</v>
      </c>
      <c r="X446" t="s">
        <v>61</v>
      </c>
      <c r="Y446" t="s">
        <v>78</v>
      </c>
      <c r="Z446" s="14">
        <v>6.6</v>
      </c>
      <c r="AA446" s="12">
        <f>YEAR(Table1[Hire_Date])</f>
        <v>2020</v>
      </c>
      <c r="AB44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447" spans="1:28" x14ac:dyDescent="0.25">
      <c r="A447" t="s">
        <v>1946</v>
      </c>
      <c r="B447" s="16" t="s">
        <v>1947</v>
      </c>
      <c r="C447" s="16" t="s">
        <v>1948</v>
      </c>
      <c r="D447" t="s">
        <v>29</v>
      </c>
      <c r="E447" s="15">
        <v>35</v>
      </c>
      <c r="F447" s="16" t="s">
        <v>72</v>
      </c>
      <c r="G447" s="16" t="s">
        <v>97</v>
      </c>
      <c r="H447" s="16" t="s">
        <v>83</v>
      </c>
      <c r="I447" s="16" t="s">
        <v>57</v>
      </c>
      <c r="J447" s="16" t="s">
        <v>34</v>
      </c>
      <c r="K447" s="17" t="s">
        <v>1949</v>
      </c>
      <c r="L447" s="17" t="s">
        <v>1950</v>
      </c>
      <c r="M447" t="s">
        <v>76</v>
      </c>
      <c r="N447" t="s">
        <v>691</v>
      </c>
      <c r="O447" t="s">
        <v>60</v>
      </c>
      <c r="P447" s="15">
        <v>24</v>
      </c>
      <c r="Q447" s="18">
        <v>143704</v>
      </c>
      <c r="R447" s="19">
        <v>23</v>
      </c>
      <c r="S447" s="14">
        <v>3.7</v>
      </c>
      <c r="T447" s="7">
        <v>72</v>
      </c>
      <c r="U447" s="15">
        <v>16</v>
      </c>
      <c r="V447" s="15">
        <v>52</v>
      </c>
      <c r="W447" s="15">
        <v>43</v>
      </c>
      <c r="X447" t="s">
        <v>39</v>
      </c>
      <c r="Y447" t="s">
        <v>78</v>
      </c>
      <c r="Z447" s="14">
        <v>4.8</v>
      </c>
      <c r="AA447" s="12">
        <f>YEAR(Table1[Hire_Date])</f>
        <v>2021</v>
      </c>
      <c r="AB44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448" spans="1:28" x14ac:dyDescent="0.25">
      <c r="A448" t="s">
        <v>1951</v>
      </c>
      <c r="B448" s="16" t="s">
        <v>1952</v>
      </c>
      <c r="C448" s="16" t="s">
        <v>1953</v>
      </c>
      <c r="D448" t="s">
        <v>44</v>
      </c>
      <c r="E448" s="15">
        <v>49</v>
      </c>
      <c r="F448" s="16" t="s">
        <v>103</v>
      </c>
      <c r="G448" s="16" t="s">
        <v>13</v>
      </c>
      <c r="H448" s="16" t="s">
        <v>56</v>
      </c>
      <c r="I448" s="16" t="s">
        <v>33</v>
      </c>
      <c r="J448" s="16" t="s">
        <v>49</v>
      </c>
      <c r="K448" s="17" t="s">
        <v>1954</v>
      </c>
      <c r="M448" t="s">
        <v>36</v>
      </c>
      <c r="N448" t="s">
        <v>337</v>
      </c>
      <c r="O448" t="s">
        <v>60</v>
      </c>
      <c r="P448" s="15">
        <v>34</v>
      </c>
      <c r="Q448" s="18">
        <v>172225</v>
      </c>
      <c r="R448" s="19">
        <v>10</v>
      </c>
      <c r="S448" s="14">
        <v>3.9</v>
      </c>
      <c r="T448" s="7">
        <v>61</v>
      </c>
      <c r="U448" s="15">
        <v>0</v>
      </c>
      <c r="V448" s="15">
        <v>47</v>
      </c>
      <c r="W448" s="15">
        <v>68</v>
      </c>
      <c r="X448" t="s">
        <v>61</v>
      </c>
      <c r="Y448" t="s">
        <v>62</v>
      </c>
      <c r="Z448" s="14">
        <v>0.6</v>
      </c>
      <c r="AA448" s="12">
        <f>YEAR(Table1[Hire_Date])</f>
        <v>2025</v>
      </c>
      <c r="AB44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449" spans="1:28" x14ac:dyDescent="0.25">
      <c r="A449" t="s">
        <v>1955</v>
      </c>
      <c r="B449" s="16" t="s">
        <v>1956</v>
      </c>
      <c r="C449" s="16" t="s">
        <v>1957</v>
      </c>
      <c r="D449" t="s">
        <v>29</v>
      </c>
      <c r="E449" s="15">
        <v>29</v>
      </c>
      <c r="F449" s="16" t="s">
        <v>90</v>
      </c>
      <c r="G449" s="16" t="s">
        <v>13</v>
      </c>
      <c r="H449" s="16" t="s">
        <v>83</v>
      </c>
      <c r="I449" s="16" t="s">
        <v>48</v>
      </c>
      <c r="J449" s="16" t="s">
        <v>34</v>
      </c>
      <c r="K449" s="17" t="s">
        <v>1958</v>
      </c>
      <c r="M449" t="s">
        <v>36</v>
      </c>
      <c r="N449" t="s">
        <v>337</v>
      </c>
      <c r="O449" t="s">
        <v>52</v>
      </c>
      <c r="P449" s="15">
        <v>35</v>
      </c>
      <c r="Q449" s="18">
        <v>44407</v>
      </c>
      <c r="R449" s="19">
        <v>23</v>
      </c>
      <c r="S449" s="14">
        <v>4</v>
      </c>
      <c r="T449" s="7">
        <v>58</v>
      </c>
      <c r="U449" s="15">
        <v>17</v>
      </c>
      <c r="V449" s="15">
        <v>29</v>
      </c>
      <c r="W449" s="15">
        <v>14</v>
      </c>
      <c r="X449" t="s">
        <v>39</v>
      </c>
      <c r="Y449" t="s">
        <v>40</v>
      </c>
      <c r="Z449" s="14">
        <v>8.6999999999999993</v>
      </c>
      <c r="AA449" s="12">
        <f>YEAR(Table1[Hire_Date])</f>
        <v>2017</v>
      </c>
      <c r="AB44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450" spans="1:28" x14ac:dyDescent="0.25">
      <c r="A450" t="s">
        <v>1959</v>
      </c>
      <c r="B450" s="16" t="s">
        <v>1960</v>
      </c>
      <c r="C450" s="16" t="s">
        <v>1961</v>
      </c>
      <c r="D450" t="s">
        <v>29</v>
      </c>
      <c r="E450" s="15">
        <v>34</v>
      </c>
      <c r="F450" s="16" t="s">
        <v>90</v>
      </c>
      <c r="G450" s="16" t="s">
        <v>13</v>
      </c>
      <c r="H450" s="16" t="s">
        <v>32</v>
      </c>
      <c r="I450" s="16" t="s">
        <v>48</v>
      </c>
      <c r="J450" s="16" t="s">
        <v>34</v>
      </c>
      <c r="K450" s="17" t="s">
        <v>648</v>
      </c>
      <c r="M450" t="s">
        <v>36</v>
      </c>
      <c r="N450" t="s">
        <v>505</v>
      </c>
      <c r="O450" t="s">
        <v>60</v>
      </c>
      <c r="P450" s="15">
        <v>27</v>
      </c>
      <c r="Q450" s="18">
        <v>143516</v>
      </c>
      <c r="R450" s="19">
        <v>16</v>
      </c>
      <c r="S450" s="14">
        <v>2.6</v>
      </c>
      <c r="T450" s="7">
        <v>100</v>
      </c>
      <c r="U450" s="15">
        <v>20</v>
      </c>
      <c r="V450" s="15">
        <v>37</v>
      </c>
      <c r="W450" s="15">
        <v>18</v>
      </c>
      <c r="X450" t="s">
        <v>39</v>
      </c>
      <c r="Y450" t="s">
        <v>78</v>
      </c>
      <c r="Z450" s="14">
        <v>5.3</v>
      </c>
      <c r="AA450" s="12">
        <f>YEAR(Table1[Hire_Date])</f>
        <v>2021</v>
      </c>
      <c r="AB45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451" spans="1:28" x14ac:dyDescent="0.25">
      <c r="A451" t="s">
        <v>1962</v>
      </c>
      <c r="B451" s="16" t="s">
        <v>1963</v>
      </c>
      <c r="C451" s="16" t="s">
        <v>1964</v>
      </c>
      <c r="D451" t="s">
        <v>29</v>
      </c>
      <c r="E451" s="15">
        <v>32</v>
      </c>
      <c r="F451" s="16" t="s">
        <v>124</v>
      </c>
      <c r="G451" s="16" t="s">
        <v>104</v>
      </c>
      <c r="H451" s="16" t="s">
        <v>83</v>
      </c>
      <c r="I451" s="16" t="s">
        <v>57</v>
      </c>
      <c r="J451" s="16" t="s">
        <v>49</v>
      </c>
      <c r="K451" s="17" t="s">
        <v>1965</v>
      </c>
      <c r="M451" t="s">
        <v>36</v>
      </c>
      <c r="N451" t="s">
        <v>68</v>
      </c>
      <c r="O451" t="s">
        <v>38</v>
      </c>
      <c r="P451" s="15">
        <v>25</v>
      </c>
      <c r="Q451" s="18">
        <v>45993</v>
      </c>
      <c r="R451" s="19">
        <v>19</v>
      </c>
      <c r="S451" s="14">
        <v>4.5</v>
      </c>
      <c r="T451" s="7">
        <v>59</v>
      </c>
      <c r="U451" s="15">
        <v>16</v>
      </c>
      <c r="V451" s="15">
        <v>4</v>
      </c>
      <c r="W451" s="15">
        <v>59</v>
      </c>
      <c r="X451" t="s">
        <v>39</v>
      </c>
      <c r="Y451" t="s">
        <v>40</v>
      </c>
      <c r="Z451" s="14">
        <v>6</v>
      </c>
      <c r="AA451" s="12">
        <f>YEAR(Table1[Hire_Date])</f>
        <v>2020</v>
      </c>
      <c r="AB45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452" spans="1:28" x14ac:dyDescent="0.25">
      <c r="A452" t="s">
        <v>1966</v>
      </c>
      <c r="B452" s="16" t="s">
        <v>1967</v>
      </c>
      <c r="C452" s="16" t="s">
        <v>1968</v>
      </c>
      <c r="D452" t="s">
        <v>44</v>
      </c>
      <c r="E452" s="15">
        <v>38</v>
      </c>
      <c r="F452" s="16" t="s">
        <v>124</v>
      </c>
      <c r="G452" s="16" t="s">
        <v>141</v>
      </c>
      <c r="H452" s="16" t="s">
        <v>56</v>
      </c>
      <c r="I452" s="16" t="s">
        <v>33</v>
      </c>
      <c r="J452" s="16" t="s">
        <v>49</v>
      </c>
      <c r="K452" s="17" t="s">
        <v>1969</v>
      </c>
      <c r="M452" t="s">
        <v>36</v>
      </c>
      <c r="N452" t="s">
        <v>234</v>
      </c>
      <c r="O452" t="s">
        <v>52</v>
      </c>
      <c r="P452" s="15">
        <v>19</v>
      </c>
      <c r="Q452" s="18">
        <v>119114</v>
      </c>
      <c r="R452" s="19">
        <v>5</v>
      </c>
      <c r="S452" s="14">
        <v>3.8</v>
      </c>
      <c r="T452" s="7">
        <v>62</v>
      </c>
      <c r="U452" s="15">
        <v>17</v>
      </c>
      <c r="V452" s="15">
        <v>36</v>
      </c>
      <c r="W452" s="15">
        <v>33</v>
      </c>
      <c r="X452" t="s">
        <v>39</v>
      </c>
      <c r="Y452" t="s">
        <v>62</v>
      </c>
      <c r="Z452" s="14">
        <v>7</v>
      </c>
      <c r="AA452" s="12">
        <f>YEAR(Table1[Hire_Date])</f>
        <v>2019</v>
      </c>
      <c r="AB45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453" spans="1:28" x14ac:dyDescent="0.25">
      <c r="A453" t="s">
        <v>1970</v>
      </c>
      <c r="B453" s="16" t="s">
        <v>1971</v>
      </c>
      <c r="C453" s="16" t="s">
        <v>1972</v>
      </c>
      <c r="D453" t="s">
        <v>29</v>
      </c>
      <c r="E453" s="15">
        <v>60</v>
      </c>
      <c r="F453" s="16" t="s">
        <v>103</v>
      </c>
      <c r="G453" s="16" t="s">
        <v>104</v>
      </c>
      <c r="H453" s="16" t="s">
        <v>83</v>
      </c>
      <c r="I453" s="16" t="s">
        <v>48</v>
      </c>
      <c r="J453" s="16" t="s">
        <v>49</v>
      </c>
      <c r="K453" s="17" t="s">
        <v>1973</v>
      </c>
      <c r="M453" t="s">
        <v>36</v>
      </c>
      <c r="N453" t="s">
        <v>37</v>
      </c>
      <c r="O453" t="s">
        <v>60</v>
      </c>
      <c r="P453" s="15">
        <v>10</v>
      </c>
      <c r="Q453" s="18">
        <v>54616</v>
      </c>
      <c r="R453" s="19">
        <v>21</v>
      </c>
      <c r="S453" s="14">
        <v>4.7</v>
      </c>
      <c r="T453" s="7">
        <v>99</v>
      </c>
      <c r="U453" s="15">
        <v>3</v>
      </c>
      <c r="V453" s="15">
        <v>8</v>
      </c>
      <c r="W453" s="15">
        <v>71</v>
      </c>
      <c r="X453" t="s">
        <v>61</v>
      </c>
      <c r="Y453" t="s">
        <v>78</v>
      </c>
      <c r="Z453" s="14">
        <v>1.2</v>
      </c>
      <c r="AA453" s="12">
        <f>YEAR(Table1[Hire_Date])</f>
        <v>2025</v>
      </c>
      <c r="AB45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454" spans="1:28" x14ac:dyDescent="0.25">
      <c r="A454" t="s">
        <v>1974</v>
      </c>
      <c r="B454" s="16" t="s">
        <v>1975</v>
      </c>
      <c r="C454" s="16" t="s">
        <v>1976</v>
      </c>
      <c r="D454" t="s">
        <v>29</v>
      </c>
      <c r="E454" s="15">
        <v>40</v>
      </c>
      <c r="F454" s="16" t="s">
        <v>45</v>
      </c>
      <c r="G454" s="16" t="s">
        <v>82</v>
      </c>
      <c r="H454" s="16" t="s">
        <v>32</v>
      </c>
      <c r="I454" s="16" t="s">
        <v>33</v>
      </c>
      <c r="J454" s="16" t="s">
        <v>34</v>
      </c>
      <c r="K454" s="17" t="s">
        <v>1977</v>
      </c>
      <c r="L454" s="17" t="s">
        <v>1978</v>
      </c>
      <c r="M454" t="s">
        <v>76</v>
      </c>
      <c r="N454" t="s">
        <v>536</v>
      </c>
      <c r="O454" t="s">
        <v>38</v>
      </c>
      <c r="P454" s="15">
        <v>16</v>
      </c>
      <c r="Q454" s="18">
        <v>171084</v>
      </c>
      <c r="R454" s="19">
        <v>14</v>
      </c>
      <c r="S454" s="14">
        <v>4.3</v>
      </c>
      <c r="T454" s="7">
        <v>95</v>
      </c>
      <c r="U454" s="15">
        <v>15</v>
      </c>
      <c r="V454" s="15">
        <v>54</v>
      </c>
      <c r="W454" s="15">
        <v>2</v>
      </c>
      <c r="X454" t="s">
        <v>39</v>
      </c>
      <c r="Y454" t="s">
        <v>40</v>
      </c>
      <c r="Z454" s="14">
        <v>6.9</v>
      </c>
      <c r="AA454" s="12">
        <f>YEAR(Table1[Hire_Date])</f>
        <v>2019</v>
      </c>
      <c r="AB45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455" spans="1:28" x14ac:dyDescent="0.25">
      <c r="A455" t="s">
        <v>1979</v>
      </c>
      <c r="B455" s="16" t="s">
        <v>1980</v>
      </c>
      <c r="C455" s="16" t="s">
        <v>1981</v>
      </c>
      <c r="D455" t="s">
        <v>29</v>
      </c>
      <c r="E455" s="15">
        <v>49</v>
      </c>
      <c r="F455" s="16" t="s">
        <v>103</v>
      </c>
      <c r="G455" s="16" t="s">
        <v>104</v>
      </c>
      <c r="H455" s="16" t="s">
        <v>83</v>
      </c>
      <c r="I455" s="16" t="s">
        <v>57</v>
      </c>
      <c r="J455" s="16" t="s">
        <v>49</v>
      </c>
      <c r="K455" s="17" t="s">
        <v>1982</v>
      </c>
      <c r="M455" t="s">
        <v>36</v>
      </c>
      <c r="N455" t="s">
        <v>143</v>
      </c>
      <c r="O455" t="s">
        <v>38</v>
      </c>
      <c r="P455" s="15">
        <v>31</v>
      </c>
      <c r="Q455" s="18">
        <v>112092</v>
      </c>
      <c r="R455" s="19">
        <v>10</v>
      </c>
      <c r="S455" s="14">
        <v>3.7</v>
      </c>
      <c r="T455" s="7">
        <v>87</v>
      </c>
      <c r="U455" s="15">
        <v>20</v>
      </c>
      <c r="V455" s="15">
        <v>23</v>
      </c>
      <c r="W455" s="15">
        <v>57</v>
      </c>
      <c r="X455" t="s">
        <v>61</v>
      </c>
      <c r="Y455" t="s">
        <v>78</v>
      </c>
      <c r="Z455" s="14">
        <v>2.9</v>
      </c>
      <c r="AA455" s="12">
        <f>YEAR(Table1[Hire_Date])</f>
        <v>2023</v>
      </c>
      <c r="AB45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456" spans="1:28" x14ac:dyDescent="0.25">
      <c r="A456" t="s">
        <v>1983</v>
      </c>
      <c r="B456" s="16" t="s">
        <v>1984</v>
      </c>
      <c r="C456" s="16" t="s">
        <v>1985</v>
      </c>
      <c r="D456" t="s">
        <v>44</v>
      </c>
      <c r="E456" s="15">
        <v>51</v>
      </c>
      <c r="F456" s="16" t="s">
        <v>30</v>
      </c>
      <c r="G456" s="16" t="s">
        <v>13</v>
      </c>
      <c r="H456" s="16" t="s">
        <v>32</v>
      </c>
      <c r="I456" s="16" t="s">
        <v>57</v>
      </c>
      <c r="J456" s="16" t="s">
        <v>49</v>
      </c>
      <c r="K456" s="17" t="s">
        <v>1986</v>
      </c>
      <c r="M456" t="s">
        <v>36</v>
      </c>
      <c r="N456" t="s">
        <v>59</v>
      </c>
      <c r="O456" t="s">
        <v>52</v>
      </c>
      <c r="P456" s="15">
        <v>19</v>
      </c>
      <c r="Q456" s="18">
        <v>58025</v>
      </c>
      <c r="R456" s="19">
        <v>6</v>
      </c>
      <c r="S456" s="14">
        <v>3.9</v>
      </c>
      <c r="T456" s="7">
        <v>76</v>
      </c>
      <c r="U456" s="15">
        <v>3</v>
      </c>
      <c r="V456" s="15">
        <v>37</v>
      </c>
      <c r="W456" s="15">
        <v>40</v>
      </c>
      <c r="X456" t="s">
        <v>39</v>
      </c>
      <c r="Y456" t="s">
        <v>78</v>
      </c>
      <c r="Z456" s="14">
        <v>2.1</v>
      </c>
      <c r="AA456" s="12">
        <f>YEAR(Table1[Hire_Date])</f>
        <v>2024</v>
      </c>
      <c r="AB45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457" spans="1:28" x14ac:dyDescent="0.25">
      <c r="A457" t="s">
        <v>1987</v>
      </c>
      <c r="B457" s="16" t="s">
        <v>1988</v>
      </c>
      <c r="C457" s="16" t="s">
        <v>1989</v>
      </c>
      <c r="D457" t="s">
        <v>44</v>
      </c>
      <c r="E457" s="15">
        <v>21</v>
      </c>
      <c r="F457" s="16" t="s">
        <v>72</v>
      </c>
      <c r="G457" s="16" t="s">
        <v>73</v>
      </c>
      <c r="H457" s="16" t="s">
        <v>66</v>
      </c>
      <c r="I457" s="16" t="s">
        <v>33</v>
      </c>
      <c r="J457" s="16" t="s">
        <v>34</v>
      </c>
      <c r="K457" s="17" t="s">
        <v>1990</v>
      </c>
      <c r="M457" t="s">
        <v>36</v>
      </c>
      <c r="N457" t="s">
        <v>419</v>
      </c>
      <c r="O457" t="s">
        <v>60</v>
      </c>
      <c r="P457" s="15">
        <v>9</v>
      </c>
      <c r="Q457" s="18">
        <v>164901</v>
      </c>
      <c r="R457" s="19">
        <v>15</v>
      </c>
      <c r="S457" s="14">
        <v>3.1</v>
      </c>
      <c r="T457" s="7">
        <v>82</v>
      </c>
      <c r="U457" s="15">
        <v>13</v>
      </c>
      <c r="V457" s="15">
        <v>16</v>
      </c>
      <c r="W457" s="15">
        <v>64</v>
      </c>
      <c r="X457" t="s">
        <v>61</v>
      </c>
      <c r="Y457" t="s">
        <v>40</v>
      </c>
      <c r="Z457" s="14">
        <v>4.4000000000000004</v>
      </c>
      <c r="AA457" s="12">
        <f>YEAR(Table1[Hire_Date])</f>
        <v>2022</v>
      </c>
      <c r="AB45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458" spans="1:28" x14ac:dyDescent="0.25">
      <c r="A458" t="s">
        <v>1991</v>
      </c>
      <c r="B458" s="16" t="s">
        <v>1992</v>
      </c>
      <c r="C458" s="16" t="s">
        <v>1993</v>
      </c>
      <c r="D458" t="s">
        <v>44</v>
      </c>
      <c r="E458" s="15">
        <v>38</v>
      </c>
      <c r="F458" s="16" t="s">
        <v>124</v>
      </c>
      <c r="G458" s="16" t="s">
        <v>13</v>
      </c>
      <c r="H458" s="16" t="s">
        <v>32</v>
      </c>
      <c r="I458" s="16" t="s">
        <v>48</v>
      </c>
      <c r="J458" s="16" t="s">
        <v>34</v>
      </c>
      <c r="K458" s="17" t="s">
        <v>1994</v>
      </c>
      <c r="M458" t="s">
        <v>36</v>
      </c>
      <c r="N458" t="s">
        <v>358</v>
      </c>
      <c r="O458" t="s">
        <v>38</v>
      </c>
      <c r="P458" s="15">
        <v>20</v>
      </c>
      <c r="Q458" s="18">
        <v>97407</v>
      </c>
      <c r="R458" s="19">
        <v>17</v>
      </c>
      <c r="S458" s="14">
        <v>4.3</v>
      </c>
      <c r="T458" s="7">
        <v>84</v>
      </c>
      <c r="U458" s="15">
        <v>12</v>
      </c>
      <c r="V458" s="15">
        <v>15</v>
      </c>
      <c r="W458" s="15">
        <v>48</v>
      </c>
      <c r="X458" t="s">
        <v>39</v>
      </c>
      <c r="Y458" t="s">
        <v>40</v>
      </c>
      <c r="Z458" s="14">
        <v>7.7</v>
      </c>
      <c r="AA458" s="12">
        <f>YEAR(Table1[Hire_Date])</f>
        <v>2018</v>
      </c>
      <c r="AB45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459" spans="1:28" x14ac:dyDescent="0.25">
      <c r="A459" t="s">
        <v>1995</v>
      </c>
      <c r="B459" s="16" t="s">
        <v>1996</v>
      </c>
      <c r="C459" s="16" t="s">
        <v>1997</v>
      </c>
      <c r="D459" t="s">
        <v>44</v>
      </c>
      <c r="E459" s="15">
        <v>46</v>
      </c>
      <c r="F459" s="16" t="s">
        <v>72</v>
      </c>
      <c r="G459" s="16" t="s">
        <v>135</v>
      </c>
      <c r="H459" s="16" t="s">
        <v>83</v>
      </c>
      <c r="I459" s="16" t="s">
        <v>57</v>
      </c>
      <c r="J459" s="16" t="s">
        <v>34</v>
      </c>
      <c r="K459" s="17" t="s">
        <v>1998</v>
      </c>
      <c r="M459" t="s">
        <v>36</v>
      </c>
      <c r="N459" t="s">
        <v>51</v>
      </c>
      <c r="O459" t="s">
        <v>60</v>
      </c>
      <c r="P459" s="15">
        <v>8</v>
      </c>
      <c r="Q459" s="18">
        <v>85116</v>
      </c>
      <c r="R459" s="19">
        <v>18</v>
      </c>
      <c r="S459" s="14">
        <v>4.7</v>
      </c>
      <c r="T459" s="7">
        <v>51</v>
      </c>
      <c r="U459" s="15">
        <v>20</v>
      </c>
      <c r="V459" s="15">
        <v>48</v>
      </c>
      <c r="W459" s="15">
        <v>17</v>
      </c>
      <c r="X459" t="s">
        <v>61</v>
      </c>
      <c r="Y459" t="s">
        <v>78</v>
      </c>
      <c r="Z459" s="14">
        <v>4.9000000000000004</v>
      </c>
      <c r="AA459" s="12">
        <f>YEAR(Table1[Hire_Date])</f>
        <v>2021</v>
      </c>
      <c r="AB45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460" spans="1:28" x14ac:dyDescent="0.25">
      <c r="A460" t="s">
        <v>1999</v>
      </c>
      <c r="B460" s="16" t="s">
        <v>2000</v>
      </c>
      <c r="C460" s="16" t="s">
        <v>2001</v>
      </c>
      <c r="D460" t="s">
        <v>44</v>
      </c>
      <c r="E460" s="15">
        <v>28</v>
      </c>
      <c r="F460" s="16" t="s">
        <v>103</v>
      </c>
      <c r="G460" s="16" t="s">
        <v>13</v>
      </c>
      <c r="H460" s="16" t="s">
        <v>32</v>
      </c>
      <c r="I460" s="16" t="s">
        <v>33</v>
      </c>
      <c r="J460" s="16" t="s">
        <v>49</v>
      </c>
      <c r="K460" s="17" t="s">
        <v>2002</v>
      </c>
      <c r="M460" t="s">
        <v>36</v>
      </c>
      <c r="N460" t="s">
        <v>111</v>
      </c>
      <c r="O460" t="s">
        <v>38</v>
      </c>
      <c r="P460" s="15">
        <v>0</v>
      </c>
      <c r="Q460" s="18">
        <v>119643</v>
      </c>
      <c r="R460" s="19">
        <v>18</v>
      </c>
      <c r="S460" s="14">
        <v>4.7</v>
      </c>
      <c r="T460" s="7">
        <v>60</v>
      </c>
      <c r="U460" s="15">
        <v>12</v>
      </c>
      <c r="V460" s="15">
        <v>45</v>
      </c>
      <c r="W460" s="15">
        <v>40</v>
      </c>
      <c r="X460" t="s">
        <v>61</v>
      </c>
      <c r="Y460" t="s">
        <v>40</v>
      </c>
      <c r="Z460" s="14">
        <v>0.7</v>
      </c>
      <c r="AA460" s="12">
        <f>YEAR(Table1[Hire_Date])</f>
        <v>2025</v>
      </c>
      <c r="AB46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461" spans="1:28" x14ac:dyDescent="0.25">
      <c r="A461" t="s">
        <v>2003</v>
      </c>
      <c r="B461" s="16" t="s">
        <v>2004</v>
      </c>
      <c r="C461" s="16" t="s">
        <v>2005</v>
      </c>
      <c r="D461" t="s">
        <v>44</v>
      </c>
      <c r="E461" s="15">
        <v>48</v>
      </c>
      <c r="F461" s="16" t="s">
        <v>124</v>
      </c>
      <c r="G461" s="16" t="s">
        <v>104</v>
      </c>
      <c r="H461" s="16" t="s">
        <v>66</v>
      </c>
      <c r="I461" s="16" t="s">
        <v>48</v>
      </c>
      <c r="J461" s="16" t="s">
        <v>49</v>
      </c>
      <c r="K461" s="17" t="s">
        <v>2006</v>
      </c>
      <c r="M461" t="s">
        <v>36</v>
      </c>
      <c r="N461" t="s">
        <v>593</v>
      </c>
      <c r="O461" t="s">
        <v>52</v>
      </c>
      <c r="P461" s="15">
        <v>25</v>
      </c>
      <c r="Q461" s="18">
        <v>137809</v>
      </c>
      <c r="R461" s="19">
        <v>14</v>
      </c>
      <c r="S461" s="14">
        <v>2.7</v>
      </c>
      <c r="T461" s="7">
        <v>70</v>
      </c>
      <c r="U461" s="15">
        <v>0</v>
      </c>
      <c r="V461" s="15">
        <v>36</v>
      </c>
      <c r="W461" s="15">
        <v>10</v>
      </c>
      <c r="X461" t="s">
        <v>61</v>
      </c>
      <c r="Y461" t="s">
        <v>40</v>
      </c>
      <c r="Z461" s="14">
        <v>5.9</v>
      </c>
      <c r="AA461" s="12">
        <f>YEAR(Table1[Hire_Date])</f>
        <v>2020</v>
      </c>
      <c r="AB46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462" spans="1:28" x14ac:dyDescent="0.25">
      <c r="A462" t="s">
        <v>2007</v>
      </c>
      <c r="B462" s="16" t="s">
        <v>2008</v>
      </c>
      <c r="C462" s="16" t="s">
        <v>2009</v>
      </c>
      <c r="D462" t="s">
        <v>44</v>
      </c>
      <c r="E462" s="15">
        <v>32</v>
      </c>
      <c r="F462" s="16" t="s">
        <v>72</v>
      </c>
      <c r="G462" s="16" t="s">
        <v>135</v>
      </c>
      <c r="H462" s="16" t="s">
        <v>83</v>
      </c>
      <c r="I462" s="16" t="s">
        <v>57</v>
      </c>
      <c r="J462" s="16" t="s">
        <v>34</v>
      </c>
      <c r="K462" s="17" t="s">
        <v>908</v>
      </c>
      <c r="M462" t="s">
        <v>36</v>
      </c>
      <c r="N462" t="s">
        <v>263</v>
      </c>
      <c r="O462" t="s">
        <v>38</v>
      </c>
      <c r="P462" s="15">
        <v>27</v>
      </c>
      <c r="Q462" s="18">
        <v>83149</v>
      </c>
      <c r="R462" s="19">
        <v>15</v>
      </c>
      <c r="S462" s="14">
        <v>5</v>
      </c>
      <c r="T462" s="7">
        <v>72</v>
      </c>
      <c r="U462" s="15">
        <v>14</v>
      </c>
      <c r="V462" s="15">
        <v>29</v>
      </c>
      <c r="W462" s="15">
        <v>52</v>
      </c>
      <c r="X462" t="s">
        <v>39</v>
      </c>
      <c r="Y462" t="s">
        <v>78</v>
      </c>
      <c r="Z462" s="14">
        <v>6</v>
      </c>
      <c r="AA462" s="12">
        <f>YEAR(Table1[Hire_Date])</f>
        <v>2020</v>
      </c>
      <c r="AB46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463" spans="1:28" x14ac:dyDescent="0.25">
      <c r="A463" t="s">
        <v>2010</v>
      </c>
      <c r="B463" s="16" t="s">
        <v>2011</v>
      </c>
      <c r="C463" s="16" t="s">
        <v>2012</v>
      </c>
      <c r="D463" t="s">
        <v>44</v>
      </c>
      <c r="E463" s="15">
        <v>48</v>
      </c>
      <c r="F463" s="16" t="s">
        <v>90</v>
      </c>
      <c r="G463" s="16" t="s">
        <v>13</v>
      </c>
      <c r="H463" s="16" t="s">
        <v>32</v>
      </c>
      <c r="I463" s="16" t="s">
        <v>33</v>
      </c>
      <c r="J463" s="16" t="s">
        <v>49</v>
      </c>
      <c r="K463" s="17" t="s">
        <v>2013</v>
      </c>
      <c r="M463" t="s">
        <v>36</v>
      </c>
      <c r="N463" t="s">
        <v>605</v>
      </c>
      <c r="O463" t="s">
        <v>52</v>
      </c>
      <c r="P463" s="15">
        <v>16</v>
      </c>
      <c r="Q463" s="18">
        <v>55406</v>
      </c>
      <c r="R463" s="19">
        <v>7</v>
      </c>
      <c r="S463" s="14">
        <v>4.3</v>
      </c>
      <c r="T463" s="7">
        <v>89</v>
      </c>
      <c r="U463" s="15">
        <v>20</v>
      </c>
      <c r="V463" s="15">
        <v>20</v>
      </c>
      <c r="W463" s="15">
        <v>45</v>
      </c>
      <c r="X463" t="s">
        <v>61</v>
      </c>
      <c r="Y463" t="s">
        <v>62</v>
      </c>
      <c r="Z463" s="14">
        <v>1</v>
      </c>
      <c r="AA463" s="12">
        <f>YEAR(Table1[Hire_Date])</f>
        <v>2025</v>
      </c>
      <c r="AB46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464" spans="1:28" x14ac:dyDescent="0.25">
      <c r="A464" t="s">
        <v>2014</v>
      </c>
      <c r="B464" s="16" t="s">
        <v>2015</v>
      </c>
      <c r="C464" s="16" t="s">
        <v>2016</v>
      </c>
      <c r="D464" t="s">
        <v>29</v>
      </c>
      <c r="E464" s="15">
        <v>55</v>
      </c>
      <c r="F464" s="16" t="s">
        <v>103</v>
      </c>
      <c r="G464" s="16" t="s">
        <v>13</v>
      </c>
      <c r="H464" s="16" t="s">
        <v>47</v>
      </c>
      <c r="I464" s="16" t="s">
        <v>33</v>
      </c>
      <c r="J464" s="16" t="s">
        <v>34</v>
      </c>
      <c r="K464" s="17" t="s">
        <v>2017</v>
      </c>
      <c r="M464" t="s">
        <v>36</v>
      </c>
      <c r="N464" t="s">
        <v>243</v>
      </c>
      <c r="O464" t="s">
        <v>38</v>
      </c>
      <c r="P464" s="15">
        <v>0</v>
      </c>
      <c r="Q464" s="18">
        <v>139086</v>
      </c>
      <c r="R464" s="19">
        <v>24</v>
      </c>
      <c r="S464" s="14">
        <v>3</v>
      </c>
      <c r="T464" s="7">
        <v>98</v>
      </c>
      <c r="U464" s="15">
        <v>15</v>
      </c>
      <c r="V464" s="15">
        <v>22</v>
      </c>
      <c r="W464" s="15">
        <v>73</v>
      </c>
      <c r="X464" t="s">
        <v>39</v>
      </c>
      <c r="Y464" t="s">
        <v>78</v>
      </c>
      <c r="Z464" s="14">
        <v>1.6</v>
      </c>
      <c r="AA464" s="12">
        <f>YEAR(Table1[Hire_Date])</f>
        <v>2025</v>
      </c>
      <c r="AB46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465" spans="1:28" x14ac:dyDescent="0.25">
      <c r="A465" t="s">
        <v>2018</v>
      </c>
      <c r="B465" s="16" t="s">
        <v>2019</v>
      </c>
      <c r="C465" s="16" t="s">
        <v>2020</v>
      </c>
      <c r="D465" t="s">
        <v>44</v>
      </c>
      <c r="E465" s="15">
        <v>39</v>
      </c>
      <c r="F465" s="16" t="s">
        <v>45</v>
      </c>
      <c r="G465" s="16" t="s">
        <v>82</v>
      </c>
      <c r="H465" s="16" t="s">
        <v>83</v>
      </c>
      <c r="I465" s="16" t="s">
        <v>33</v>
      </c>
      <c r="J465" s="16" t="s">
        <v>34</v>
      </c>
      <c r="K465" s="17" t="s">
        <v>2021</v>
      </c>
      <c r="M465" t="s">
        <v>36</v>
      </c>
      <c r="N465" t="s">
        <v>527</v>
      </c>
      <c r="O465" t="s">
        <v>60</v>
      </c>
      <c r="P465" s="15">
        <v>3</v>
      </c>
      <c r="Q465" s="18">
        <v>108110</v>
      </c>
      <c r="R465" s="19">
        <v>19</v>
      </c>
      <c r="S465" s="14">
        <v>4.4000000000000004</v>
      </c>
      <c r="T465" s="7">
        <v>96</v>
      </c>
      <c r="U465" s="15">
        <v>12</v>
      </c>
      <c r="V465" s="15">
        <v>10</v>
      </c>
      <c r="W465" s="15">
        <v>34</v>
      </c>
      <c r="X465" t="s">
        <v>61</v>
      </c>
      <c r="Y465" t="s">
        <v>62</v>
      </c>
      <c r="Z465" s="14">
        <v>9.6</v>
      </c>
      <c r="AA465" s="12">
        <f>YEAR(Table1[Hire_Date])</f>
        <v>2016</v>
      </c>
      <c r="AB46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466" spans="1:28" x14ac:dyDescent="0.25">
      <c r="A466" t="s">
        <v>2022</v>
      </c>
      <c r="B466" s="16" t="s">
        <v>2023</v>
      </c>
      <c r="C466" s="16" t="s">
        <v>2024</v>
      </c>
      <c r="D466" t="s">
        <v>29</v>
      </c>
      <c r="E466" s="15">
        <v>29</v>
      </c>
      <c r="F466" s="16" t="s">
        <v>72</v>
      </c>
      <c r="G466" s="16" t="s">
        <v>73</v>
      </c>
      <c r="H466" s="16" t="s">
        <v>66</v>
      </c>
      <c r="I466" s="16" t="s">
        <v>33</v>
      </c>
      <c r="J466" s="16" t="s">
        <v>34</v>
      </c>
      <c r="K466" s="17" t="s">
        <v>2025</v>
      </c>
      <c r="M466" t="s">
        <v>36</v>
      </c>
      <c r="N466" t="s">
        <v>286</v>
      </c>
      <c r="O466" t="s">
        <v>38</v>
      </c>
      <c r="P466" s="15">
        <v>16</v>
      </c>
      <c r="Q466" s="18">
        <v>100537</v>
      </c>
      <c r="R466" s="19">
        <v>5</v>
      </c>
      <c r="S466" s="14">
        <v>3.3</v>
      </c>
      <c r="T466" s="7">
        <v>74</v>
      </c>
      <c r="U466" s="15">
        <v>10</v>
      </c>
      <c r="V466" s="15">
        <v>34</v>
      </c>
      <c r="W466" s="15">
        <v>38</v>
      </c>
      <c r="X466" t="s">
        <v>39</v>
      </c>
      <c r="Y466" t="s">
        <v>62</v>
      </c>
      <c r="Z466" s="14">
        <v>8.3000000000000007</v>
      </c>
      <c r="AA466" s="12">
        <f>YEAR(Table1[Hire_Date])</f>
        <v>2018</v>
      </c>
      <c r="AB46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467" spans="1:28" x14ac:dyDescent="0.25">
      <c r="A467" t="s">
        <v>2026</v>
      </c>
      <c r="B467" s="16" t="s">
        <v>2027</v>
      </c>
      <c r="C467" s="16" t="s">
        <v>2028</v>
      </c>
      <c r="D467" t="s">
        <v>44</v>
      </c>
      <c r="E467" s="15">
        <v>58</v>
      </c>
      <c r="F467" s="16" t="s">
        <v>45</v>
      </c>
      <c r="G467" s="16" t="s">
        <v>46</v>
      </c>
      <c r="H467" s="16" t="s">
        <v>47</v>
      </c>
      <c r="I467" s="16" t="s">
        <v>48</v>
      </c>
      <c r="J467" s="16" t="s">
        <v>34</v>
      </c>
      <c r="K467" s="17" t="s">
        <v>2029</v>
      </c>
      <c r="M467" t="s">
        <v>36</v>
      </c>
      <c r="N467" t="s">
        <v>234</v>
      </c>
      <c r="O467" t="s">
        <v>60</v>
      </c>
      <c r="P467" s="15">
        <v>3</v>
      </c>
      <c r="Q467" s="18">
        <v>174344</v>
      </c>
      <c r="R467" s="19">
        <v>20</v>
      </c>
      <c r="S467" s="14">
        <v>4.5999999999999996</v>
      </c>
      <c r="T467" s="7">
        <v>51</v>
      </c>
      <c r="U467" s="15">
        <v>9</v>
      </c>
      <c r="V467" s="15">
        <v>4</v>
      </c>
      <c r="W467" s="15">
        <v>40</v>
      </c>
      <c r="X467" t="s">
        <v>39</v>
      </c>
      <c r="Y467" t="s">
        <v>78</v>
      </c>
      <c r="Z467" s="14">
        <v>6.5</v>
      </c>
      <c r="AA467" s="12">
        <f>YEAR(Table1[Hire_Date])</f>
        <v>2020</v>
      </c>
      <c r="AB46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468" spans="1:28" x14ac:dyDescent="0.25">
      <c r="A468" t="s">
        <v>2030</v>
      </c>
      <c r="B468" s="16" t="s">
        <v>2031</v>
      </c>
      <c r="C468" s="16" t="s">
        <v>2032</v>
      </c>
      <c r="D468" t="s">
        <v>29</v>
      </c>
      <c r="E468" s="15">
        <v>43</v>
      </c>
      <c r="F468" s="16" t="s">
        <v>90</v>
      </c>
      <c r="G468" s="16" t="s">
        <v>13</v>
      </c>
      <c r="H468" s="16" t="s">
        <v>66</v>
      </c>
      <c r="I468" s="16" t="s">
        <v>57</v>
      </c>
      <c r="J468" s="16" t="s">
        <v>34</v>
      </c>
      <c r="K468" s="17" t="s">
        <v>630</v>
      </c>
      <c r="M468" t="s">
        <v>36</v>
      </c>
      <c r="N468" t="s">
        <v>59</v>
      </c>
      <c r="O468" t="s">
        <v>38</v>
      </c>
      <c r="P468" s="15">
        <v>9</v>
      </c>
      <c r="Q468" s="18">
        <v>48652</v>
      </c>
      <c r="R468" s="19">
        <v>10</v>
      </c>
      <c r="S468" s="14">
        <v>3.7</v>
      </c>
      <c r="T468" s="7">
        <v>98</v>
      </c>
      <c r="U468" s="15">
        <v>10</v>
      </c>
      <c r="V468" s="15">
        <v>38</v>
      </c>
      <c r="W468" s="15">
        <v>4</v>
      </c>
      <c r="X468" t="s">
        <v>61</v>
      </c>
      <c r="Y468" t="s">
        <v>78</v>
      </c>
      <c r="Z468" s="14">
        <v>1.3</v>
      </c>
      <c r="AA468" s="12">
        <f>YEAR(Table1[Hire_Date])</f>
        <v>2025</v>
      </c>
      <c r="AB46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469" spans="1:28" x14ac:dyDescent="0.25">
      <c r="A469" t="s">
        <v>2033</v>
      </c>
      <c r="B469" s="16" t="s">
        <v>2034</v>
      </c>
      <c r="C469" s="16" t="s">
        <v>2035</v>
      </c>
      <c r="D469" t="s">
        <v>44</v>
      </c>
      <c r="E469" s="15">
        <v>41</v>
      </c>
      <c r="F469" s="16" t="s">
        <v>90</v>
      </c>
      <c r="G469" s="16" t="s">
        <v>281</v>
      </c>
      <c r="H469" s="16" t="s">
        <v>83</v>
      </c>
      <c r="I469" s="16" t="s">
        <v>48</v>
      </c>
      <c r="J469" s="16" t="s">
        <v>49</v>
      </c>
      <c r="K469" s="17" t="s">
        <v>2036</v>
      </c>
      <c r="L469" s="17" t="s">
        <v>2037</v>
      </c>
      <c r="M469" t="s">
        <v>76</v>
      </c>
      <c r="N469" t="s">
        <v>229</v>
      </c>
      <c r="O469" t="s">
        <v>60</v>
      </c>
      <c r="P469" s="15">
        <v>6</v>
      </c>
      <c r="Q469" s="18">
        <v>66053</v>
      </c>
      <c r="R469" s="19">
        <v>10</v>
      </c>
      <c r="S469" s="14">
        <v>2.8</v>
      </c>
      <c r="T469" s="7">
        <v>60</v>
      </c>
      <c r="U469" s="15">
        <v>17</v>
      </c>
      <c r="V469" s="15">
        <v>6</v>
      </c>
      <c r="W469" s="15">
        <v>11</v>
      </c>
      <c r="X469" t="s">
        <v>61</v>
      </c>
      <c r="Y469" t="s">
        <v>62</v>
      </c>
      <c r="Z469" s="14">
        <v>3.7</v>
      </c>
      <c r="AA469" s="12">
        <f>YEAR(Table1[Hire_Date])</f>
        <v>2022</v>
      </c>
      <c r="AB46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470" spans="1:28" x14ac:dyDescent="0.25">
      <c r="A470" t="s">
        <v>2038</v>
      </c>
      <c r="B470" s="16" t="s">
        <v>2039</v>
      </c>
      <c r="C470" s="16" t="s">
        <v>2040</v>
      </c>
      <c r="D470" t="s">
        <v>44</v>
      </c>
      <c r="E470" s="15">
        <v>25</v>
      </c>
      <c r="F470" s="16" t="s">
        <v>124</v>
      </c>
      <c r="G470" s="16" t="s">
        <v>141</v>
      </c>
      <c r="H470" s="16" t="s">
        <v>47</v>
      </c>
      <c r="I470" s="16" t="s">
        <v>57</v>
      </c>
      <c r="J470" s="16" t="s">
        <v>49</v>
      </c>
      <c r="K470" s="17" t="s">
        <v>2041</v>
      </c>
      <c r="M470" t="s">
        <v>36</v>
      </c>
      <c r="N470" t="s">
        <v>99</v>
      </c>
      <c r="O470" t="s">
        <v>52</v>
      </c>
      <c r="P470" s="15">
        <v>2</v>
      </c>
      <c r="Q470" s="18">
        <v>96005</v>
      </c>
      <c r="R470" s="19">
        <v>12</v>
      </c>
      <c r="S470" s="14">
        <v>4.4000000000000004</v>
      </c>
      <c r="T470" s="7">
        <v>52</v>
      </c>
      <c r="U470" s="15">
        <v>13</v>
      </c>
      <c r="V470" s="15">
        <v>34</v>
      </c>
      <c r="W470" s="15">
        <v>4</v>
      </c>
      <c r="X470" t="s">
        <v>39</v>
      </c>
      <c r="Y470" t="s">
        <v>40</v>
      </c>
      <c r="Z470" s="14">
        <v>9.5</v>
      </c>
      <c r="AA470" s="12">
        <f>YEAR(Table1[Hire_Date])</f>
        <v>2017</v>
      </c>
      <c r="AB47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471" spans="1:28" x14ac:dyDescent="0.25">
      <c r="A471" t="s">
        <v>2042</v>
      </c>
      <c r="B471" s="16" t="s">
        <v>2043</v>
      </c>
      <c r="C471" s="16" t="s">
        <v>2044</v>
      </c>
      <c r="D471" t="s">
        <v>29</v>
      </c>
      <c r="E471" s="15">
        <v>28</v>
      </c>
      <c r="F471" s="16" t="s">
        <v>103</v>
      </c>
      <c r="G471" s="16" t="s">
        <v>13</v>
      </c>
      <c r="H471" s="16" t="s">
        <v>56</v>
      </c>
      <c r="I471" s="16" t="s">
        <v>57</v>
      </c>
      <c r="J471" s="16" t="s">
        <v>49</v>
      </c>
      <c r="K471" s="17" t="s">
        <v>2045</v>
      </c>
      <c r="M471" t="s">
        <v>36</v>
      </c>
      <c r="N471" t="s">
        <v>896</v>
      </c>
      <c r="O471" t="s">
        <v>38</v>
      </c>
      <c r="P471" s="15">
        <v>8</v>
      </c>
      <c r="Q471" s="18">
        <v>127129</v>
      </c>
      <c r="R471" s="19">
        <v>15</v>
      </c>
      <c r="S471" s="14">
        <v>2.8</v>
      </c>
      <c r="T471" s="7">
        <v>66</v>
      </c>
      <c r="U471" s="15">
        <v>13</v>
      </c>
      <c r="V471" s="15">
        <v>43</v>
      </c>
      <c r="W471" s="15">
        <v>67</v>
      </c>
      <c r="X471" t="s">
        <v>39</v>
      </c>
      <c r="Y471" t="s">
        <v>62</v>
      </c>
      <c r="Z471" s="14">
        <v>3</v>
      </c>
      <c r="AA471" s="12">
        <f>YEAR(Table1[Hire_Date])</f>
        <v>2023</v>
      </c>
      <c r="AB47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472" spans="1:28" x14ac:dyDescent="0.25">
      <c r="A472" t="s">
        <v>2046</v>
      </c>
      <c r="B472" s="16" t="s">
        <v>2047</v>
      </c>
      <c r="C472" s="16" t="s">
        <v>2048</v>
      </c>
      <c r="D472" t="s">
        <v>44</v>
      </c>
      <c r="E472" s="15">
        <v>43</v>
      </c>
      <c r="F472" s="16" t="s">
        <v>45</v>
      </c>
      <c r="G472" s="16" t="s">
        <v>46</v>
      </c>
      <c r="H472" s="16" t="s">
        <v>47</v>
      </c>
      <c r="I472" s="16" t="s">
        <v>48</v>
      </c>
      <c r="J472" s="16" t="s">
        <v>34</v>
      </c>
      <c r="K472" s="17" t="s">
        <v>1706</v>
      </c>
      <c r="M472" t="s">
        <v>36</v>
      </c>
      <c r="N472" t="s">
        <v>333</v>
      </c>
      <c r="O472" t="s">
        <v>52</v>
      </c>
      <c r="P472" s="15">
        <v>23</v>
      </c>
      <c r="Q472" s="18">
        <v>142377</v>
      </c>
      <c r="R472" s="19">
        <v>16</v>
      </c>
      <c r="S472" s="14">
        <v>4.8</v>
      </c>
      <c r="T472" s="7">
        <v>81</v>
      </c>
      <c r="U472" s="15">
        <v>6</v>
      </c>
      <c r="V472" s="15">
        <v>43</v>
      </c>
      <c r="W472" s="15">
        <v>60</v>
      </c>
      <c r="X472" t="s">
        <v>39</v>
      </c>
      <c r="Y472" t="s">
        <v>62</v>
      </c>
      <c r="Z472" s="14">
        <v>6.6</v>
      </c>
      <c r="AA472" s="12">
        <f>YEAR(Table1[Hire_Date])</f>
        <v>2019</v>
      </c>
      <c r="AB47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473" spans="1:28" x14ac:dyDescent="0.25">
      <c r="A473" t="s">
        <v>2049</v>
      </c>
      <c r="B473" s="16" t="s">
        <v>2050</v>
      </c>
      <c r="C473" s="16" t="s">
        <v>2051</v>
      </c>
      <c r="D473" t="s">
        <v>44</v>
      </c>
      <c r="E473" s="15">
        <v>35</v>
      </c>
      <c r="F473" s="16" t="s">
        <v>72</v>
      </c>
      <c r="G473" s="16" t="s">
        <v>97</v>
      </c>
      <c r="H473" s="16" t="s">
        <v>32</v>
      </c>
      <c r="I473" s="16" t="s">
        <v>48</v>
      </c>
      <c r="J473" s="16" t="s">
        <v>34</v>
      </c>
      <c r="K473" s="17" t="s">
        <v>1829</v>
      </c>
      <c r="M473" t="s">
        <v>36</v>
      </c>
      <c r="N473" t="s">
        <v>199</v>
      </c>
      <c r="O473" t="s">
        <v>38</v>
      </c>
      <c r="P473" s="15">
        <v>33</v>
      </c>
      <c r="Q473" s="18">
        <v>99464</v>
      </c>
      <c r="R473" s="19">
        <v>12</v>
      </c>
      <c r="S473" s="14">
        <v>4.7</v>
      </c>
      <c r="T473" s="7">
        <v>60</v>
      </c>
      <c r="U473" s="15">
        <v>5</v>
      </c>
      <c r="V473" s="15">
        <v>56</v>
      </c>
      <c r="W473" s="15">
        <v>25</v>
      </c>
      <c r="X473" t="s">
        <v>61</v>
      </c>
      <c r="Y473" t="s">
        <v>78</v>
      </c>
      <c r="Z473" s="14">
        <v>3.7</v>
      </c>
      <c r="AA473" s="12">
        <f>YEAR(Table1[Hire_Date])</f>
        <v>2022</v>
      </c>
      <c r="AB47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474" spans="1:28" x14ac:dyDescent="0.25">
      <c r="A474" t="s">
        <v>2052</v>
      </c>
      <c r="B474" s="16" t="s">
        <v>2053</v>
      </c>
      <c r="C474" s="16" t="s">
        <v>2054</v>
      </c>
      <c r="D474" t="s">
        <v>29</v>
      </c>
      <c r="E474" s="15">
        <v>27</v>
      </c>
      <c r="F474" s="16" t="s">
        <v>90</v>
      </c>
      <c r="G474" s="16" t="s">
        <v>281</v>
      </c>
      <c r="H474" s="16" t="s">
        <v>56</v>
      </c>
      <c r="I474" s="16" t="s">
        <v>57</v>
      </c>
      <c r="J474" s="16" t="s">
        <v>34</v>
      </c>
      <c r="K474" s="17" t="s">
        <v>2055</v>
      </c>
      <c r="L474" s="17" t="s">
        <v>2056</v>
      </c>
      <c r="M474" t="s">
        <v>76</v>
      </c>
      <c r="N474" t="s">
        <v>380</v>
      </c>
      <c r="O474" t="s">
        <v>60</v>
      </c>
      <c r="P474" s="15">
        <v>33</v>
      </c>
      <c r="Q474" s="18">
        <v>94275</v>
      </c>
      <c r="R474" s="19">
        <v>25</v>
      </c>
      <c r="S474" s="14">
        <v>3.1</v>
      </c>
      <c r="T474" s="7">
        <v>94</v>
      </c>
      <c r="U474" s="15">
        <v>7</v>
      </c>
      <c r="V474" s="15">
        <v>24</v>
      </c>
      <c r="W474" s="15">
        <v>46</v>
      </c>
      <c r="X474" t="s">
        <v>61</v>
      </c>
      <c r="Y474" t="s">
        <v>62</v>
      </c>
      <c r="Z474" s="14">
        <v>7</v>
      </c>
      <c r="AA474" s="12">
        <f>YEAR(Table1[Hire_Date])</f>
        <v>2019</v>
      </c>
      <c r="AB47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475" spans="1:28" x14ac:dyDescent="0.25">
      <c r="A475" t="s">
        <v>2057</v>
      </c>
      <c r="B475" s="16" t="s">
        <v>2058</v>
      </c>
      <c r="C475" s="16" t="s">
        <v>2059</v>
      </c>
      <c r="D475" t="s">
        <v>44</v>
      </c>
      <c r="E475" s="15">
        <v>49</v>
      </c>
      <c r="F475" s="16" t="s">
        <v>90</v>
      </c>
      <c r="G475" s="16" t="s">
        <v>281</v>
      </c>
      <c r="H475" s="16" t="s">
        <v>66</v>
      </c>
      <c r="I475" s="16" t="s">
        <v>57</v>
      </c>
      <c r="J475" s="16" t="s">
        <v>49</v>
      </c>
      <c r="K475" s="17" t="s">
        <v>2060</v>
      </c>
      <c r="M475" t="s">
        <v>36</v>
      </c>
      <c r="N475" t="s">
        <v>419</v>
      </c>
      <c r="O475" t="s">
        <v>52</v>
      </c>
      <c r="P475" s="15">
        <v>32</v>
      </c>
      <c r="Q475" s="18">
        <v>105495</v>
      </c>
      <c r="R475" s="19">
        <v>14</v>
      </c>
      <c r="S475" s="14">
        <v>3.9</v>
      </c>
      <c r="T475" s="7">
        <v>60</v>
      </c>
      <c r="U475" s="15">
        <v>10</v>
      </c>
      <c r="V475" s="15">
        <v>21</v>
      </c>
      <c r="W475" s="15">
        <v>18</v>
      </c>
      <c r="X475" t="s">
        <v>39</v>
      </c>
      <c r="Y475" t="s">
        <v>78</v>
      </c>
      <c r="Z475" s="14">
        <v>3.1</v>
      </c>
      <c r="AA475" s="12">
        <f>YEAR(Table1[Hire_Date])</f>
        <v>2023</v>
      </c>
      <c r="AB47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476" spans="1:28" x14ac:dyDescent="0.25">
      <c r="A476" t="s">
        <v>2061</v>
      </c>
      <c r="B476" s="16" t="s">
        <v>2062</v>
      </c>
      <c r="C476" s="16" t="s">
        <v>2063</v>
      </c>
      <c r="D476" t="s">
        <v>29</v>
      </c>
      <c r="E476" s="15">
        <v>60</v>
      </c>
      <c r="F476" s="16" t="s">
        <v>45</v>
      </c>
      <c r="G476" s="16" t="s">
        <v>46</v>
      </c>
      <c r="H476" s="16" t="s">
        <v>66</v>
      </c>
      <c r="I476" s="16" t="s">
        <v>48</v>
      </c>
      <c r="J476" s="16" t="s">
        <v>34</v>
      </c>
      <c r="K476" s="17" t="s">
        <v>2064</v>
      </c>
      <c r="M476" t="s">
        <v>36</v>
      </c>
      <c r="N476" t="s">
        <v>654</v>
      </c>
      <c r="O476" t="s">
        <v>52</v>
      </c>
      <c r="P476" s="15">
        <v>0</v>
      </c>
      <c r="Q476" s="18">
        <v>177740</v>
      </c>
      <c r="R476" s="19">
        <v>10</v>
      </c>
      <c r="S476" s="14">
        <v>2.9</v>
      </c>
      <c r="T476" s="7">
        <v>91</v>
      </c>
      <c r="U476" s="15">
        <v>10</v>
      </c>
      <c r="V476" s="15">
        <v>0</v>
      </c>
      <c r="W476" s="15">
        <v>2</v>
      </c>
      <c r="X476" t="s">
        <v>61</v>
      </c>
      <c r="Y476" t="s">
        <v>40</v>
      </c>
      <c r="Z476" s="14">
        <v>2.1</v>
      </c>
      <c r="AA476" s="12">
        <f>YEAR(Table1[Hire_Date])</f>
        <v>2024</v>
      </c>
      <c r="AB47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477" spans="1:28" x14ac:dyDescent="0.25">
      <c r="A477" t="s">
        <v>2065</v>
      </c>
      <c r="B477" s="16" t="s">
        <v>2066</v>
      </c>
      <c r="C477" s="16" t="s">
        <v>2067</v>
      </c>
      <c r="D477" t="s">
        <v>44</v>
      </c>
      <c r="E477" s="15">
        <v>59</v>
      </c>
      <c r="F477" s="16" t="s">
        <v>124</v>
      </c>
      <c r="G477" s="16" t="s">
        <v>141</v>
      </c>
      <c r="H477" s="16" t="s">
        <v>47</v>
      </c>
      <c r="I477" s="16" t="s">
        <v>57</v>
      </c>
      <c r="J477" s="16" t="s">
        <v>49</v>
      </c>
      <c r="K477" s="17" t="s">
        <v>2068</v>
      </c>
      <c r="M477" t="s">
        <v>36</v>
      </c>
      <c r="N477" t="s">
        <v>194</v>
      </c>
      <c r="O477" t="s">
        <v>52</v>
      </c>
      <c r="P477" s="15">
        <v>4</v>
      </c>
      <c r="Q477" s="18">
        <v>93145</v>
      </c>
      <c r="R477" s="19">
        <v>25</v>
      </c>
      <c r="S477" s="14">
        <v>3.8</v>
      </c>
      <c r="T477" s="7">
        <v>64</v>
      </c>
      <c r="U477" s="15">
        <v>11</v>
      </c>
      <c r="V477" s="15">
        <v>4</v>
      </c>
      <c r="W477" s="15">
        <v>29</v>
      </c>
      <c r="X477" t="s">
        <v>61</v>
      </c>
      <c r="Y477" t="s">
        <v>78</v>
      </c>
      <c r="Z477" s="14">
        <v>8.3000000000000007</v>
      </c>
      <c r="AA477" s="12">
        <f>YEAR(Table1[Hire_Date])</f>
        <v>2018</v>
      </c>
      <c r="AB47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478" spans="1:28" x14ac:dyDescent="0.25">
      <c r="A478" t="s">
        <v>2069</v>
      </c>
      <c r="B478" s="16" t="s">
        <v>2070</v>
      </c>
      <c r="C478" s="16" t="s">
        <v>2071</v>
      </c>
      <c r="D478" t="s">
        <v>29</v>
      </c>
      <c r="E478" s="15">
        <v>38</v>
      </c>
      <c r="F478" s="16" t="s">
        <v>30</v>
      </c>
      <c r="G478" s="16" t="s">
        <v>13</v>
      </c>
      <c r="H478" s="16" t="s">
        <v>47</v>
      </c>
      <c r="I478" s="16" t="s">
        <v>48</v>
      </c>
      <c r="J478" s="16" t="s">
        <v>34</v>
      </c>
      <c r="K478" s="17" t="s">
        <v>509</v>
      </c>
      <c r="M478" t="s">
        <v>36</v>
      </c>
      <c r="N478" t="s">
        <v>510</v>
      </c>
      <c r="O478" t="s">
        <v>52</v>
      </c>
      <c r="P478" s="15">
        <v>32</v>
      </c>
      <c r="Q478" s="18">
        <v>40921</v>
      </c>
      <c r="R478" s="19">
        <v>24</v>
      </c>
      <c r="S478" s="14">
        <v>4.5999999999999996</v>
      </c>
      <c r="T478" s="7">
        <v>63</v>
      </c>
      <c r="U478" s="15">
        <v>14</v>
      </c>
      <c r="V478" s="15">
        <v>58</v>
      </c>
      <c r="W478" s="15">
        <v>65</v>
      </c>
      <c r="X478" t="s">
        <v>39</v>
      </c>
      <c r="Y478" t="s">
        <v>78</v>
      </c>
      <c r="Z478" s="14">
        <v>1.3</v>
      </c>
      <c r="AA478" s="12">
        <f>YEAR(Table1[Hire_Date])</f>
        <v>2025</v>
      </c>
      <c r="AB47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479" spans="1:28" x14ac:dyDescent="0.25">
      <c r="A479" t="s">
        <v>2072</v>
      </c>
      <c r="B479" s="16" t="s">
        <v>2073</v>
      </c>
      <c r="C479" s="16" t="s">
        <v>2074</v>
      </c>
      <c r="D479" t="s">
        <v>29</v>
      </c>
      <c r="E479" s="15">
        <v>47</v>
      </c>
      <c r="F479" s="16" t="s">
        <v>45</v>
      </c>
      <c r="G479" s="16" t="s">
        <v>82</v>
      </c>
      <c r="H479" s="16" t="s">
        <v>32</v>
      </c>
      <c r="I479" s="16" t="s">
        <v>57</v>
      </c>
      <c r="J479" s="16" t="s">
        <v>34</v>
      </c>
      <c r="K479" s="17" t="s">
        <v>2075</v>
      </c>
      <c r="M479" t="s">
        <v>36</v>
      </c>
      <c r="N479" t="s">
        <v>194</v>
      </c>
      <c r="O479" t="s">
        <v>52</v>
      </c>
      <c r="P479" s="15">
        <v>16</v>
      </c>
      <c r="Q479" s="18">
        <v>159278</v>
      </c>
      <c r="R479" s="19">
        <v>20</v>
      </c>
      <c r="S479" s="14">
        <v>4.2</v>
      </c>
      <c r="T479" s="7">
        <v>92</v>
      </c>
      <c r="U479" s="15">
        <v>10</v>
      </c>
      <c r="V479" s="15">
        <v>3</v>
      </c>
      <c r="W479" s="15">
        <v>69</v>
      </c>
      <c r="X479" t="s">
        <v>61</v>
      </c>
      <c r="Y479" t="s">
        <v>62</v>
      </c>
      <c r="Z479" s="14">
        <v>3.4</v>
      </c>
      <c r="AA479" s="12">
        <f>YEAR(Table1[Hire_Date])</f>
        <v>2023</v>
      </c>
      <c r="AB47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480" spans="1:28" x14ac:dyDescent="0.25">
      <c r="A480" t="s">
        <v>2076</v>
      </c>
      <c r="B480" s="16" t="s">
        <v>2077</v>
      </c>
      <c r="C480" s="16" t="s">
        <v>2078</v>
      </c>
      <c r="D480" t="s">
        <v>44</v>
      </c>
      <c r="E480" s="15">
        <v>41</v>
      </c>
      <c r="F480" s="16" t="s">
        <v>103</v>
      </c>
      <c r="G480" s="16" t="s">
        <v>13</v>
      </c>
      <c r="H480" s="16" t="s">
        <v>66</v>
      </c>
      <c r="I480" s="16" t="s">
        <v>57</v>
      </c>
      <c r="J480" s="16" t="s">
        <v>49</v>
      </c>
      <c r="K480" s="17" t="s">
        <v>2079</v>
      </c>
      <c r="L480" s="17" t="s">
        <v>2080</v>
      </c>
      <c r="M480" t="s">
        <v>76</v>
      </c>
      <c r="N480" t="s">
        <v>295</v>
      </c>
      <c r="O480" t="s">
        <v>60</v>
      </c>
      <c r="P480" s="15">
        <v>11</v>
      </c>
      <c r="Q480" s="18">
        <v>120778</v>
      </c>
      <c r="R480" s="19">
        <v>19</v>
      </c>
      <c r="S480" s="14">
        <v>2.8</v>
      </c>
      <c r="T480" s="7">
        <v>50</v>
      </c>
      <c r="U480" s="15">
        <v>2</v>
      </c>
      <c r="V480" s="15">
        <v>0</v>
      </c>
      <c r="W480" s="15">
        <v>62</v>
      </c>
      <c r="X480" t="s">
        <v>61</v>
      </c>
      <c r="Y480" t="s">
        <v>40</v>
      </c>
      <c r="Z480" s="14">
        <v>10.4</v>
      </c>
      <c r="AA480" s="12">
        <f>YEAR(Table1[Hire_Date])</f>
        <v>2016</v>
      </c>
      <c r="AB48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481" spans="1:28" x14ac:dyDescent="0.25">
      <c r="A481" t="s">
        <v>2081</v>
      </c>
      <c r="B481" s="16" t="s">
        <v>2082</v>
      </c>
      <c r="C481" s="16" t="s">
        <v>2083</v>
      </c>
      <c r="D481" t="s">
        <v>44</v>
      </c>
      <c r="E481" s="15">
        <v>35</v>
      </c>
      <c r="F481" s="16" t="s">
        <v>30</v>
      </c>
      <c r="G481" s="16" t="s">
        <v>31</v>
      </c>
      <c r="H481" s="16" t="s">
        <v>83</v>
      </c>
      <c r="I481" s="16" t="s">
        <v>48</v>
      </c>
      <c r="J481" s="16" t="s">
        <v>49</v>
      </c>
      <c r="K481" s="17" t="s">
        <v>2084</v>
      </c>
      <c r="M481" t="s">
        <v>36</v>
      </c>
      <c r="N481" t="s">
        <v>353</v>
      </c>
      <c r="O481" t="s">
        <v>52</v>
      </c>
      <c r="P481" s="15">
        <v>2</v>
      </c>
      <c r="Q481" s="18">
        <v>169811</v>
      </c>
      <c r="R481" s="19">
        <v>15</v>
      </c>
      <c r="S481" s="14">
        <v>3.8</v>
      </c>
      <c r="T481" s="7">
        <v>56</v>
      </c>
      <c r="U481" s="15">
        <v>15</v>
      </c>
      <c r="V481" s="15">
        <v>40</v>
      </c>
      <c r="W481" s="15">
        <v>29</v>
      </c>
      <c r="X481" t="s">
        <v>61</v>
      </c>
      <c r="Y481" t="s">
        <v>40</v>
      </c>
      <c r="Z481" s="14">
        <v>6.3</v>
      </c>
      <c r="AA481" s="12">
        <f>YEAR(Table1[Hire_Date])</f>
        <v>2020</v>
      </c>
      <c r="AB48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482" spans="1:28" x14ac:dyDescent="0.25">
      <c r="A482" t="s">
        <v>2085</v>
      </c>
      <c r="B482" s="16" t="s">
        <v>2086</v>
      </c>
      <c r="C482" s="16" t="s">
        <v>2087</v>
      </c>
      <c r="D482" t="s">
        <v>29</v>
      </c>
      <c r="E482" s="15">
        <v>52</v>
      </c>
      <c r="F482" s="16" t="s">
        <v>90</v>
      </c>
      <c r="G482" s="16" t="s">
        <v>13</v>
      </c>
      <c r="H482" s="16" t="s">
        <v>83</v>
      </c>
      <c r="I482" s="16" t="s">
        <v>57</v>
      </c>
      <c r="J482" s="16" t="s">
        <v>34</v>
      </c>
      <c r="K482" s="17" t="s">
        <v>2088</v>
      </c>
      <c r="M482" t="s">
        <v>36</v>
      </c>
      <c r="N482" t="s">
        <v>527</v>
      </c>
      <c r="O482" t="s">
        <v>52</v>
      </c>
      <c r="P482" s="15">
        <v>18</v>
      </c>
      <c r="Q482" s="18">
        <v>91540</v>
      </c>
      <c r="R482" s="19">
        <v>21</v>
      </c>
      <c r="S482" s="14">
        <v>2.6</v>
      </c>
      <c r="T482" s="7">
        <v>75</v>
      </c>
      <c r="U482" s="15">
        <v>14</v>
      </c>
      <c r="V482" s="15">
        <v>9</v>
      </c>
      <c r="W482" s="15">
        <v>31</v>
      </c>
      <c r="X482" t="s">
        <v>39</v>
      </c>
      <c r="Y482" t="s">
        <v>78</v>
      </c>
      <c r="Z482" s="14">
        <v>7.8</v>
      </c>
      <c r="AA482" s="12">
        <f>YEAR(Table1[Hire_Date])</f>
        <v>2018</v>
      </c>
      <c r="AB48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483" spans="1:28" x14ac:dyDescent="0.25">
      <c r="A483" t="s">
        <v>2089</v>
      </c>
      <c r="B483" s="16" t="s">
        <v>2090</v>
      </c>
      <c r="C483" s="16" t="s">
        <v>2091</v>
      </c>
      <c r="D483" t="s">
        <v>44</v>
      </c>
      <c r="E483" s="15">
        <v>60</v>
      </c>
      <c r="F483" s="16" t="s">
        <v>72</v>
      </c>
      <c r="G483" s="16" t="s">
        <v>135</v>
      </c>
      <c r="H483" s="16" t="s">
        <v>47</v>
      </c>
      <c r="I483" s="16" t="s">
        <v>33</v>
      </c>
      <c r="J483" s="16" t="s">
        <v>49</v>
      </c>
      <c r="K483" s="17" t="s">
        <v>2092</v>
      </c>
      <c r="M483" t="s">
        <v>36</v>
      </c>
      <c r="N483" t="s">
        <v>1069</v>
      </c>
      <c r="O483" t="s">
        <v>60</v>
      </c>
      <c r="P483" s="15">
        <v>18</v>
      </c>
      <c r="Q483" s="18">
        <v>134372</v>
      </c>
      <c r="R483" s="19">
        <v>24</v>
      </c>
      <c r="S483" s="14">
        <v>3.1</v>
      </c>
      <c r="T483" s="7">
        <v>56</v>
      </c>
      <c r="U483" s="15">
        <v>4</v>
      </c>
      <c r="V483" s="15">
        <v>53</v>
      </c>
      <c r="W483" s="15">
        <v>46</v>
      </c>
      <c r="X483" t="s">
        <v>39</v>
      </c>
      <c r="Y483" t="s">
        <v>62</v>
      </c>
      <c r="Z483" s="14">
        <v>7.8</v>
      </c>
      <c r="AA483" s="12">
        <f>YEAR(Table1[Hire_Date])</f>
        <v>2018</v>
      </c>
      <c r="AB48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484" spans="1:28" x14ac:dyDescent="0.25">
      <c r="A484" t="s">
        <v>2093</v>
      </c>
      <c r="B484" s="16" t="s">
        <v>2094</v>
      </c>
      <c r="C484" s="16" t="s">
        <v>2095</v>
      </c>
      <c r="D484" t="s">
        <v>44</v>
      </c>
      <c r="E484" s="15">
        <v>39</v>
      </c>
      <c r="F484" s="16" t="s">
        <v>72</v>
      </c>
      <c r="G484" s="16" t="s">
        <v>97</v>
      </c>
      <c r="H484" s="16" t="s">
        <v>47</v>
      </c>
      <c r="I484" s="16" t="s">
        <v>57</v>
      </c>
      <c r="J484" s="16" t="s">
        <v>49</v>
      </c>
      <c r="K484" s="17" t="s">
        <v>2096</v>
      </c>
      <c r="M484" t="s">
        <v>36</v>
      </c>
      <c r="N484" t="s">
        <v>234</v>
      </c>
      <c r="O484" t="s">
        <v>52</v>
      </c>
      <c r="P484" s="15">
        <v>16</v>
      </c>
      <c r="Q484" s="18">
        <v>73024</v>
      </c>
      <c r="R484" s="19">
        <v>12</v>
      </c>
      <c r="S484" s="14">
        <v>3.6</v>
      </c>
      <c r="T484" s="7">
        <v>94</v>
      </c>
      <c r="U484" s="15">
        <v>2</v>
      </c>
      <c r="V484" s="15">
        <v>43</v>
      </c>
      <c r="W484" s="15">
        <v>20</v>
      </c>
      <c r="X484" t="s">
        <v>39</v>
      </c>
      <c r="Y484" t="s">
        <v>78</v>
      </c>
      <c r="Z484" s="14">
        <v>5.4</v>
      </c>
      <c r="AA484" s="12">
        <f>YEAR(Table1[Hire_Date])</f>
        <v>2021</v>
      </c>
      <c r="AB48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485" spans="1:28" x14ac:dyDescent="0.25">
      <c r="A485" t="s">
        <v>2097</v>
      </c>
      <c r="B485" s="16" t="s">
        <v>2098</v>
      </c>
      <c r="C485" s="16" t="s">
        <v>2099</v>
      </c>
      <c r="D485" t="s">
        <v>44</v>
      </c>
      <c r="E485" s="15">
        <v>57</v>
      </c>
      <c r="F485" s="16" t="s">
        <v>124</v>
      </c>
      <c r="G485" s="16" t="s">
        <v>13</v>
      </c>
      <c r="H485" s="16" t="s">
        <v>83</v>
      </c>
      <c r="I485" s="16" t="s">
        <v>48</v>
      </c>
      <c r="J485" s="16" t="s">
        <v>34</v>
      </c>
      <c r="K485" s="17" t="s">
        <v>2100</v>
      </c>
      <c r="M485" t="s">
        <v>36</v>
      </c>
      <c r="N485" t="s">
        <v>1237</v>
      </c>
      <c r="O485" t="s">
        <v>52</v>
      </c>
      <c r="P485" s="15">
        <v>8</v>
      </c>
      <c r="Q485" s="18">
        <v>145375</v>
      </c>
      <c r="R485" s="19">
        <v>7</v>
      </c>
      <c r="S485" s="14">
        <v>2.9</v>
      </c>
      <c r="T485" s="7">
        <v>66</v>
      </c>
      <c r="U485" s="15">
        <v>14</v>
      </c>
      <c r="V485" s="15">
        <v>3</v>
      </c>
      <c r="W485" s="15">
        <v>63</v>
      </c>
      <c r="X485" t="s">
        <v>61</v>
      </c>
      <c r="Y485" t="s">
        <v>62</v>
      </c>
      <c r="Z485" s="14">
        <v>0.2</v>
      </c>
      <c r="AA485" s="12">
        <f>YEAR(Table1[Hire_Date])</f>
        <v>2026</v>
      </c>
      <c r="AB48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486" spans="1:28" x14ac:dyDescent="0.25">
      <c r="A486" t="s">
        <v>2101</v>
      </c>
      <c r="B486" s="16" t="s">
        <v>2102</v>
      </c>
      <c r="C486" s="16" t="s">
        <v>2103</v>
      </c>
      <c r="D486" t="s">
        <v>29</v>
      </c>
      <c r="E486" s="15">
        <v>36</v>
      </c>
      <c r="F486" s="16" t="s">
        <v>103</v>
      </c>
      <c r="G486" s="16" t="s">
        <v>104</v>
      </c>
      <c r="H486" s="16" t="s">
        <v>66</v>
      </c>
      <c r="I486" s="16" t="s">
        <v>33</v>
      </c>
      <c r="J486" s="16" t="s">
        <v>34</v>
      </c>
      <c r="K486" s="17" t="s">
        <v>2104</v>
      </c>
      <c r="M486" t="s">
        <v>36</v>
      </c>
      <c r="N486" t="s">
        <v>277</v>
      </c>
      <c r="O486" t="s">
        <v>38</v>
      </c>
      <c r="P486" s="15">
        <v>20</v>
      </c>
      <c r="Q486" s="18">
        <v>137807</v>
      </c>
      <c r="R486" s="19">
        <v>17</v>
      </c>
      <c r="S486" s="14">
        <v>4.8</v>
      </c>
      <c r="T486" s="7">
        <v>90</v>
      </c>
      <c r="U486" s="15">
        <v>6</v>
      </c>
      <c r="V486" s="15">
        <v>6</v>
      </c>
      <c r="W486" s="15">
        <v>73</v>
      </c>
      <c r="X486" t="s">
        <v>39</v>
      </c>
      <c r="Y486" t="s">
        <v>62</v>
      </c>
      <c r="Z486" s="14">
        <v>1.9</v>
      </c>
      <c r="AA486" s="12">
        <f>YEAR(Table1[Hire_Date])</f>
        <v>2024</v>
      </c>
      <c r="AB48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487" spans="1:28" x14ac:dyDescent="0.25">
      <c r="A487" t="s">
        <v>2105</v>
      </c>
      <c r="B487" s="16" t="s">
        <v>2106</v>
      </c>
      <c r="C487" s="16" t="s">
        <v>2107</v>
      </c>
      <c r="D487" t="s">
        <v>29</v>
      </c>
      <c r="E487" s="15">
        <v>58</v>
      </c>
      <c r="F487" s="16" t="s">
        <v>30</v>
      </c>
      <c r="G487" s="16" t="s">
        <v>31</v>
      </c>
      <c r="H487" s="16" t="s">
        <v>32</v>
      </c>
      <c r="I487" s="16" t="s">
        <v>33</v>
      </c>
      <c r="J487" s="16" t="s">
        <v>49</v>
      </c>
      <c r="K487" s="17" t="s">
        <v>2108</v>
      </c>
      <c r="M487" t="s">
        <v>36</v>
      </c>
      <c r="N487" t="s">
        <v>263</v>
      </c>
      <c r="O487" t="s">
        <v>60</v>
      </c>
      <c r="P487" s="15">
        <v>2</v>
      </c>
      <c r="Q487" s="18">
        <v>142667</v>
      </c>
      <c r="R487" s="19">
        <v>11</v>
      </c>
      <c r="S487" s="14">
        <v>4.5</v>
      </c>
      <c r="T487" s="7">
        <v>88</v>
      </c>
      <c r="U487" s="15">
        <v>20</v>
      </c>
      <c r="V487" s="15">
        <v>6</v>
      </c>
      <c r="W487" s="15">
        <v>71</v>
      </c>
      <c r="X487" t="s">
        <v>39</v>
      </c>
      <c r="Y487" t="s">
        <v>62</v>
      </c>
      <c r="Z487" s="14">
        <v>6.5</v>
      </c>
      <c r="AA487" s="12">
        <f>YEAR(Table1[Hire_Date])</f>
        <v>2020</v>
      </c>
      <c r="AB48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488" spans="1:28" x14ac:dyDescent="0.25">
      <c r="A488" t="s">
        <v>2109</v>
      </c>
      <c r="B488" s="16" t="s">
        <v>2110</v>
      </c>
      <c r="C488" s="16" t="s">
        <v>2111</v>
      </c>
      <c r="D488" t="s">
        <v>44</v>
      </c>
      <c r="E488" s="15">
        <v>21</v>
      </c>
      <c r="F488" s="16" t="s">
        <v>30</v>
      </c>
      <c r="G488" s="16" t="s">
        <v>31</v>
      </c>
      <c r="H488" s="16" t="s">
        <v>66</v>
      </c>
      <c r="I488" s="16" t="s">
        <v>57</v>
      </c>
      <c r="J488" s="16" t="s">
        <v>49</v>
      </c>
      <c r="K488" s="17" t="s">
        <v>2112</v>
      </c>
      <c r="M488" t="s">
        <v>36</v>
      </c>
      <c r="N488" t="s">
        <v>536</v>
      </c>
      <c r="O488" t="s">
        <v>60</v>
      </c>
      <c r="P488" s="15">
        <v>4</v>
      </c>
      <c r="Q488" s="18">
        <v>145224</v>
      </c>
      <c r="R488" s="19">
        <v>8</v>
      </c>
      <c r="S488" s="14">
        <v>5</v>
      </c>
      <c r="T488" s="7">
        <v>98</v>
      </c>
      <c r="U488" s="15">
        <v>6</v>
      </c>
      <c r="V488" s="15">
        <v>60</v>
      </c>
      <c r="W488" s="15">
        <v>37</v>
      </c>
      <c r="X488" t="s">
        <v>39</v>
      </c>
      <c r="Y488" t="s">
        <v>40</v>
      </c>
      <c r="Z488" s="14">
        <v>3.4</v>
      </c>
      <c r="AA488" s="12">
        <f>YEAR(Table1[Hire_Date])</f>
        <v>2023</v>
      </c>
      <c r="AB48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489" spans="1:28" x14ac:dyDescent="0.25">
      <c r="A489" t="s">
        <v>2113</v>
      </c>
      <c r="B489" s="16" t="s">
        <v>2114</v>
      </c>
      <c r="C489" s="16" t="s">
        <v>2115</v>
      </c>
      <c r="D489" t="s">
        <v>44</v>
      </c>
      <c r="E489" s="15">
        <v>52</v>
      </c>
      <c r="F489" s="16" t="s">
        <v>124</v>
      </c>
      <c r="G489" s="16" t="s">
        <v>141</v>
      </c>
      <c r="H489" s="16" t="s">
        <v>32</v>
      </c>
      <c r="I489" s="16" t="s">
        <v>57</v>
      </c>
      <c r="J489" s="16" t="s">
        <v>34</v>
      </c>
      <c r="K489" s="17" t="s">
        <v>2116</v>
      </c>
      <c r="M489" t="s">
        <v>36</v>
      </c>
      <c r="N489" t="s">
        <v>314</v>
      </c>
      <c r="O489" t="s">
        <v>38</v>
      </c>
      <c r="P489" s="15">
        <v>14</v>
      </c>
      <c r="Q489" s="18">
        <v>117195</v>
      </c>
      <c r="R489" s="19">
        <v>22</v>
      </c>
      <c r="S489" s="14">
        <v>2.8</v>
      </c>
      <c r="T489" s="7">
        <v>79</v>
      </c>
      <c r="U489" s="15">
        <v>15</v>
      </c>
      <c r="V489" s="15">
        <v>49</v>
      </c>
      <c r="W489" s="15">
        <v>11</v>
      </c>
      <c r="X489" t="s">
        <v>39</v>
      </c>
      <c r="Y489" t="s">
        <v>62</v>
      </c>
      <c r="Z489" s="14">
        <v>4.5999999999999996</v>
      </c>
      <c r="AA489" s="12">
        <f>YEAR(Table1[Hire_Date])</f>
        <v>2021</v>
      </c>
      <c r="AB48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490" spans="1:28" x14ac:dyDescent="0.25">
      <c r="A490" t="s">
        <v>2117</v>
      </c>
      <c r="B490" s="16" t="s">
        <v>2118</v>
      </c>
      <c r="C490" s="16" t="s">
        <v>2119</v>
      </c>
      <c r="D490" t="s">
        <v>44</v>
      </c>
      <c r="E490" s="15">
        <v>48</v>
      </c>
      <c r="F490" s="16" t="s">
        <v>124</v>
      </c>
      <c r="G490" s="16" t="s">
        <v>141</v>
      </c>
      <c r="H490" s="16" t="s">
        <v>47</v>
      </c>
      <c r="I490" s="16" t="s">
        <v>33</v>
      </c>
      <c r="J490" s="16" t="s">
        <v>49</v>
      </c>
      <c r="K490" s="17" t="s">
        <v>346</v>
      </c>
      <c r="M490" t="s">
        <v>36</v>
      </c>
      <c r="N490" t="s">
        <v>149</v>
      </c>
      <c r="O490" t="s">
        <v>52</v>
      </c>
      <c r="P490" s="15">
        <v>2</v>
      </c>
      <c r="Q490" s="18">
        <v>82964</v>
      </c>
      <c r="R490" s="19">
        <v>15</v>
      </c>
      <c r="S490" s="14">
        <v>4.9000000000000004</v>
      </c>
      <c r="T490" s="7">
        <v>78</v>
      </c>
      <c r="U490" s="15">
        <v>8</v>
      </c>
      <c r="V490" s="15">
        <v>59</v>
      </c>
      <c r="W490" s="15">
        <v>50</v>
      </c>
      <c r="X490" t="s">
        <v>39</v>
      </c>
      <c r="Y490" t="s">
        <v>40</v>
      </c>
      <c r="Z490" s="14">
        <v>7.8</v>
      </c>
      <c r="AA490" s="12">
        <f>YEAR(Table1[Hire_Date])</f>
        <v>2018</v>
      </c>
      <c r="AB49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491" spans="1:28" x14ac:dyDescent="0.25">
      <c r="A491" t="s">
        <v>2120</v>
      </c>
      <c r="B491" s="16" t="s">
        <v>2121</v>
      </c>
      <c r="C491" s="16" t="s">
        <v>2122</v>
      </c>
      <c r="D491" t="s">
        <v>44</v>
      </c>
      <c r="E491" s="15">
        <v>45</v>
      </c>
      <c r="F491" s="16" t="s">
        <v>124</v>
      </c>
      <c r="G491" s="16" t="s">
        <v>104</v>
      </c>
      <c r="H491" s="16" t="s">
        <v>56</v>
      </c>
      <c r="I491" s="16" t="s">
        <v>33</v>
      </c>
      <c r="J491" s="16" t="s">
        <v>34</v>
      </c>
      <c r="K491" s="17" t="s">
        <v>2123</v>
      </c>
      <c r="L491" s="17" t="s">
        <v>2124</v>
      </c>
      <c r="M491" t="s">
        <v>76</v>
      </c>
      <c r="N491" t="s">
        <v>1237</v>
      </c>
      <c r="O491" t="s">
        <v>52</v>
      </c>
      <c r="P491" s="15">
        <v>10</v>
      </c>
      <c r="Q491" s="18">
        <v>92854</v>
      </c>
      <c r="R491" s="19">
        <v>13</v>
      </c>
      <c r="S491" s="14">
        <v>4.5999999999999996</v>
      </c>
      <c r="T491" s="7">
        <v>61</v>
      </c>
      <c r="U491" s="15">
        <v>16</v>
      </c>
      <c r="V491" s="15">
        <v>57</v>
      </c>
      <c r="W491" s="15">
        <v>44</v>
      </c>
      <c r="X491" t="s">
        <v>61</v>
      </c>
      <c r="Y491" t="s">
        <v>40</v>
      </c>
      <c r="Z491" s="14">
        <v>5</v>
      </c>
      <c r="AA491" s="12">
        <f>YEAR(Table1[Hire_Date])</f>
        <v>2021</v>
      </c>
      <c r="AB49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492" spans="1:28" x14ac:dyDescent="0.25">
      <c r="A492" t="s">
        <v>2125</v>
      </c>
      <c r="B492" s="16" t="s">
        <v>2126</v>
      </c>
      <c r="C492" s="16" t="s">
        <v>2127</v>
      </c>
      <c r="D492" t="s">
        <v>44</v>
      </c>
      <c r="E492" s="15">
        <v>33</v>
      </c>
      <c r="F492" s="16" t="s">
        <v>124</v>
      </c>
      <c r="G492" s="16" t="s">
        <v>104</v>
      </c>
      <c r="H492" s="16" t="s">
        <v>83</v>
      </c>
      <c r="I492" s="16" t="s">
        <v>57</v>
      </c>
      <c r="J492" s="16" t="s">
        <v>34</v>
      </c>
      <c r="K492" s="17" t="s">
        <v>105</v>
      </c>
      <c r="M492" t="s">
        <v>36</v>
      </c>
      <c r="N492" t="s">
        <v>258</v>
      </c>
      <c r="O492" t="s">
        <v>38</v>
      </c>
      <c r="P492" s="15">
        <v>1</v>
      </c>
      <c r="Q492" s="18">
        <v>90870</v>
      </c>
      <c r="R492" s="19">
        <v>5</v>
      </c>
      <c r="S492" s="14">
        <v>3.9</v>
      </c>
      <c r="T492" s="7">
        <v>51</v>
      </c>
      <c r="U492" s="15">
        <v>2</v>
      </c>
      <c r="V492" s="15">
        <v>22</v>
      </c>
      <c r="W492" s="15">
        <v>70</v>
      </c>
      <c r="X492" t="s">
        <v>39</v>
      </c>
      <c r="Y492" t="s">
        <v>40</v>
      </c>
      <c r="Z492" s="14">
        <v>6</v>
      </c>
      <c r="AA492" s="12">
        <f>YEAR(Table1[Hire_Date])</f>
        <v>2020</v>
      </c>
      <c r="AB49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493" spans="1:28" x14ac:dyDescent="0.25">
      <c r="A493" t="s">
        <v>2128</v>
      </c>
      <c r="B493" s="16" t="s">
        <v>2129</v>
      </c>
      <c r="C493" s="16" t="s">
        <v>2130</v>
      </c>
      <c r="D493" t="s">
        <v>44</v>
      </c>
      <c r="E493" s="15">
        <v>49</v>
      </c>
      <c r="F493" s="16" t="s">
        <v>90</v>
      </c>
      <c r="G493" s="16" t="s">
        <v>281</v>
      </c>
      <c r="H493" s="16" t="s">
        <v>83</v>
      </c>
      <c r="I493" s="16" t="s">
        <v>57</v>
      </c>
      <c r="J493" s="16" t="s">
        <v>34</v>
      </c>
      <c r="K493" s="17" t="s">
        <v>2131</v>
      </c>
      <c r="M493" t="s">
        <v>36</v>
      </c>
      <c r="N493" t="s">
        <v>77</v>
      </c>
      <c r="O493" t="s">
        <v>38</v>
      </c>
      <c r="P493" s="15">
        <v>33</v>
      </c>
      <c r="Q493" s="18">
        <v>41054</v>
      </c>
      <c r="R493" s="19">
        <v>24</v>
      </c>
      <c r="S493" s="14">
        <v>4.8</v>
      </c>
      <c r="T493" s="7">
        <v>100</v>
      </c>
      <c r="U493" s="15">
        <v>20</v>
      </c>
      <c r="V493" s="15">
        <v>16</v>
      </c>
      <c r="W493" s="15">
        <v>7</v>
      </c>
      <c r="X493" t="s">
        <v>61</v>
      </c>
      <c r="Y493" t="s">
        <v>62</v>
      </c>
      <c r="Z493" s="14">
        <v>5.6</v>
      </c>
      <c r="AA493" s="12">
        <f>YEAR(Table1[Hire_Date])</f>
        <v>2021</v>
      </c>
      <c r="AB49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494" spans="1:28" x14ac:dyDescent="0.25">
      <c r="A494" t="s">
        <v>2132</v>
      </c>
      <c r="B494" s="16" t="s">
        <v>2133</v>
      </c>
      <c r="C494" s="16" t="s">
        <v>2134</v>
      </c>
      <c r="D494" t="s">
        <v>44</v>
      </c>
      <c r="E494" s="15">
        <v>32</v>
      </c>
      <c r="F494" s="16" t="s">
        <v>72</v>
      </c>
      <c r="G494" s="16" t="s">
        <v>135</v>
      </c>
      <c r="H494" s="16" t="s">
        <v>56</v>
      </c>
      <c r="I494" s="16" t="s">
        <v>33</v>
      </c>
      <c r="J494" s="16" t="s">
        <v>34</v>
      </c>
      <c r="K494" s="17" t="s">
        <v>2135</v>
      </c>
      <c r="M494" t="s">
        <v>36</v>
      </c>
      <c r="N494" t="s">
        <v>314</v>
      </c>
      <c r="O494" t="s">
        <v>60</v>
      </c>
      <c r="P494" s="15">
        <v>29</v>
      </c>
      <c r="Q494" s="18">
        <v>83598</v>
      </c>
      <c r="R494" s="19">
        <v>14</v>
      </c>
      <c r="S494" s="14">
        <v>4.9000000000000004</v>
      </c>
      <c r="T494" s="7">
        <v>63</v>
      </c>
      <c r="U494" s="15">
        <v>11</v>
      </c>
      <c r="V494" s="15">
        <v>40</v>
      </c>
      <c r="W494" s="15">
        <v>63</v>
      </c>
      <c r="X494" t="s">
        <v>39</v>
      </c>
      <c r="Y494" t="s">
        <v>40</v>
      </c>
      <c r="Z494" s="14">
        <v>10.4</v>
      </c>
      <c r="AA494" s="12">
        <f>YEAR(Table1[Hire_Date])</f>
        <v>2016</v>
      </c>
      <c r="AB49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495" spans="1:28" x14ac:dyDescent="0.25">
      <c r="A495" t="s">
        <v>2136</v>
      </c>
      <c r="B495" s="16" t="s">
        <v>2137</v>
      </c>
      <c r="C495" s="16" t="s">
        <v>2138</v>
      </c>
      <c r="D495" t="s">
        <v>44</v>
      </c>
      <c r="E495" s="15">
        <v>27</v>
      </c>
      <c r="F495" s="16" t="s">
        <v>72</v>
      </c>
      <c r="G495" s="16" t="s">
        <v>97</v>
      </c>
      <c r="H495" s="16" t="s">
        <v>47</v>
      </c>
      <c r="I495" s="16" t="s">
        <v>57</v>
      </c>
      <c r="J495" s="16" t="s">
        <v>34</v>
      </c>
      <c r="K495" s="17" t="s">
        <v>366</v>
      </c>
      <c r="L495" s="17" t="s">
        <v>2139</v>
      </c>
      <c r="M495" t="s">
        <v>76</v>
      </c>
      <c r="N495" t="s">
        <v>214</v>
      </c>
      <c r="O495" t="s">
        <v>60</v>
      </c>
      <c r="P495" s="15">
        <v>1</v>
      </c>
      <c r="Q495" s="18">
        <v>115887</v>
      </c>
      <c r="R495" s="19">
        <v>24</v>
      </c>
      <c r="S495" s="14">
        <v>4.8</v>
      </c>
      <c r="T495" s="7">
        <v>53</v>
      </c>
      <c r="U495" s="15">
        <v>10</v>
      </c>
      <c r="V495" s="15">
        <v>40</v>
      </c>
      <c r="W495" s="15">
        <v>27</v>
      </c>
      <c r="X495" t="s">
        <v>39</v>
      </c>
      <c r="Y495" t="s">
        <v>62</v>
      </c>
      <c r="Z495" s="14">
        <v>7.3</v>
      </c>
      <c r="AA495" s="12">
        <f>YEAR(Table1[Hire_Date])</f>
        <v>2019</v>
      </c>
      <c r="AB49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496" spans="1:28" x14ac:dyDescent="0.25">
      <c r="A496" t="s">
        <v>2140</v>
      </c>
      <c r="B496" s="16" t="s">
        <v>2141</v>
      </c>
      <c r="C496" s="16" t="s">
        <v>2142</v>
      </c>
      <c r="D496" t="s">
        <v>29</v>
      </c>
      <c r="E496" s="15">
        <v>27</v>
      </c>
      <c r="F496" s="16" t="s">
        <v>124</v>
      </c>
      <c r="G496" s="16" t="s">
        <v>13</v>
      </c>
      <c r="H496" s="16" t="s">
        <v>32</v>
      </c>
      <c r="I496" s="16" t="s">
        <v>33</v>
      </c>
      <c r="J496" s="16" t="s">
        <v>34</v>
      </c>
      <c r="K496" s="17" t="s">
        <v>2143</v>
      </c>
      <c r="M496" t="s">
        <v>36</v>
      </c>
      <c r="N496" t="s">
        <v>51</v>
      </c>
      <c r="O496" t="s">
        <v>60</v>
      </c>
      <c r="P496" s="15">
        <v>4</v>
      </c>
      <c r="Q496" s="18">
        <v>154365</v>
      </c>
      <c r="R496" s="19">
        <v>25</v>
      </c>
      <c r="S496" s="14">
        <v>4.3</v>
      </c>
      <c r="T496" s="7">
        <v>88</v>
      </c>
      <c r="U496" s="15">
        <v>17</v>
      </c>
      <c r="V496" s="15">
        <v>22</v>
      </c>
      <c r="W496" s="15">
        <v>9</v>
      </c>
      <c r="X496" t="s">
        <v>61</v>
      </c>
      <c r="Y496" t="s">
        <v>62</v>
      </c>
      <c r="Z496" s="14">
        <v>3.3</v>
      </c>
      <c r="AA496" s="12">
        <f>YEAR(Table1[Hire_Date])</f>
        <v>2023</v>
      </c>
      <c r="AB49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497" spans="1:28" x14ac:dyDescent="0.25">
      <c r="A497" t="s">
        <v>2144</v>
      </c>
      <c r="B497" s="16" t="s">
        <v>2145</v>
      </c>
      <c r="C497" s="16" t="s">
        <v>2146</v>
      </c>
      <c r="D497" t="s">
        <v>44</v>
      </c>
      <c r="E497" s="15">
        <v>51</v>
      </c>
      <c r="F497" s="16" t="s">
        <v>45</v>
      </c>
      <c r="G497" s="16" t="s">
        <v>46</v>
      </c>
      <c r="H497" s="16" t="s">
        <v>66</v>
      </c>
      <c r="I497" s="16" t="s">
        <v>57</v>
      </c>
      <c r="J497" s="16" t="s">
        <v>49</v>
      </c>
      <c r="K497" s="17" t="s">
        <v>2147</v>
      </c>
      <c r="L497" s="17" t="s">
        <v>2148</v>
      </c>
      <c r="M497" t="s">
        <v>76</v>
      </c>
      <c r="N497" t="s">
        <v>333</v>
      </c>
      <c r="O497" t="s">
        <v>38</v>
      </c>
      <c r="P497" s="15">
        <v>4</v>
      </c>
      <c r="Q497" s="18">
        <v>145986</v>
      </c>
      <c r="R497" s="19">
        <v>19</v>
      </c>
      <c r="S497" s="14">
        <v>3.4</v>
      </c>
      <c r="T497" s="7">
        <v>93</v>
      </c>
      <c r="U497" s="15">
        <v>19</v>
      </c>
      <c r="V497" s="15">
        <v>20</v>
      </c>
      <c r="W497" s="15">
        <v>53</v>
      </c>
      <c r="X497" t="s">
        <v>39</v>
      </c>
      <c r="Y497" t="s">
        <v>40</v>
      </c>
      <c r="Z497" s="14">
        <v>0.5</v>
      </c>
      <c r="AA497" s="12">
        <f>YEAR(Table1[Hire_Date])</f>
        <v>2026</v>
      </c>
      <c r="AB49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498" spans="1:28" x14ac:dyDescent="0.25">
      <c r="A498" t="s">
        <v>2149</v>
      </c>
      <c r="B498" s="16" t="s">
        <v>2150</v>
      </c>
      <c r="C498" s="16" t="s">
        <v>2151</v>
      </c>
      <c r="D498" t="s">
        <v>29</v>
      </c>
      <c r="E498" s="15">
        <v>58</v>
      </c>
      <c r="F498" s="16" t="s">
        <v>45</v>
      </c>
      <c r="G498" s="16" t="s">
        <v>46</v>
      </c>
      <c r="H498" s="16" t="s">
        <v>47</v>
      </c>
      <c r="I498" s="16" t="s">
        <v>48</v>
      </c>
      <c r="J498" s="16" t="s">
        <v>49</v>
      </c>
      <c r="K498" s="17" t="s">
        <v>2152</v>
      </c>
      <c r="M498" t="s">
        <v>36</v>
      </c>
      <c r="N498" t="s">
        <v>536</v>
      </c>
      <c r="O498" t="s">
        <v>60</v>
      </c>
      <c r="P498" s="15">
        <v>3</v>
      </c>
      <c r="Q498" s="18">
        <v>154078</v>
      </c>
      <c r="R498" s="19">
        <v>20</v>
      </c>
      <c r="S498" s="14">
        <v>4.3</v>
      </c>
      <c r="T498" s="7">
        <v>59</v>
      </c>
      <c r="U498" s="15">
        <v>9</v>
      </c>
      <c r="V498" s="15">
        <v>52</v>
      </c>
      <c r="W498" s="15">
        <v>76</v>
      </c>
      <c r="X498" t="s">
        <v>61</v>
      </c>
      <c r="Y498" t="s">
        <v>78</v>
      </c>
      <c r="Z498" s="14">
        <v>5.0999999999999996</v>
      </c>
      <c r="AA498" s="12">
        <f>YEAR(Table1[Hire_Date])</f>
        <v>2021</v>
      </c>
      <c r="AB49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499" spans="1:28" x14ac:dyDescent="0.25">
      <c r="A499" t="s">
        <v>2153</v>
      </c>
      <c r="B499" s="16" t="s">
        <v>2154</v>
      </c>
      <c r="C499" s="16" t="s">
        <v>2155</v>
      </c>
      <c r="D499" t="s">
        <v>44</v>
      </c>
      <c r="E499" s="15">
        <v>40</v>
      </c>
      <c r="F499" s="16" t="s">
        <v>30</v>
      </c>
      <c r="G499" s="16" t="s">
        <v>31</v>
      </c>
      <c r="H499" s="16" t="s">
        <v>66</v>
      </c>
      <c r="I499" s="16" t="s">
        <v>48</v>
      </c>
      <c r="J499" s="16" t="s">
        <v>49</v>
      </c>
      <c r="K499" s="17" t="s">
        <v>2156</v>
      </c>
      <c r="M499" t="s">
        <v>36</v>
      </c>
      <c r="N499" t="s">
        <v>199</v>
      </c>
      <c r="O499" t="s">
        <v>38</v>
      </c>
      <c r="P499" s="15">
        <v>30</v>
      </c>
      <c r="Q499" s="18">
        <v>56325</v>
      </c>
      <c r="R499" s="19">
        <v>15</v>
      </c>
      <c r="S499" s="14">
        <v>2.8</v>
      </c>
      <c r="T499" s="7">
        <v>75</v>
      </c>
      <c r="U499" s="15">
        <v>4</v>
      </c>
      <c r="V499" s="15">
        <v>12</v>
      </c>
      <c r="W499" s="15">
        <v>53</v>
      </c>
      <c r="X499" t="s">
        <v>39</v>
      </c>
      <c r="Y499" t="s">
        <v>78</v>
      </c>
      <c r="Z499" s="14">
        <v>6.3</v>
      </c>
      <c r="AA499" s="12">
        <f>YEAR(Table1[Hire_Date])</f>
        <v>2020</v>
      </c>
      <c r="AB49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500" spans="1:28" x14ac:dyDescent="0.25">
      <c r="A500" t="s">
        <v>2157</v>
      </c>
      <c r="B500" s="16" t="s">
        <v>2158</v>
      </c>
      <c r="C500" s="16" t="s">
        <v>2159</v>
      </c>
      <c r="D500" t="s">
        <v>44</v>
      </c>
      <c r="E500" s="15">
        <v>23</v>
      </c>
      <c r="F500" s="16" t="s">
        <v>45</v>
      </c>
      <c r="G500" s="16" t="s">
        <v>82</v>
      </c>
      <c r="H500" s="16" t="s">
        <v>56</v>
      </c>
      <c r="I500" s="16" t="s">
        <v>48</v>
      </c>
      <c r="J500" s="16" t="s">
        <v>49</v>
      </c>
      <c r="K500" s="17" t="s">
        <v>2160</v>
      </c>
      <c r="M500" t="s">
        <v>36</v>
      </c>
      <c r="N500" t="s">
        <v>858</v>
      </c>
      <c r="O500" t="s">
        <v>52</v>
      </c>
      <c r="P500" s="15">
        <v>20</v>
      </c>
      <c r="Q500" s="18">
        <v>95916</v>
      </c>
      <c r="R500" s="19">
        <v>14</v>
      </c>
      <c r="S500" s="14">
        <v>3.6</v>
      </c>
      <c r="T500" s="7">
        <v>79</v>
      </c>
      <c r="U500" s="15">
        <v>20</v>
      </c>
      <c r="V500" s="15">
        <v>43</v>
      </c>
      <c r="W500" s="15">
        <v>80</v>
      </c>
      <c r="X500" t="s">
        <v>61</v>
      </c>
      <c r="Y500" t="s">
        <v>62</v>
      </c>
      <c r="Z500" s="14">
        <v>0.7</v>
      </c>
      <c r="AA500" s="12">
        <f>YEAR(Table1[Hire_Date])</f>
        <v>2025</v>
      </c>
      <c r="AB50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501" spans="1:28" x14ac:dyDescent="0.25">
      <c r="A501" t="s">
        <v>2161</v>
      </c>
      <c r="B501" s="16" t="s">
        <v>2162</v>
      </c>
      <c r="C501" s="16" t="s">
        <v>2163</v>
      </c>
      <c r="D501" t="s">
        <v>44</v>
      </c>
      <c r="E501" s="15">
        <v>50</v>
      </c>
      <c r="F501" s="16" t="s">
        <v>30</v>
      </c>
      <c r="G501" s="16" t="s">
        <v>13</v>
      </c>
      <c r="H501" s="16" t="s">
        <v>32</v>
      </c>
      <c r="I501" s="16" t="s">
        <v>57</v>
      </c>
      <c r="J501" s="16" t="s">
        <v>49</v>
      </c>
      <c r="K501" s="17" t="s">
        <v>2164</v>
      </c>
      <c r="M501" t="s">
        <v>36</v>
      </c>
      <c r="N501" t="s">
        <v>248</v>
      </c>
      <c r="O501" t="s">
        <v>52</v>
      </c>
      <c r="P501" s="15">
        <v>14</v>
      </c>
      <c r="Q501" s="18">
        <v>133507</v>
      </c>
      <c r="R501" s="19">
        <v>6</v>
      </c>
      <c r="S501" s="14">
        <v>4.5</v>
      </c>
      <c r="T501" s="7">
        <v>87</v>
      </c>
      <c r="U501" s="15">
        <v>16</v>
      </c>
      <c r="V501" s="15">
        <v>23</v>
      </c>
      <c r="W501" s="15">
        <v>78</v>
      </c>
      <c r="X501" t="s">
        <v>61</v>
      </c>
      <c r="Y501" t="s">
        <v>62</v>
      </c>
      <c r="Z501" s="14">
        <v>9.5</v>
      </c>
      <c r="AA501" s="12">
        <f>YEAR(Table1[Hire_Date])</f>
        <v>2017</v>
      </c>
      <c r="AB50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502" spans="1:28" x14ac:dyDescent="0.25">
      <c r="A502" t="s">
        <v>2165</v>
      </c>
      <c r="B502" s="16" t="s">
        <v>2166</v>
      </c>
      <c r="C502" s="16" t="s">
        <v>2167</v>
      </c>
      <c r="D502" t="s">
        <v>44</v>
      </c>
      <c r="E502" s="15">
        <v>30</v>
      </c>
      <c r="F502" s="16" t="s">
        <v>103</v>
      </c>
      <c r="G502" s="16" t="s">
        <v>13</v>
      </c>
      <c r="H502" s="16" t="s">
        <v>47</v>
      </c>
      <c r="I502" s="16" t="s">
        <v>33</v>
      </c>
      <c r="J502" s="16" t="s">
        <v>49</v>
      </c>
      <c r="K502" s="17" t="s">
        <v>1891</v>
      </c>
      <c r="M502" t="s">
        <v>36</v>
      </c>
      <c r="N502" t="s">
        <v>77</v>
      </c>
      <c r="O502" t="s">
        <v>52</v>
      </c>
      <c r="P502" s="15">
        <v>17</v>
      </c>
      <c r="Q502" s="18">
        <v>103565</v>
      </c>
      <c r="R502" s="19">
        <v>5</v>
      </c>
      <c r="S502" s="14">
        <v>3.9</v>
      </c>
      <c r="T502" s="7">
        <v>51</v>
      </c>
      <c r="U502" s="15">
        <v>19</v>
      </c>
      <c r="V502" s="15">
        <v>5</v>
      </c>
      <c r="W502" s="15">
        <v>10</v>
      </c>
      <c r="X502" t="s">
        <v>61</v>
      </c>
      <c r="Y502" t="s">
        <v>78</v>
      </c>
      <c r="Z502" s="14">
        <v>6</v>
      </c>
      <c r="AA502" s="12">
        <f>YEAR(Table1[Hire_Date])</f>
        <v>2020</v>
      </c>
      <c r="AB50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503" spans="1:28" x14ac:dyDescent="0.25">
      <c r="A503" t="s">
        <v>2168</v>
      </c>
      <c r="B503" s="16" t="s">
        <v>2169</v>
      </c>
      <c r="C503" s="16" t="s">
        <v>2170</v>
      </c>
      <c r="D503" t="s">
        <v>44</v>
      </c>
      <c r="E503" s="15">
        <v>45</v>
      </c>
      <c r="F503" s="16" t="s">
        <v>103</v>
      </c>
      <c r="G503" s="16" t="s">
        <v>13</v>
      </c>
      <c r="H503" s="16" t="s">
        <v>56</v>
      </c>
      <c r="I503" s="16" t="s">
        <v>33</v>
      </c>
      <c r="J503" s="16" t="s">
        <v>49</v>
      </c>
      <c r="K503" s="17" t="s">
        <v>2171</v>
      </c>
      <c r="L503" s="17" t="s">
        <v>2172</v>
      </c>
      <c r="M503" t="s">
        <v>76</v>
      </c>
      <c r="N503" t="s">
        <v>106</v>
      </c>
      <c r="O503" t="s">
        <v>52</v>
      </c>
      <c r="P503" s="15">
        <v>30</v>
      </c>
      <c r="Q503" s="18">
        <v>152713</v>
      </c>
      <c r="R503" s="19">
        <v>24</v>
      </c>
      <c r="S503" s="14">
        <v>3.2</v>
      </c>
      <c r="T503" s="7">
        <v>89</v>
      </c>
      <c r="U503" s="15">
        <v>6</v>
      </c>
      <c r="V503" s="15">
        <v>15</v>
      </c>
      <c r="W503" s="15">
        <v>54</v>
      </c>
      <c r="X503" t="s">
        <v>39</v>
      </c>
      <c r="Y503" t="s">
        <v>78</v>
      </c>
      <c r="Z503" s="14">
        <v>7.5</v>
      </c>
      <c r="AA503" s="12">
        <f>YEAR(Table1[Hire_Date])</f>
        <v>2019</v>
      </c>
      <c r="AB50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504" spans="1:28" x14ac:dyDescent="0.25">
      <c r="A504" t="s">
        <v>2173</v>
      </c>
      <c r="B504" s="16" t="s">
        <v>2174</v>
      </c>
      <c r="C504" s="16" t="s">
        <v>2175</v>
      </c>
      <c r="D504" t="s">
        <v>29</v>
      </c>
      <c r="E504" s="15">
        <v>30</v>
      </c>
      <c r="F504" s="16" t="s">
        <v>90</v>
      </c>
      <c r="G504" s="16" t="s">
        <v>281</v>
      </c>
      <c r="H504" s="16" t="s">
        <v>32</v>
      </c>
      <c r="I504" s="16" t="s">
        <v>57</v>
      </c>
      <c r="J504" s="16" t="s">
        <v>34</v>
      </c>
      <c r="K504" s="17" t="s">
        <v>2176</v>
      </c>
      <c r="M504" t="s">
        <v>36</v>
      </c>
      <c r="N504" t="s">
        <v>59</v>
      </c>
      <c r="O504" t="s">
        <v>52</v>
      </c>
      <c r="P504" s="15">
        <v>13</v>
      </c>
      <c r="Q504" s="18">
        <v>68908</v>
      </c>
      <c r="R504" s="19">
        <v>5</v>
      </c>
      <c r="S504" s="14">
        <v>4.2</v>
      </c>
      <c r="T504" s="7">
        <v>73</v>
      </c>
      <c r="U504" s="15">
        <v>15</v>
      </c>
      <c r="V504" s="15">
        <v>55</v>
      </c>
      <c r="W504" s="15">
        <v>34</v>
      </c>
      <c r="X504" t="s">
        <v>61</v>
      </c>
      <c r="Y504" t="s">
        <v>40</v>
      </c>
      <c r="Z504" s="14">
        <v>0.5</v>
      </c>
      <c r="AA504" s="12">
        <f>YEAR(Table1[Hire_Date])</f>
        <v>2026</v>
      </c>
      <c r="AB50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505" spans="1:28" x14ac:dyDescent="0.25">
      <c r="A505" t="s">
        <v>2177</v>
      </c>
      <c r="B505" s="16" t="s">
        <v>2178</v>
      </c>
      <c r="C505" s="16" t="s">
        <v>2179</v>
      </c>
      <c r="D505" t="s">
        <v>29</v>
      </c>
      <c r="E505" s="15">
        <v>37</v>
      </c>
      <c r="F505" s="16" t="s">
        <v>124</v>
      </c>
      <c r="G505" s="16" t="s">
        <v>13</v>
      </c>
      <c r="H505" s="16" t="s">
        <v>32</v>
      </c>
      <c r="I505" s="16" t="s">
        <v>33</v>
      </c>
      <c r="J505" s="16" t="s">
        <v>49</v>
      </c>
      <c r="K505" s="17" t="s">
        <v>308</v>
      </c>
      <c r="M505" t="s">
        <v>36</v>
      </c>
      <c r="N505" t="s">
        <v>143</v>
      </c>
      <c r="O505" t="s">
        <v>52</v>
      </c>
      <c r="P505" s="15">
        <v>20</v>
      </c>
      <c r="Q505" s="18">
        <v>87107</v>
      </c>
      <c r="R505" s="19">
        <v>16</v>
      </c>
      <c r="S505" s="14">
        <v>4.5999999999999996</v>
      </c>
      <c r="T505" s="7">
        <v>87</v>
      </c>
      <c r="U505" s="15">
        <v>18</v>
      </c>
      <c r="V505" s="15">
        <v>45</v>
      </c>
      <c r="W505" s="15">
        <v>57</v>
      </c>
      <c r="X505" t="s">
        <v>61</v>
      </c>
      <c r="Y505" t="s">
        <v>62</v>
      </c>
      <c r="Z505" s="14">
        <v>2.5</v>
      </c>
      <c r="AA505" s="12">
        <f>YEAR(Table1[Hire_Date])</f>
        <v>2024</v>
      </c>
      <c r="AB50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506" spans="1:28" x14ac:dyDescent="0.25">
      <c r="A506" t="s">
        <v>2180</v>
      </c>
      <c r="B506" s="16" t="s">
        <v>2181</v>
      </c>
      <c r="C506" s="16" t="s">
        <v>2182</v>
      </c>
      <c r="D506" t="s">
        <v>44</v>
      </c>
      <c r="E506" s="15">
        <v>44</v>
      </c>
      <c r="F506" s="16" t="s">
        <v>45</v>
      </c>
      <c r="G506" s="16" t="s">
        <v>82</v>
      </c>
      <c r="H506" s="16" t="s">
        <v>66</v>
      </c>
      <c r="I506" s="16" t="s">
        <v>33</v>
      </c>
      <c r="J506" s="16" t="s">
        <v>49</v>
      </c>
      <c r="K506" s="17" t="s">
        <v>2183</v>
      </c>
      <c r="M506" t="s">
        <v>36</v>
      </c>
      <c r="N506" t="s">
        <v>199</v>
      </c>
      <c r="O506" t="s">
        <v>38</v>
      </c>
      <c r="P506" s="15">
        <v>17</v>
      </c>
      <c r="Q506" s="18">
        <v>73413</v>
      </c>
      <c r="R506" s="19">
        <v>22</v>
      </c>
      <c r="S506" s="14">
        <v>4.9000000000000004</v>
      </c>
      <c r="T506" s="7">
        <v>73</v>
      </c>
      <c r="U506" s="15">
        <v>0</v>
      </c>
      <c r="V506" s="15">
        <v>17</v>
      </c>
      <c r="W506" s="15">
        <v>19</v>
      </c>
      <c r="X506" t="s">
        <v>39</v>
      </c>
      <c r="Y506" t="s">
        <v>40</v>
      </c>
      <c r="Z506" s="14">
        <v>3.7</v>
      </c>
      <c r="AA506" s="12">
        <f>YEAR(Table1[Hire_Date])</f>
        <v>2022</v>
      </c>
      <c r="AB50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507" spans="1:28" x14ac:dyDescent="0.25">
      <c r="A507" t="s">
        <v>2184</v>
      </c>
      <c r="B507" s="16" t="s">
        <v>2185</v>
      </c>
      <c r="C507" s="16" t="s">
        <v>2186</v>
      </c>
      <c r="D507" t="s">
        <v>44</v>
      </c>
      <c r="E507" s="15">
        <v>24</v>
      </c>
      <c r="F507" s="16" t="s">
        <v>72</v>
      </c>
      <c r="G507" s="16" t="s">
        <v>97</v>
      </c>
      <c r="H507" s="16" t="s">
        <v>83</v>
      </c>
      <c r="I507" s="16" t="s">
        <v>57</v>
      </c>
      <c r="J507" s="16" t="s">
        <v>34</v>
      </c>
      <c r="K507" s="17" t="s">
        <v>2187</v>
      </c>
      <c r="M507" t="s">
        <v>36</v>
      </c>
      <c r="N507" t="s">
        <v>328</v>
      </c>
      <c r="O507" t="s">
        <v>60</v>
      </c>
      <c r="P507" s="15">
        <v>29</v>
      </c>
      <c r="Q507" s="18">
        <v>144717</v>
      </c>
      <c r="R507" s="19">
        <v>20</v>
      </c>
      <c r="S507" s="14">
        <v>4.4000000000000004</v>
      </c>
      <c r="T507" s="7">
        <v>62</v>
      </c>
      <c r="U507" s="15">
        <v>1</v>
      </c>
      <c r="V507" s="15">
        <v>23</v>
      </c>
      <c r="W507" s="15">
        <v>48</v>
      </c>
      <c r="X507" t="s">
        <v>61</v>
      </c>
      <c r="Y507" t="s">
        <v>78</v>
      </c>
      <c r="Z507" s="14">
        <v>3</v>
      </c>
      <c r="AA507" s="12">
        <f>YEAR(Table1[Hire_Date])</f>
        <v>2023</v>
      </c>
      <c r="AB50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508" spans="1:28" x14ac:dyDescent="0.25">
      <c r="A508" t="s">
        <v>2188</v>
      </c>
      <c r="B508" s="16" t="s">
        <v>2189</v>
      </c>
      <c r="C508" s="16" t="s">
        <v>2190</v>
      </c>
      <c r="D508" t="s">
        <v>29</v>
      </c>
      <c r="E508" s="15">
        <v>29</v>
      </c>
      <c r="F508" s="16" t="s">
        <v>124</v>
      </c>
      <c r="G508" s="16" t="s">
        <v>13</v>
      </c>
      <c r="H508" s="16" t="s">
        <v>56</v>
      </c>
      <c r="I508" s="16" t="s">
        <v>48</v>
      </c>
      <c r="J508" s="16" t="s">
        <v>49</v>
      </c>
      <c r="K508" s="17" t="s">
        <v>2191</v>
      </c>
      <c r="M508" t="s">
        <v>36</v>
      </c>
      <c r="N508" t="s">
        <v>536</v>
      </c>
      <c r="O508" t="s">
        <v>38</v>
      </c>
      <c r="P508" s="15">
        <v>1</v>
      </c>
      <c r="Q508" s="18">
        <v>42144</v>
      </c>
      <c r="R508" s="19">
        <v>24</v>
      </c>
      <c r="S508" s="14">
        <v>2.7</v>
      </c>
      <c r="T508" s="7">
        <v>80</v>
      </c>
      <c r="U508" s="15">
        <v>10</v>
      </c>
      <c r="V508" s="15">
        <v>30</v>
      </c>
      <c r="W508" s="15">
        <v>20</v>
      </c>
      <c r="X508" t="s">
        <v>61</v>
      </c>
      <c r="Y508" t="s">
        <v>40</v>
      </c>
      <c r="Z508" s="14">
        <v>7.3</v>
      </c>
      <c r="AA508" s="12">
        <f>YEAR(Table1[Hire_Date])</f>
        <v>2019</v>
      </c>
      <c r="AB50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509" spans="1:28" x14ac:dyDescent="0.25">
      <c r="A509" t="s">
        <v>2192</v>
      </c>
      <c r="B509" s="16" t="s">
        <v>2193</v>
      </c>
      <c r="C509" s="16" t="s">
        <v>2194</v>
      </c>
      <c r="D509" t="s">
        <v>29</v>
      </c>
      <c r="E509" s="15">
        <v>46</v>
      </c>
      <c r="F509" s="16" t="s">
        <v>72</v>
      </c>
      <c r="G509" s="16" t="s">
        <v>73</v>
      </c>
      <c r="H509" s="16" t="s">
        <v>32</v>
      </c>
      <c r="I509" s="16" t="s">
        <v>57</v>
      </c>
      <c r="J509" s="16" t="s">
        <v>49</v>
      </c>
      <c r="K509" s="17" t="s">
        <v>2195</v>
      </c>
      <c r="M509" t="s">
        <v>36</v>
      </c>
      <c r="N509" t="s">
        <v>300</v>
      </c>
      <c r="O509" t="s">
        <v>38</v>
      </c>
      <c r="P509" s="15">
        <v>21</v>
      </c>
      <c r="Q509" s="18">
        <v>135948</v>
      </c>
      <c r="R509" s="19">
        <v>22</v>
      </c>
      <c r="S509" s="14">
        <v>2.6</v>
      </c>
      <c r="T509" s="7">
        <v>53</v>
      </c>
      <c r="U509" s="15">
        <v>12</v>
      </c>
      <c r="V509" s="15">
        <v>47</v>
      </c>
      <c r="W509" s="15">
        <v>8</v>
      </c>
      <c r="X509" t="s">
        <v>61</v>
      </c>
      <c r="Y509" t="s">
        <v>40</v>
      </c>
      <c r="Z509" s="14">
        <v>4.9000000000000004</v>
      </c>
      <c r="AA509" s="12">
        <f>YEAR(Table1[Hire_Date])</f>
        <v>2021</v>
      </c>
      <c r="AB50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510" spans="1:28" x14ac:dyDescent="0.25">
      <c r="A510" t="s">
        <v>2196</v>
      </c>
      <c r="B510" s="16" t="s">
        <v>2197</v>
      </c>
      <c r="C510" s="16" t="s">
        <v>2198</v>
      </c>
      <c r="D510" t="s">
        <v>29</v>
      </c>
      <c r="E510" s="15">
        <v>43</v>
      </c>
      <c r="F510" s="16" t="s">
        <v>45</v>
      </c>
      <c r="G510" s="16" t="s">
        <v>82</v>
      </c>
      <c r="H510" s="16" t="s">
        <v>83</v>
      </c>
      <c r="I510" s="16" t="s">
        <v>33</v>
      </c>
      <c r="J510" s="16" t="s">
        <v>34</v>
      </c>
      <c r="K510" s="17" t="s">
        <v>2199</v>
      </c>
      <c r="M510" t="s">
        <v>36</v>
      </c>
      <c r="N510" t="s">
        <v>155</v>
      </c>
      <c r="O510" t="s">
        <v>52</v>
      </c>
      <c r="P510" s="15">
        <v>29</v>
      </c>
      <c r="Q510" s="18">
        <v>162855</v>
      </c>
      <c r="R510" s="19">
        <v>13</v>
      </c>
      <c r="S510" s="14">
        <v>3.7</v>
      </c>
      <c r="T510" s="7">
        <v>86</v>
      </c>
      <c r="U510" s="15">
        <v>0</v>
      </c>
      <c r="V510" s="15">
        <v>55</v>
      </c>
      <c r="W510" s="15">
        <v>72</v>
      </c>
      <c r="X510" t="s">
        <v>61</v>
      </c>
      <c r="Y510" t="s">
        <v>78</v>
      </c>
      <c r="Z510" s="14">
        <v>2</v>
      </c>
      <c r="AA510" s="12">
        <f>YEAR(Table1[Hire_Date])</f>
        <v>2024</v>
      </c>
      <c r="AB51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511" spans="1:28" x14ac:dyDescent="0.25">
      <c r="A511" t="s">
        <v>2200</v>
      </c>
      <c r="B511" s="16" t="s">
        <v>2201</v>
      </c>
      <c r="C511" s="16" t="s">
        <v>2202</v>
      </c>
      <c r="D511" t="s">
        <v>29</v>
      </c>
      <c r="E511" s="15">
        <v>41</v>
      </c>
      <c r="F511" s="16" t="s">
        <v>90</v>
      </c>
      <c r="G511" s="16" t="s">
        <v>281</v>
      </c>
      <c r="H511" s="16" t="s">
        <v>47</v>
      </c>
      <c r="I511" s="16" t="s">
        <v>33</v>
      </c>
      <c r="J511" s="16" t="s">
        <v>34</v>
      </c>
      <c r="K511" s="17" t="s">
        <v>2203</v>
      </c>
      <c r="M511" t="s">
        <v>36</v>
      </c>
      <c r="N511" t="s">
        <v>323</v>
      </c>
      <c r="O511" t="s">
        <v>52</v>
      </c>
      <c r="P511" s="15">
        <v>9</v>
      </c>
      <c r="Q511" s="18">
        <v>60727</v>
      </c>
      <c r="R511" s="19">
        <v>21</v>
      </c>
      <c r="S511" s="14">
        <v>3.5</v>
      </c>
      <c r="T511" s="7">
        <v>63</v>
      </c>
      <c r="U511" s="15">
        <v>16</v>
      </c>
      <c r="V511" s="15">
        <v>42</v>
      </c>
      <c r="W511" s="15">
        <v>49</v>
      </c>
      <c r="X511" t="s">
        <v>39</v>
      </c>
      <c r="Y511" t="s">
        <v>40</v>
      </c>
      <c r="Z511" s="14">
        <v>8.1999999999999993</v>
      </c>
      <c r="AA511" s="12">
        <f>YEAR(Table1[Hire_Date])</f>
        <v>2018</v>
      </c>
      <c r="AB51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512" spans="1:28" x14ac:dyDescent="0.25">
      <c r="A512" t="s">
        <v>2204</v>
      </c>
      <c r="B512" s="16" t="s">
        <v>2205</v>
      </c>
      <c r="C512" s="16" t="s">
        <v>2206</v>
      </c>
      <c r="D512" t="s">
        <v>29</v>
      </c>
      <c r="E512" s="15">
        <v>35</v>
      </c>
      <c r="F512" s="16" t="s">
        <v>90</v>
      </c>
      <c r="G512" s="16" t="s">
        <v>13</v>
      </c>
      <c r="H512" s="16" t="s">
        <v>47</v>
      </c>
      <c r="I512" s="16" t="s">
        <v>33</v>
      </c>
      <c r="J512" s="16" t="s">
        <v>34</v>
      </c>
      <c r="K512" s="17" t="s">
        <v>2207</v>
      </c>
      <c r="M512" t="s">
        <v>36</v>
      </c>
      <c r="N512" t="s">
        <v>86</v>
      </c>
      <c r="O512" t="s">
        <v>52</v>
      </c>
      <c r="P512" s="15">
        <v>24</v>
      </c>
      <c r="Q512" s="18">
        <v>135955</v>
      </c>
      <c r="R512" s="19">
        <v>9</v>
      </c>
      <c r="S512" s="14">
        <v>4.4000000000000004</v>
      </c>
      <c r="T512" s="7">
        <v>69</v>
      </c>
      <c r="U512" s="15">
        <v>3</v>
      </c>
      <c r="V512" s="15">
        <v>40</v>
      </c>
      <c r="W512" s="15">
        <v>52</v>
      </c>
      <c r="X512" t="s">
        <v>61</v>
      </c>
      <c r="Y512" t="s">
        <v>40</v>
      </c>
      <c r="Z512" s="14">
        <v>0.3</v>
      </c>
      <c r="AA512" s="12">
        <f>YEAR(Table1[Hire_Date])</f>
        <v>2026</v>
      </c>
      <c r="AB51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513" spans="1:28" x14ac:dyDescent="0.25">
      <c r="A513" t="s">
        <v>2208</v>
      </c>
      <c r="B513" s="16" t="s">
        <v>2209</v>
      </c>
      <c r="C513" s="16" t="s">
        <v>2210</v>
      </c>
      <c r="D513" t="s">
        <v>44</v>
      </c>
      <c r="E513" s="15">
        <v>54</v>
      </c>
      <c r="F513" s="16" t="s">
        <v>90</v>
      </c>
      <c r="G513" s="16" t="s">
        <v>13</v>
      </c>
      <c r="H513" s="16" t="s">
        <v>47</v>
      </c>
      <c r="I513" s="16" t="s">
        <v>57</v>
      </c>
      <c r="J513" s="16" t="s">
        <v>49</v>
      </c>
      <c r="K513" s="17" t="s">
        <v>2211</v>
      </c>
      <c r="M513" t="s">
        <v>36</v>
      </c>
      <c r="N513" t="s">
        <v>295</v>
      </c>
      <c r="O513" t="s">
        <v>60</v>
      </c>
      <c r="P513" s="15">
        <v>6</v>
      </c>
      <c r="Q513" s="18">
        <v>92277</v>
      </c>
      <c r="R513" s="19">
        <v>17</v>
      </c>
      <c r="S513" s="14">
        <v>2.6</v>
      </c>
      <c r="T513" s="7">
        <v>98</v>
      </c>
      <c r="U513" s="15">
        <v>12</v>
      </c>
      <c r="V513" s="15">
        <v>34</v>
      </c>
      <c r="W513" s="15">
        <v>72</v>
      </c>
      <c r="X513" t="s">
        <v>39</v>
      </c>
      <c r="Y513" t="s">
        <v>62</v>
      </c>
      <c r="Z513" s="14">
        <v>3.1</v>
      </c>
      <c r="AA513" s="12">
        <f>YEAR(Table1[Hire_Date])</f>
        <v>2023</v>
      </c>
      <c r="AB51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514" spans="1:28" x14ac:dyDescent="0.25">
      <c r="A514" t="s">
        <v>2212</v>
      </c>
      <c r="B514" s="16" t="s">
        <v>2213</v>
      </c>
      <c r="C514" s="16" t="s">
        <v>2214</v>
      </c>
      <c r="D514" t="s">
        <v>44</v>
      </c>
      <c r="E514" s="15">
        <v>53</v>
      </c>
      <c r="F514" s="16" t="s">
        <v>90</v>
      </c>
      <c r="G514" s="16" t="s">
        <v>13</v>
      </c>
      <c r="H514" s="16" t="s">
        <v>32</v>
      </c>
      <c r="I514" s="16" t="s">
        <v>57</v>
      </c>
      <c r="J514" s="16" t="s">
        <v>49</v>
      </c>
      <c r="K514" s="17" t="s">
        <v>2215</v>
      </c>
      <c r="L514" s="17" t="s">
        <v>2216</v>
      </c>
      <c r="M514" t="s">
        <v>76</v>
      </c>
      <c r="N514" t="s">
        <v>243</v>
      </c>
      <c r="O514" t="s">
        <v>60</v>
      </c>
      <c r="P514" s="15">
        <v>35</v>
      </c>
      <c r="Q514" s="18">
        <v>178151</v>
      </c>
      <c r="R514" s="19">
        <v>8</v>
      </c>
      <c r="S514" s="14">
        <v>3.4</v>
      </c>
      <c r="T514" s="7">
        <v>90</v>
      </c>
      <c r="U514" s="15">
        <v>13</v>
      </c>
      <c r="V514" s="15">
        <v>16</v>
      </c>
      <c r="W514" s="15">
        <v>62</v>
      </c>
      <c r="X514" t="s">
        <v>39</v>
      </c>
      <c r="Y514" t="s">
        <v>62</v>
      </c>
      <c r="Z514" s="14">
        <v>6</v>
      </c>
      <c r="AA514" s="12">
        <f>YEAR(Table1[Hire_Date])</f>
        <v>2020</v>
      </c>
      <c r="AB51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515" spans="1:28" x14ac:dyDescent="0.25">
      <c r="A515" t="s">
        <v>2217</v>
      </c>
      <c r="B515" s="16" t="s">
        <v>2218</v>
      </c>
      <c r="C515" s="16" t="s">
        <v>2219</v>
      </c>
      <c r="D515" t="s">
        <v>44</v>
      </c>
      <c r="E515" s="15">
        <v>25</v>
      </c>
      <c r="F515" s="16" t="s">
        <v>45</v>
      </c>
      <c r="G515" s="16" t="s">
        <v>46</v>
      </c>
      <c r="H515" s="16" t="s">
        <v>56</v>
      </c>
      <c r="I515" s="16" t="s">
        <v>48</v>
      </c>
      <c r="J515" s="16" t="s">
        <v>49</v>
      </c>
      <c r="K515" s="17" t="s">
        <v>2220</v>
      </c>
      <c r="M515" t="s">
        <v>36</v>
      </c>
      <c r="N515" t="s">
        <v>300</v>
      </c>
      <c r="O515" t="s">
        <v>60</v>
      </c>
      <c r="P515" s="15">
        <v>32</v>
      </c>
      <c r="Q515" s="18">
        <v>40383</v>
      </c>
      <c r="R515" s="19">
        <v>6</v>
      </c>
      <c r="S515" s="14">
        <v>3.9</v>
      </c>
      <c r="T515" s="7">
        <v>53</v>
      </c>
      <c r="U515" s="15">
        <v>9</v>
      </c>
      <c r="V515" s="15">
        <v>10</v>
      </c>
      <c r="W515" s="15">
        <v>28</v>
      </c>
      <c r="X515" t="s">
        <v>61</v>
      </c>
      <c r="Y515" t="s">
        <v>40</v>
      </c>
      <c r="Z515" s="14">
        <v>9.1999999999999993</v>
      </c>
      <c r="AA515" s="12">
        <f>YEAR(Table1[Hire_Date])</f>
        <v>2017</v>
      </c>
      <c r="AB51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516" spans="1:28" x14ac:dyDescent="0.25">
      <c r="A516" t="s">
        <v>2221</v>
      </c>
      <c r="B516" s="16" t="s">
        <v>2222</v>
      </c>
      <c r="C516" s="16" t="s">
        <v>2223</v>
      </c>
      <c r="D516" t="s">
        <v>29</v>
      </c>
      <c r="E516" s="15">
        <v>50</v>
      </c>
      <c r="F516" s="16" t="s">
        <v>103</v>
      </c>
      <c r="G516" s="16" t="s">
        <v>13</v>
      </c>
      <c r="H516" s="16" t="s">
        <v>56</v>
      </c>
      <c r="I516" s="16" t="s">
        <v>33</v>
      </c>
      <c r="J516" s="16" t="s">
        <v>49</v>
      </c>
      <c r="K516" s="17" t="s">
        <v>2224</v>
      </c>
      <c r="M516" t="s">
        <v>36</v>
      </c>
      <c r="N516" t="s">
        <v>268</v>
      </c>
      <c r="O516" t="s">
        <v>52</v>
      </c>
      <c r="P516" s="15">
        <v>23</v>
      </c>
      <c r="Q516" s="18">
        <v>92561</v>
      </c>
      <c r="R516" s="19">
        <v>23</v>
      </c>
      <c r="S516" s="14">
        <v>2.7</v>
      </c>
      <c r="T516" s="7">
        <v>59</v>
      </c>
      <c r="U516" s="15">
        <v>15</v>
      </c>
      <c r="V516" s="15">
        <v>47</v>
      </c>
      <c r="W516" s="15">
        <v>69</v>
      </c>
      <c r="X516" t="s">
        <v>61</v>
      </c>
      <c r="Y516" t="s">
        <v>62</v>
      </c>
      <c r="Z516" s="14">
        <v>10.4</v>
      </c>
      <c r="AA516" s="12">
        <f>YEAR(Table1[Hire_Date])</f>
        <v>2016</v>
      </c>
      <c r="AB51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517" spans="1:28" x14ac:dyDescent="0.25">
      <c r="A517" t="s">
        <v>2225</v>
      </c>
      <c r="B517" s="16" t="s">
        <v>2226</v>
      </c>
      <c r="C517" s="16" t="s">
        <v>2227</v>
      </c>
      <c r="D517" t="s">
        <v>29</v>
      </c>
      <c r="E517" s="15">
        <v>33</v>
      </c>
      <c r="F517" s="16" t="s">
        <v>103</v>
      </c>
      <c r="G517" s="16" t="s">
        <v>13</v>
      </c>
      <c r="H517" s="16" t="s">
        <v>56</v>
      </c>
      <c r="I517" s="16" t="s">
        <v>48</v>
      </c>
      <c r="J517" s="16" t="s">
        <v>34</v>
      </c>
      <c r="K517" s="17" t="s">
        <v>2228</v>
      </c>
      <c r="M517" t="s">
        <v>36</v>
      </c>
      <c r="N517" t="s">
        <v>691</v>
      </c>
      <c r="O517" t="s">
        <v>60</v>
      </c>
      <c r="P517" s="15">
        <v>2</v>
      </c>
      <c r="Q517" s="18">
        <v>53980</v>
      </c>
      <c r="R517" s="19">
        <v>6</v>
      </c>
      <c r="S517" s="14">
        <v>2.8</v>
      </c>
      <c r="T517" s="7">
        <v>54</v>
      </c>
      <c r="U517" s="15">
        <v>20</v>
      </c>
      <c r="V517" s="15">
        <v>24</v>
      </c>
      <c r="W517" s="15">
        <v>53</v>
      </c>
      <c r="X517" t="s">
        <v>61</v>
      </c>
      <c r="Y517" t="s">
        <v>40</v>
      </c>
      <c r="Z517" s="14">
        <v>5</v>
      </c>
      <c r="AA517" s="12">
        <f>YEAR(Table1[Hire_Date])</f>
        <v>2021</v>
      </c>
      <c r="AB51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518" spans="1:28" x14ac:dyDescent="0.25">
      <c r="A518" t="s">
        <v>2229</v>
      </c>
      <c r="B518" s="16" t="s">
        <v>2230</v>
      </c>
      <c r="C518" s="16" t="s">
        <v>2231</v>
      </c>
      <c r="D518" t="s">
        <v>44</v>
      </c>
      <c r="E518" s="15">
        <v>60</v>
      </c>
      <c r="F518" s="16" t="s">
        <v>90</v>
      </c>
      <c r="G518" s="16" t="s">
        <v>13</v>
      </c>
      <c r="H518" s="16" t="s">
        <v>56</v>
      </c>
      <c r="I518" s="16" t="s">
        <v>57</v>
      </c>
      <c r="J518" s="16" t="s">
        <v>34</v>
      </c>
      <c r="K518" s="17" t="s">
        <v>2232</v>
      </c>
      <c r="M518" t="s">
        <v>36</v>
      </c>
      <c r="N518" t="s">
        <v>286</v>
      </c>
      <c r="O518" t="s">
        <v>52</v>
      </c>
      <c r="P518" s="15">
        <v>0</v>
      </c>
      <c r="Q518" s="18">
        <v>106621</v>
      </c>
      <c r="R518" s="19">
        <v>12</v>
      </c>
      <c r="S518" s="14">
        <v>3.5</v>
      </c>
      <c r="T518" s="7">
        <v>80</v>
      </c>
      <c r="U518" s="15">
        <v>5</v>
      </c>
      <c r="V518" s="15">
        <v>14</v>
      </c>
      <c r="W518" s="15">
        <v>31</v>
      </c>
      <c r="X518" t="s">
        <v>39</v>
      </c>
      <c r="Y518" t="s">
        <v>62</v>
      </c>
      <c r="Z518" s="14">
        <v>1.8</v>
      </c>
      <c r="AA518" s="12">
        <f>YEAR(Table1[Hire_Date])</f>
        <v>2024</v>
      </c>
      <c r="AB51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519" spans="1:28" x14ac:dyDescent="0.25">
      <c r="A519" t="s">
        <v>2233</v>
      </c>
      <c r="B519" s="16" t="s">
        <v>2234</v>
      </c>
      <c r="C519" s="16" t="s">
        <v>2235</v>
      </c>
      <c r="D519" t="s">
        <v>29</v>
      </c>
      <c r="E519" s="15">
        <v>40</v>
      </c>
      <c r="F519" s="16" t="s">
        <v>72</v>
      </c>
      <c r="G519" s="16" t="s">
        <v>73</v>
      </c>
      <c r="H519" s="16" t="s">
        <v>47</v>
      </c>
      <c r="I519" s="16" t="s">
        <v>57</v>
      </c>
      <c r="J519" s="16" t="s">
        <v>49</v>
      </c>
      <c r="K519" s="17" t="s">
        <v>2236</v>
      </c>
      <c r="M519" t="s">
        <v>36</v>
      </c>
      <c r="N519" t="s">
        <v>37</v>
      </c>
      <c r="O519" t="s">
        <v>60</v>
      </c>
      <c r="P519" s="15">
        <v>9</v>
      </c>
      <c r="Q519" s="18">
        <v>55456</v>
      </c>
      <c r="R519" s="19">
        <v>22</v>
      </c>
      <c r="S519" s="14">
        <v>4.9000000000000004</v>
      </c>
      <c r="T519" s="7">
        <v>84</v>
      </c>
      <c r="U519" s="15">
        <v>10</v>
      </c>
      <c r="V519" s="15">
        <v>57</v>
      </c>
      <c r="W519" s="15">
        <v>11</v>
      </c>
      <c r="X519" t="s">
        <v>61</v>
      </c>
      <c r="Y519" t="s">
        <v>40</v>
      </c>
      <c r="Z519" s="14">
        <v>2.1</v>
      </c>
      <c r="AA519" s="12">
        <f>YEAR(Table1[Hire_Date])</f>
        <v>2024</v>
      </c>
      <c r="AB51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520" spans="1:28" x14ac:dyDescent="0.25">
      <c r="A520" t="s">
        <v>2237</v>
      </c>
      <c r="B520" s="16" t="s">
        <v>2238</v>
      </c>
      <c r="C520" s="16" t="s">
        <v>2239</v>
      </c>
      <c r="D520" t="s">
        <v>29</v>
      </c>
      <c r="E520" s="15">
        <v>41</v>
      </c>
      <c r="F520" s="16" t="s">
        <v>72</v>
      </c>
      <c r="G520" s="16" t="s">
        <v>73</v>
      </c>
      <c r="H520" s="16" t="s">
        <v>66</v>
      </c>
      <c r="I520" s="16" t="s">
        <v>48</v>
      </c>
      <c r="J520" s="16" t="s">
        <v>34</v>
      </c>
      <c r="K520" s="17" t="s">
        <v>829</v>
      </c>
      <c r="M520" t="s">
        <v>36</v>
      </c>
      <c r="N520" t="s">
        <v>333</v>
      </c>
      <c r="O520" t="s">
        <v>52</v>
      </c>
      <c r="P520" s="15">
        <v>33</v>
      </c>
      <c r="Q520" s="18">
        <v>119319</v>
      </c>
      <c r="R520" s="19">
        <v>8</v>
      </c>
      <c r="S520" s="14">
        <v>2.6</v>
      </c>
      <c r="T520" s="7">
        <v>89</v>
      </c>
      <c r="U520" s="15">
        <v>20</v>
      </c>
      <c r="V520" s="15">
        <v>0</v>
      </c>
      <c r="W520" s="15">
        <v>18</v>
      </c>
      <c r="X520" t="s">
        <v>39</v>
      </c>
      <c r="Y520" t="s">
        <v>62</v>
      </c>
      <c r="Z520" s="14">
        <v>10</v>
      </c>
      <c r="AA520" s="12">
        <f>YEAR(Table1[Hire_Date])</f>
        <v>2016</v>
      </c>
      <c r="AB52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521" spans="1:28" x14ac:dyDescent="0.25">
      <c r="A521" t="s">
        <v>2240</v>
      </c>
      <c r="B521" s="16" t="s">
        <v>2241</v>
      </c>
      <c r="C521" s="16" t="s">
        <v>2242</v>
      </c>
      <c r="D521" t="s">
        <v>29</v>
      </c>
      <c r="E521" s="15">
        <v>32</v>
      </c>
      <c r="F521" s="16" t="s">
        <v>72</v>
      </c>
      <c r="G521" s="16" t="s">
        <v>97</v>
      </c>
      <c r="H521" s="16" t="s">
        <v>56</v>
      </c>
      <c r="I521" s="16" t="s">
        <v>48</v>
      </c>
      <c r="J521" s="16" t="s">
        <v>49</v>
      </c>
      <c r="K521" s="17" t="s">
        <v>2243</v>
      </c>
      <c r="M521" t="s">
        <v>36</v>
      </c>
      <c r="N521" t="s">
        <v>527</v>
      </c>
      <c r="O521" t="s">
        <v>38</v>
      </c>
      <c r="P521" s="15">
        <v>29</v>
      </c>
      <c r="Q521" s="18">
        <v>166016</v>
      </c>
      <c r="R521" s="19">
        <v>14</v>
      </c>
      <c r="S521" s="14">
        <v>3.7</v>
      </c>
      <c r="T521" s="7">
        <v>93</v>
      </c>
      <c r="U521" s="15">
        <v>14</v>
      </c>
      <c r="V521" s="15">
        <v>33</v>
      </c>
      <c r="W521" s="15">
        <v>55</v>
      </c>
      <c r="X521" t="s">
        <v>61</v>
      </c>
      <c r="Y521" t="s">
        <v>40</v>
      </c>
      <c r="Z521" s="14">
        <v>5.3</v>
      </c>
      <c r="AA521" s="12">
        <f>YEAR(Table1[Hire_Date])</f>
        <v>2021</v>
      </c>
      <c r="AB52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522" spans="1:28" x14ac:dyDescent="0.25">
      <c r="A522" t="s">
        <v>2244</v>
      </c>
      <c r="B522" s="16" t="s">
        <v>2245</v>
      </c>
      <c r="C522" s="16" t="s">
        <v>2246</v>
      </c>
      <c r="D522" t="s">
        <v>44</v>
      </c>
      <c r="E522" s="15">
        <v>30</v>
      </c>
      <c r="F522" s="16" t="s">
        <v>45</v>
      </c>
      <c r="G522" s="16" t="s">
        <v>82</v>
      </c>
      <c r="H522" s="16" t="s">
        <v>56</v>
      </c>
      <c r="I522" s="16" t="s">
        <v>57</v>
      </c>
      <c r="J522" s="16" t="s">
        <v>34</v>
      </c>
      <c r="K522" s="17" t="s">
        <v>247</v>
      </c>
      <c r="M522" t="s">
        <v>36</v>
      </c>
      <c r="N522" t="s">
        <v>323</v>
      </c>
      <c r="O522" t="s">
        <v>38</v>
      </c>
      <c r="P522" s="15">
        <v>6</v>
      </c>
      <c r="Q522" s="18">
        <v>91821</v>
      </c>
      <c r="R522" s="19">
        <v>22</v>
      </c>
      <c r="S522" s="14">
        <v>4.2</v>
      </c>
      <c r="T522" s="7">
        <v>82</v>
      </c>
      <c r="U522" s="15">
        <v>13</v>
      </c>
      <c r="V522" s="15">
        <v>27</v>
      </c>
      <c r="W522" s="15">
        <v>27</v>
      </c>
      <c r="X522" t="s">
        <v>39</v>
      </c>
      <c r="Y522" t="s">
        <v>40</v>
      </c>
      <c r="Z522" s="14">
        <v>9.4</v>
      </c>
      <c r="AA522" s="12">
        <f>YEAR(Table1[Hire_Date])</f>
        <v>2017</v>
      </c>
      <c r="AB52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523" spans="1:28" x14ac:dyDescent="0.25">
      <c r="A523" t="s">
        <v>2247</v>
      </c>
      <c r="B523" s="16" t="s">
        <v>2248</v>
      </c>
      <c r="C523" s="16" t="s">
        <v>2249</v>
      </c>
      <c r="D523" t="s">
        <v>44</v>
      </c>
      <c r="E523" s="15">
        <v>33</v>
      </c>
      <c r="F523" s="16" t="s">
        <v>72</v>
      </c>
      <c r="G523" s="16" t="s">
        <v>73</v>
      </c>
      <c r="H523" s="16" t="s">
        <v>56</v>
      </c>
      <c r="I523" s="16" t="s">
        <v>57</v>
      </c>
      <c r="J523" s="16" t="s">
        <v>34</v>
      </c>
      <c r="K523" s="17" t="s">
        <v>2250</v>
      </c>
      <c r="M523" t="s">
        <v>36</v>
      </c>
      <c r="N523" t="s">
        <v>342</v>
      </c>
      <c r="O523" t="s">
        <v>38</v>
      </c>
      <c r="P523" s="15">
        <v>1</v>
      </c>
      <c r="Q523" s="18">
        <v>103196</v>
      </c>
      <c r="R523" s="19">
        <v>12</v>
      </c>
      <c r="S523" s="14">
        <v>4.9000000000000004</v>
      </c>
      <c r="T523" s="7">
        <v>67</v>
      </c>
      <c r="U523" s="15">
        <v>18</v>
      </c>
      <c r="V523" s="15">
        <v>25</v>
      </c>
      <c r="W523" s="15">
        <v>52</v>
      </c>
      <c r="X523" t="s">
        <v>39</v>
      </c>
      <c r="Y523" t="s">
        <v>62</v>
      </c>
      <c r="Z523" s="14">
        <v>7.1</v>
      </c>
      <c r="AA523" s="12">
        <f>YEAR(Table1[Hire_Date])</f>
        <v>2019</v>
      </c>
      <c r="AB52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524" spans="1:28" x14ac:dyDescent="0.25">
      <c r="A524" t="s">
        <v>2251</v>
      </c>
      <c r="B524" s="16" t="s">
        <v>2252</v>
      </c>
      <c r="C524" s="16" t="s">
        <v>2253</v>
      </c>
      <c r="D524" t="s">
        <v>44</v>
      </c>
      <c r="E524" s="15">
        <v>37</v>
      </c>
      <c r="F524" s="16" t="s">
        <v>103</v>
      </c>
      <c r="G524" s="16" t="s">
        <v>147</v>
      </c>
      <c r="H524" s="16" t="s">
        <v>32</v>
      </c>
      <c r="I524" s="16" t="s">
        <v>33</v>
      </c>
      <c r="J524" s="16" t="s">
        <v>49</v>
      </c>
      <c r="K524" s="17" t="s">
        <v>2254</v>
      </c>
      <c r="M524" t="s">
        <v>36</v>
      </c>
      <c r="N524" t="s">
        <v>219</v>
      </c>
      <c r="O524" t="s">
        <v>60</v>
      </c>
      <c r="P524" s="15">
        <v>26</v>
      </c>
      <c r="Q524" s="18">
        <v>69068</v>
      </c>
      <c r="R524" s="19">
        <v>22</v>
      </c>
      <c r="S524" s="14">
        <v>3.5</v>
      </c>
      <c r="T524" s="7">
        <v>75</v>
      </c>
      <c r="U524" s="15">
        <v>9</v>
      </c>
      <c r="V524" s="15">
        <v>50</v>
      </c>
      <c r="W524" s="15">
        <v>54</v>
      </c>
      <c r="X524" t="s">
        <v>39</v>
      </c>
      <c r="Y524" t="s">
        <v>62</v>
      </c>
      <c r="Z524" s="14">
        <v>6.9</v>
      </c>
      <c r="AA524" s="12">
        <f>YEAR(Table1[Hire_Date])</f>
        <v>2019</v>
      </c>
      <c r="AB52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525" spans="1:28" x14ac:dyDescent="0.25">
      <c r="A525" t="s">
        <v>2255</v>
      </c>
      <c r="B525" s="16" t="s">
        <v>2256</v>
      </c>
      <c r="C525" s="16" t="s">
        <v>2257</v>
      </c>
      <c r="D525" t="s">
        <v>44</v>
      </c>
      <c r="E525" s="15">
        <v>37</v>
      </c>
      <c r="F525" s="16" t="s">
        <v>30</v>
      </c>
      <c r="G525" s="16" t="s">
        <v>31</v>
      </c>
      <c r="H525" s="16" t="s">
        <v>56</v>
      </c>
      <c r="I525" s="16" t="s">
        <v>57</v>
      </c>
      <c r="J525" s="16" t="s">
        <v>49</v>
      </c>
      <c r="K525" s="17" t="s">
        <v>2258</v>
      </c>
      <c r="M525" t="s">
        <v>36</v>
      </c>
      <c r="N525" t="s">
        <v>234</v>
      </c>
      <c r="O525" t="s">
        <v>52</v>
      </c>
      <c r="P525" s="15">
        <v>31</v>
      </c>
      <c r="Q525" s="18">
        <v>158218</v>
      </c>
      <c r="R525" s="19">
        <v>11</v>
      </c>
      <c r="S525" s="14">
        <v>4.9000000000000004</v>
      </c>
      <c r="T525" s="7">
        <v>80</v>
      </c>
      <c r="U525" s="15">
        <v>8</v>
      </c>
      <c r="V525" s="15">
        <v>19</v>
      </c>
      <c r="W525" s="15">
        <v>30</v>
      </c>
      <c r="X525" t="s">
        <v>39</v>
      </c>
      <c r="Y525" t="s">
        <v>40</v>
      </c>
      <c r="Z525" s="14">
        <v>3.7</v>
      </c>
      <c r="AA525" s="12">
        <f>YEAR(Table1[Hire_Date])</f>
        <v>2022</v>
      </c>
      <c r="AB52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526" spans="1:28" x14ac:dyDescent="0.25">
      <c r="A526" t="s">
        <v>2259</v>
      </c>
      <c r="B526" s="16" t="s">
        <v>2260</v>
      </c>
      <c r="C526" s="16" t="s">
        <v>2261</v>
      </c>
      <c r="D526" t="s">
        <v>29</v>
      </c>
      <c r="E526" s="15">
        <v>33</v>
      </c>
      <c r="F526" s="16" t="s">
        <v>103</v>
      </c>
      <c r="G526" s="16" t="s">
        <v>13</v>
      </c>
      <c r="H526" s="16" t="s">
        <v>32</v>
      </c>
      <c r="I526" s="16" t="s">
        <v>33</v>
      </c>
      <c r="J526" s="16" t="s">
        <v>49</v>
      </c>
      <c r="K526" s="17" t="s">
        <v>2262</v>
      </c>
      <c r="M526" t="s">
        <v>36</v>
      </c>
      <c r="N526" t="s">
        <v>263</v>
      </c>
      <c r="O526" t="s">
        <v>60</v>
      </c>
      <c r="P526" s="15">
        <v>21</v>
      </c>
      <c r="Q526" s="18">
        <v>171219</v>
      </c>
      <c r="R526" s="19">
        <v>14</v>
      </c>
      <c r="S526" s="14">
        <v>4.5</v>
      </c>
      <c r="T526" s="7">
        <v>57</v>
      </c>
      <c r="U526" s="15">
        <v>15</v>
      </c>
      <c r="V526" s="15">
        <v>50</v>
      </c>
      <c r="W526" s="15">
        <v>77</v>
      </c>
      <c r="X526" t="s">
        <v>61</v>
      </c>
      <c r="Y526" t="s">
        <v>78</v>
      </c>
      <c r="Z526" s="14">
        <v>2.7</v>
      </c>
      <c r="AA526" s="12">
        <f>YEAR(Table1[Hire_Date])</f>
        <v>2023</v>
      </c>
      <c r="AB52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527" spans="1:28" x14ac:dyDescent="0.25">
      <c r="A527" t="s">
        <v>2263</v>
      </c>
      <c r="B527" s="16" t="s">
        <v>2264</v>
      </c>
      <c r="C527" s="16" t="s">
        <v>2265</v>
      </c>
      <c r="D527" t="s">
        <v>29</v>
      </c>
      <c r="E527" s="15">
        <v>21</v>
      </c>
      <c r="F527" s="16" t="s">
        <v>72</v>
      </c>
      <c r="G527" s="16" t="s">
        <v>97</v>
      </c>
      <c r="H527" s="16" t="s">
        <v>47</v>
      </c>
      <c r="I527" s="16" t="s">
        <v>57</v>
      </c>
      <c r="J527" s="16" t="s">
        <v>34</v>
      </c>
      <c r="K527" s="17" t="s">
        <v>622</v>
      </c>
      <c r="M527" t="s">
        <v>36</v>
      </c>
      <c r="N527" t="s">
        <v>243</v>
      </c>
      <c r="O527" t="s">
        <v>52</v>
      </c>
      <c r="P527" s="15">
        <v>3</v>
      </c>
      <c r="Q527" s="18">
        <v>66660</v>
      </c>
      <c r="R527" s="19">
        <v>25</v>
      </c>
      <c r="S527" s="14">
        <v>3</v>
      </c>
      <c r="T527" s="7">
        <v>55</v>
      </c>
      <c r="U527" s="15">
        <v>14</v>
      </c>
      <c r="V527" s="15">
        <v>60</v>
      </c>
      <c r="W527" s="15">
        <v>9</v>
      </c>
      <c r="X527" t="s">
        <v>39</v>
      </c>
      <c r="Y527" t="s">
        <v>40</v>
      </c>
      <c r="Z527" s="14">
        <v>5.0999999999999996</v>
      </c>
      <c r="AA527" s="12">
        <f>YEAR(Table1[Hire_Date])</f>
        <v>2021</v>
      </c>
      <c r="AB52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528" spans="1:28" x14ac:dyDescent="0.25">
      <c r="A528" t="s">
        <v>2266</v>
      </c>
      <c r="B528" s="16" t="s">
        <v>2267</v>
      </c>
      <c r="C528" s="16" t="s">
        <v>2268</v>
      </c>
      <c r="D528" t="s">
        <v>29</v>
      </c>
      <c r="E528" s="15">
        <v>32</v>
      </c>
      <c r="F528" s="16" t="s">
        <v>72</v>
      </c>
      <c r="G528" s="16" t="s">
        <v>135</v>
      </c>
      <c r="H528" s="16" t="s">
        <v>83</v>
      </c>
      <c r="I528" s="16" t="s">
        <v>57</v>
      </c>
      <c r="J528" s="16" t="s">
        <v>34</v>
      </c>
      <c r="K528" s="17" t="s">
        <v>2269</v>
      </c>
      <c r="M528" t="s">
        <v>36</v>
      </c>
      <c r="N528" t="s">
        <v>505</v>
      </c>
      <c r="O528" t="s">
        <v>52</v>
      </c>
      <c r="P528" s="15">
        <v>29</v>
      </c>
      <c r="Q528" s="18">
        <v>91062</v>
      </c>
      <c r="R528" s="19">
        <v>16</v>
      </c>
      <c r="S528" s="14">
        <v>3.3</v>
      </c>
      <c r="T528" s="7">
        <v>60</v>
      </c>
      <c r="U528" s="15">
        <v>13</v>
      </c>
      <c r="V528" s="15">
        <v>12</v>
      </c>
      <c r="W528" s="15">
        <v>26</v>
      </c>
      <c r="X528" t="s">
        <v>61</v>
      </c>
      <c r="Y528" t="s">
        <v>40</v>
      </c>
      <c r="Z528" s="14">
        <v>0.5</v>
      </c>
      <c r="AA528" s="12">
        <f>YEAR(Table1[Hire_Date])</f>
        <v>2026</v>
      </c>
      <c r="AB52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529" spans="1:28" x14ac:dyDescent="0.25">
      <c r="A529" t="s">
        <v>2270</v>
      </c>
      <c r="B529" s="16" t="s">
        <v>2271</v>
      </c>
      <c r="C529" s="16" t="s">
        <v>2272</v>
      </c>
      <c r="D529" t="s">
        <v>44</v>
      </c>
      <c r="E529" s="15">
        <v>33</v>
      </c>
      <c r="F529" s="16" t="s">
        <v>30</v>
      </c>
      <c r="G529" s="16" t="s">
        <v>13</v>
      </c>
      <c r="H529" s="16" t="s">
        <v>32</v>
      </c>
      <c r="I529" s="16" t="s">
        <v>57</v>
      </c>
      <c r="J529" s="16" t="s">
        <v>34</v>
      </c>
      <c r="K529" s="17" t="s">
        <v>2273</v>
      </c>
      <c r="M529" t="s">
        <v>36</v>
      </c>
      <c r="N529" t="s">
        <v>536</v>
      </c>
      <c r="O529" t="s">
        <v>60</v>
      </c>
      <c r="P529" s="15">
        <v>15</v>
      </c>
      <c r="Q529" s="18">
        <v>127428</v>
      </c>
      <c r="R529" s="19">
        <v>7</v>
      </c>
      <c r="S529" s="14">
        <v>3.1</v>
      </c>
      <c r="T529" s="7">
        <v>79</v>
      </c>
      <c r="U529" s="15">
        <v>11</v>
      </c>
      <c r="V529" s="15">
        <v>36</v>
      </c>
      <c r="W529" s="15">
        <v>70</v>
      </c>
      <c r="X529" t="s">
        <v>39</v>
      </c>
      <c r="Y529" t="s">
        <v>78</v>
      </c>
      <c r="Z529" s="14">
        <v>3</v>
      </c>
      <c r="AA529" s="12">
        <f>YEAR(Table1[Hire_Date])</f>
        <v>2023</v>
      </c>
      <c r="AB52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530" spans="1:28" x14ac:dyDescent="0.25">
      <c r="A530" t="s">
        <v>2274</v>
      </c>
      <c r="B530" s="16" t="s">
        <v>2275</v>
      </c>
      <c r="C530" s="16" t="s">
        <v>2276</v>
      </c>
      <c r="D530" t="s">
        <v>44</v>
      </c>
      <c r="E530" s="15">
        <v>55</v>
      </c>
      <c r="F530" s="16" t="s">
        <v>30</v>
      </c>
      <c r="G530" s="16" t="s">
        <v>13</v>
      </c>
      <c r="H530" s="16" t="s">
        <v>32</v>
      </c>
      <c r="I530" s="16" t="s">
        <v>33</v>
      </c>
      <c r="J530" s="16" t="s">
        <v>34</v>
      </c>
      <c r="K530" s="17" t="s">
        <v>2277</v>
      </c>
      <c r="M530" t="s">
        <v>36</v>
      </c>
      <c r="N530" t="s">
        <v>51</v>
      </c>
      <c r="O530" t="s">
        <v>60</v>
      </c>
      <c r="P530" s="15">
        <v>12</v>
      </c>
      <c r="Q530" s="18">
        <v>40241</v>
      </c>
      <c r="R530" s="19">
        <v>23</v>
      </c>
      <c r="S530" s="14">
        <v>3.9</v>
      </c>
      <c r="T530" s="7">
        <v>76</v>
      </c>
      <c r="U530" s="15">
        <v>19</v>
      </c>
      <c r="V530" s="15">
        <v>24</v>
      </c>
      <c r="W530" s="15">
        <v>55</v>
      </c>
      <c r="X530" t="s">
        <v>61</v>
      </c>
      <c r="Y530" t="s">
        <v>78</v>
      </c>
      <c r="Z530" s="14">
        <v>0.4</v>
      </c>
      <c r="AA530" s="12">
        <f>YEAR(Table1[Hire_Date])</f>
        <v>2026</v>
      </c>
      <c r="AB53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531" spans="1:28" x14ac:dyDescent="0.25">
      <c r="A531" t="s">
        <v>2278</v>
      </c>
      <c r="B531" s="16" t="s">
        <v>2279</v>
      </c>
      <c r="C531" s="16" t="s">
        <v>2280</v>
      </c>
      <c r="D531" t="s">
        <v>44</v>
      </c>
      <c r="E531" s="15">
        <v>40</v>
      </c>
      <c r="F531" s="16" t="s">
        <v>90</v>
      </c>
      <c r="G531" s="16" t="s">
        <v>13</v>
      </c>
      <c r="H531" s="16" t="s">
        <v>83</v>
      </c>
      <c r="I531" s="16" t="s">
        <v>48</v>
      </c>
      <c r="J531" s="16" t="s">
        <v>49</v>
      </c>
      <c r="K531" s="17" t="s">
        <v>2281</v>
      </c>
      <c r="M531" t="s">
        <v>36</v>
      </c>
      <c r="N531" t="s">
        <v>385</v>
      </c>
      <c r="O531" t="s">
        <v>52</v>
      </c>
      <c r="P531" s="15">
        <v>29</v>
      </c>
      <c r="Q531" s="18">
        <v>56755</v>
      </c>
      <c r="R531" s="19">
        <v>16</v>
      </c>
      <c r="S531" s="14">
        <v>3.6</v>
      </c>
      <c r="T531" s="7">
        <v>74</v>
      </c>
      <c r="U531" s="15">
        <v>19</v>
      </c>
      <c r="V531" s="15">
        <v>19</v>
      </c>
      <c r="W531" s="15">
        <v>59</v>
      </c>
      <c r="X531" t="s">
        <v>61</v>
      </c>
      <c r="Y531" t="s">
        <v>62</v>
      </c>
      <c r="Z531" s="14">
        <v>1.3</v>
      </c>
      <c r="AA531" s="12">
        <f>YEAR(Table1[Hire_Date])</f>
        <v>2025</v>
      </c>
      <c r="AB53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532" spans="1:28" x14ac:dyDescent="0.25">
      <c r="A532" t="s">
        <v>2282</v>
      </c>
      <c r="B532" s="16" t="s">
        <v>2283</v>
      </c>
      <c r="C532" s="16" t="s">
        <v>2284</v>
      </c>
      <c r="D532" t="s">
        <v>44</v>
      </c>
      <c r="E532" s="15">
        <v>53</v>
      </c>
      <c r="F532" s="16" t="s">
        <v>45</v>
      </c>
      <c r="G532" s="16" t="s">
        <v>82</v>
      </c>
      <c r="H532" s="16" t="s">
        <v>66</v>
      </c>
      <c r="I532" s="16" t="s">
        <v>48</v>
      </c>
      <c r="J532" s="16" t="s">
        <v>34</v>
      </c>
      <c r="K532" s="17" t="s">
        <v>2285</v>
      </c>
      <c r="M532" t="s">
        <v>36</v>
      </c>
      <c r="N532" t="s">
        <v>659</v>
      </c>
      <c r="O532" t="s">
        <v>52</v>
      </c>
      <c r="P532" s="15">
        <v>6</v>
      </c>
      <c r="Q532" s="18">
        <v>54833</v>
      </c>
      <c r="R532" s="19">
        <v>14</v>
      </c>
      <c r="S532" s="14">
        <v>4.4000000000000004</v>
      </c>
      <c r="T532" s="7">
        <v>97</v>
      </c>
      <c r="U532" s="15">
        <v>14</v>
      </c>
      <c r="V532" s="15">
        <v>35</v>
      </c>
      <c r="W532" s="15">
        <v>68</v>
      </c>
      <c r="X532" t="s">
        <v>61</v>
      </c>
      <c r="Y532" t="s">
        <v>40</v>
      </c>
      <c r="Z532" s="14">
        <v>3.6</v>
      </c>
      <c r="AA532" s="12">
        <f>YEAR(Table1[Hire_Date])</f>
        <v>2022</v>
      </c>
      <c r="AB53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533" spans="1:28" x14ac:dyDescent="0.25">
      <c r="A533" t="s">
        <v>2286</v>
      </c>
      <c r="B533" s="16" t="s">
        <v>2287</v>
      </c>
      <c r="C533" s="16" t="s">
        <v>2288</v>
      </c>
      <c r="D533" t="s">
        <v>44</v>
      </c>
      <c r="E533" s="15">
        <v>44</v>
      </c>
      <c r="F533" s="16" t="s">
        <v>45</v>
      </c>
      <c r="G533" s="16" t="s">
        <v>46</v>
      </c>
      <c r="H533" s="16" t="s">
        <v>56</v>
      </c>
      <c r="I533" s="16" t="s">
        <v>33</v>
      </c>
      <c r="J533" s="16" t="s">
        <v>34</v>
      </c>
      <c r="K533" s="17" t="s">
        <v>2289</v>
      </c>
      <c r="L533" s="17" t="s">
        <v>2290</v>
      </c>
      <c r="M533" t="s">
        <v>76</v>
      </c>
      <c r="N533" t="s">
        <v>353</v>
      </c>
      <c r="O533" t="s">
        <v>60</v>
      </c>
      <c r="P533" s="15">
        <v>14</v>
      </c>
      <c r="Q533" s="18">
        <v>84296</v>
      </c>
      <c r="R533" s="19">
        <v>12</v>
      </c>
      <c r="S533" s="14">
        <v>3.4</v>
      </c>
      <c r="T533" s="7">
        <v>90</v>
      </c>
      <c r="U533" s="15">
        <v>6</v>
      </c>
      <c r="V533" s="15">
        <v>37</v>
      </c>
      <c r="W533" s="15">
        <v>27</v>
      </c>
      <c r="X533" t="s">
        <v>61</v>
      </c>
      <c r="Y533" t="s">
        <v>40</v>
      </c>
      <c r="Z533" s="14">
        <v>4.5</v>
      </c>
      <c r="AA533" s="12">
        <f>YEAR(Table1[Hire_Date])</f>
        <v>2022</v>
      </c>
      <c r="AB53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534" spans="1:28" x14ac:dyDescent="0.25">
      <c r="A534" t="s">
        <v>2291</v>
      </c>
      <c r="B534" s="16" t="s">
        <v>2292</v>
      </c>
      <c r="C534" s="16" t="s">
        <v>2293</v>
      </c>
      <c r="D534" t="s">
        <v>29</v>
      </c>
      <c r="E534" s="15">
        <v>51</v>
      </c>
      <c r="F534" s="16" t="s">
        <v>30</v>
      </c>
      <c r="G534" s="16" t="s">
        <v>13</v>
      </c>
      <c r="H534" s="16" t="s">
        <v>56</v>
      </c>
      <c r="I534" s="16" t="s">
        <v>57</v>
      </c>
      <c r="J534" s="16" t="s">
        <v>49</v>
      </c>
      <c r="K534" s="17" t="s">
        <v>1747</v>
      </c>
      <c r="M534" t="s">
        <v>36</v>
      </c>
      <c r="N534" t="s">
        <v>2294</v>
      </c>
      <c r="O534" t="s">
        <v>60</v>
      </c>
      <c r="P534" s="15">
        <v>34</v>
      </c>
      <c r="Q534" s="18">
        <v>179799</v>
      </c>
      <c r="R534" s="19">
        <v>17</v>
      </c>
      <c r="S534" s="14">
        <v>2.8</v>
      </c>
      <c r="T534" s="7">
        <v>57</v>
      </c>
      <c r="U534" s="15">
        <v>8</v>
      </c>
      <c r="V534" s="15">
        <v>56</v>
      </c>
      <c r="W534" s="15">
        <v>52</v>
      </c>
      <c r="X534" t="s">
        <v>39</v>
      </c>
      <c r="Y534" t="s">
        <v>78</v>
      </c>
      <c r="Z534" s="14">
        <v>0.6</v>
      </c>
      <c r="AA534" s="12">
        <f>YEAR(Table1[Hire_Date])</f>
        <v>2025</v>
      </c>
      <c r="AB53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535" spans="1:28" x14ac:dyDescent="0.25">
      <c r="A535" t="s">
        <v>2295</v>
      </c>
      <c r="B535" s="16" t="s">
        <v>2296</v>
      </c>
      <c r="C535" s="16" t="s">
        <v>2297</v>
      </c>
      <c r="D535" t="s">
        <v>44</v>
      </c>
      <c r="E535" s="15">
        <v>57</v>
      </c>
      <c r="F535" s="16" t="s">
        <v>90</v>
      </c>
      <c r="G535" s="16" t="s">
        <v>281</v>
      </c>
      <c r="H535" s="16" t="s">
        <v>56</v>
      </c>
      <c r="I535" s="16" t="s">
        <v>48</v>
      </c>
      <c r="J535" s="16" t="s">
        <v>34</v>
      </c>
      <c r="K535" s="17" t="s">
        <v>2298</v>
      </c>
      <c r="M535" t="s">
        <v>36</v>
      </c>
      <c r="N535" t="s">
        <v>194</v>
      </c>
      <c r="O535" t="s">
        <v>60</v>
      </c>
      <c r="P535" s="15">
        <v>5</v>
      </c>
      <c r="Q535" s="18">
        <v>96464</v>
      </c>
      <c r="R535" s="19">
        <v>23</v>
      </c>
      <c r="S535" s="14">
        <v>3.2</v>
      </c>
      <c r="T535" s="7">
        <v>52</v>
      </c>
      <c r="U535" s="15">
        <v>18</v>
      </c>
      <c r="V535" s="15">
        <v>17</v>
      </c>
      <c r="W535" s="15">
        <v>35</v>
      </c>
      <c r="X535" t="s">
        <v>39</v>
      </c>
      <c r="Y535" t="s">
        <v>62</v>
      </c>
      <c r="Z535" s="14">
        <v>7.4</v>
      </c>
      <c r="AA535" s="12">
        <f>YEAR(Table1[Hire_Date])</f>
        <v>2019</v>
      </c>
      <c r="AB53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536" spans="1:28" x14ac:dyDescent="0.25">
      <c r="A536" t="s">
        <v>2299</v>
      </c>
      <c r="B536" s="16" t="s">
        <v>2300</v>
      </c>
      <c r="C536" s="16" t="s">
        <v>2301</v>
      </c>
      <c r="D536" t="s">
        <v>44</v>
      </c>
      <c r="E536" s="15">
        <v>25</v>
      </c>
      <c r="F536" s="16" t="s">
        <v>30</v>
      </c>
      <c r="G536" s="16" t="s">
        <v>31</v>
      </c>
      <c r="H536" s="16" t="s">
        <v>83</v>
      </c>
      <c r="I536" s="16" t="s">
        <v>33</v>
      </c>
      <c r="J536" s="16" t="s">
        <v>49</v>
      </c>
      <c r="K536" s="17" t="s">
        <v>2302</v>
      </c>
      <c r="M536" t="s">
        <v>36</v>
      </c>
      <c r="N536" t="s">
        <v>469</v>
      </c>
      <c r="O536" t="s">
        <v>38</v>
      </c>
      <c r="P536" s="15">
        <v>1</v>
      </c>
      <c r="Q536" s="18">
        <v>59543</v>
      </c>
      <c r="R536" s="19">
        <v>24</v>
      </c>
      <c r="S536" s="14">
        <v>2.9</v>
      </c>
      <c r="T536" s="7">
        <v>84</v>
      </c>
      <c r="U536" s="15">
        <v>12</v>
      </c>
      <c r="V536" s="15">
        <v>9</v>
      </c>
      <c r="W536" s="15">
        <v>27</v>
      </c>
      <c r="X536" t="s">
        <v>39</v>
      </c>
      <c r="Y536" t="s">
        <v>62</v>
      </c>
      <c r="Z536" s="14">
        <v>1.7</v>
      </c>
      <c r="AA536" s="12">
        <f>YEAR(Table1[Hire_Date])</f>
        <v>2024</v>
      </c>
      <c r="AB53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537" spans="1:28" x14ac:dyDescent="0.25">
      <c r="A537" t="s">
        <v>2303</v>
      </c>
      <c r="B537" s="16" t="s">
        <v>2304</v>
      </c>
      <c r="C537" s="16" t="s">
        <v>2305</v>
      </c>
      <c r="D537" t="s">
        <v>29</v>
      </c>
      <c r="E537" s="15">
        <v>59</v>
      </c>
      <c r="F537" s="16" t="s">
        <v>45</v>
      </c>
      <c r="G537" s="16" t="s">
        <v>46</v>
      </c>
      <c r="H537" s="16" t="s">
        <v>47</v>
      </c>
      <c r="I537" s="16" t="s">
        <v>33</v>
      </c>
      <c r="J537" s="16" t="s">
        <v>34</v>
      </c>
      <c r="K537" s="17" t="s">
        <v>2306</v>
      </c>
      <c r="L537" s="17" t="s">
        <v>771</v>
      </c>
      <c r="M537" t="s">
        <v>76</v>
      </c>
      <c r="N537" t="s">
        <v>1694</v>
      </c>
      <c r="O537" t="s">
        <v>60</v>
      </c>
      <c r="P537" s="15">
        <v>16</v>
      </c>
      <c r="Q537" s="18">
        <v>56598</v>
      </c>
      <c r="R537" s="19">
        <v>21</v>
      </c>
      <c r="S537" s="14">
        <v>3.9</v>
      </c>
      <c r="T537" s="7">
        <v>81</v>
      </c>
      <c r="U537" s="15">
        <v>0</v>
      </c>
      <c r="V537" s="15">
        <v>35</v>
      </c>
      <c r="W537" s="15">
        <v>62</v>
      </c>
      <c r="X537" t="s">
        <v>61</v>
      </c>
      <c r="Y537" t="s">
        <v>62</v>
      </c>
      <c r="Z537" s="14">
        <v>10.5</v>
      </c>
      <c r="AA537" s="12">
        <f>YEAR(Table1[Hire_Date])</f>
        <v>2016</v>
      </c>
      <c r="AB53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538" spans="1:28" x14ac:dyDescent="0.25">
      <c r="A538" t="s">
        <v>2307</v>
      </c>
      <c r="B538" s="16" t="s">
        <v>2308</v>
      </c>
      <c r="C538" s="16" t="s">
        <v>2309</v>
      </c>
      <c r="D538" t="s">
        <v>44</v>
      </c>
      <c r="E538" s="15">
        <v>29</v>
      </c>
      <c r="F538" s="16" t="s">
        <v>30</v>
      </c>
      <c r="G538" s="16" t="s">
        <v>31</v>
      </c>
      <c r="H538" s="16" t="s">
        <v>56</v>
      </c>
      <c r="I538" s="16" t="s">
        <v>48</v>
      </c>
      <c r="J538" s="16" t="s">
        <v>49</v>
      </c>
      <c r="K538" s="17" t="s">
        <v>658</v>
      </c>
      <c r="M538" t="s">
        <v>36</v>
      </c>
      <c r="N538" t="s">
        <v>126</v>
      </c>
      <c r="O538" t="s">
        <v>60</v>
      </c>
      <c r="P538" s="15">
        <v>15</v>
      </c>
      <c r="Q538" s="18">
        <v>71710</v>
      </c>
      <c r="R538" s="19">
        <v>14</v>
      </c>
      <c r="S538" s="14">
        <v>3.5</v>
      </c>
      <c r="T538" s="7">
        <v>88</v>
      </c>
      <c r="U538" s="15">
        <v>16</v>
      </c>
      <c r="V538" s="15">
        <v>27</v>
      </c>
      <c r="W538" s="15">
        <v>9</v>
      </c>
      <c r="X538" t="s">
        <v>61</v>
      </c>
      <c r="Y538" t="s">
        <v>40</v>
      </c>
      <c r="Z538" s="14">
        <v>7.4</v>
      </c>
      <c r="AA538" s="12">
        <f>YEAR(Table1[Hire_Date])</f>
        <v>2019</v>
      </c>
      <c r="AB53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539" spans="1:28" x14ac:dyDescent="0.25">
      <c r="A539" t="s">
        <v>2310</v>
      </c>
      <c r="B539" s="16" t="s">
        <v>2311</v>
      </c>
      <c r="C539" s="16" t="s">
        <v>2312</v>
      </c>
      <c r="D539" t="s">
        <v>29</v>
      </c>
      <c r="E539" s="15">
        <v>28</v>
      </c>
      <c r="F539" s="16" t="s">
        <v>124</v>
      </c>
      <c r="G539" s="16" t="s">
        <v>104</v>
      </c>
      <c r="H539" s="16" t="s">
        <v>47</v>
      </c>
      <c r="I539" s="16" t="s">
        <v>48</v>
      </c>
      <c r="J539" s="16" t="s">
        <v>49</v>
      </c>
      <c r="K539" s="17" t="s">
        <v>2313</v>
      </c>
      <c r="M539" t="s">
        <v>36</v>
      </c>
      <c r="N539" t="s">
        <v>106</v>
      </c>
      <c r="O539" t="s">
        <v>60</v>
      </c>
      <c r="P539" s="15">
        <v>11</v>
      </c>
      <c r="Q539" s="18">
        <v>93103</v>
      </c>
      <c r="R539" s="19">
        <v>7</v>
      </c>
      <c r="S539" s="14">
        <v>4.5</v>
      </c>
      <c r="T539" s="7">
        <v>85</v>
      </c>
      <c r="U539" s="15">
        <v>13</v>
      </c>
      <c r="V539" s="15">
        <v>50</v>
      </c>
      <c r="W539" s="15">
        <v>5</v>
      </c>
      <c r="X539" t="s">
        <v>61</v>
      </c>
      <c r="Y539" t="s">
        <v>78</v>
      </c>
      <c r="Z539" s="14">
        <v>2.5</v>
      </c>
      <c r="AA539" s="12">
        <f>YEAR(Table1[Hire_Date])</f>
        <v>2024</v>
      </c>
      <c r="AB53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540" spans="1:28" x14ac:dyDescent="0.25">
      <c r="A540" t="s">
        <v>2314</v>
      </c>
      <c r="B540" s="16" t="s">
        <v>2315</v>
      </c>
      <c r="C540" s="16" t="s">
        <v>2316</v>
      </c>
      <c r="D540" t="s">
        <v>44</v>
      </c>
      <c r="E540" s="15">
        <v>53</v>
      </c>
      <c r="F540" s="16" t="s">
        <v>90</v>
      </c>
      <c r="G540" s="16" t="s">
        <v>13</v>
      </c>
      <c r="H540" s="16" t="s">
        <v>47</v>
      </c>
      <c r="I540" s="16" t="s">
        <v>57</v>
      </c>
      <c r="J540" s="16" t="s">
        <v>34</v>
      </c>
      <c r="K540" s="17" t="s">
        <v>2317</v>
      </c>
      <c r="M540" t="s">
        <v>36</v>
      </c>
      <c r="N540" t="s">
        <v>199</v>
      </c>
      <c r="O540" t="s">
        <v>52</v>
      </c>
      <c r="P540" s="15">
        <v>2</v>
      </c>
      <c r="Q540" s="18">
        <v>158036</v>
      </c>
      <c r="R540" s="19">
        <v>5</v>
      </c>
      <c r="S540" s="14">
        <v>3.2</v>
      </c>
      <c r="T540" s="7">
        <v>50</v>
      </c>
      <c r="U540" s="15">
        <v>3</v>
      </c>
      <c r="V540" s="15">
        <v>26</v>
      </c>
      <c r="W540" s="15">
        <v>71</v>
      </c>
      <c r="X540" t="s">
        <v>61</v>
      </c>
      <c r="Y540" t="s">
        <v>40</v>
      </c>
      <c r="Z540" s="14">
        <v>3.1</v>
      </c>
      <c r="AA540" s="12">
        <f>YEAR(Table1[Hire_Date])</f>
        <v>2023</v>
      </c>
      <c r="AB54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541" spans="1:28" x14ac:dyDescent="0.25">
      <c r="A541" t="s">
        <v>2318</v>
      </c>
      <c r="B541" s="16" t="s">
        <v>2319</v>
      </c>
      <c r="C541" s="16" t="s">
        <v>2320</v>
      </c>
      <c r="D541" t="s">
        <v>44</v>
      </c>
      <c r="E541" s="15">
        <v>59</v>
      </c>
      <c r="F541" s="16" t="s">
        <v>45</v>
      </c>
      <c r="G541" s="16" t="s">
        <v>46</v>
      </c>
      <c r="H541" s="16" t="s">
        <v>47</v>
      </c>
      <c r="I541" s="16" t="s">
        <v>57</v>
      </c>
      <c r="J541" s="16" t="s">
        <v>49</v>
      </c>
      <c r="K541" s="17" t="s">
        <v>2321</v>
      </c>
      <c r="M541" t="s">
        <v>36</v>
      </c>
      <c r="N541" t="s">
        <v>253</v>
      </c>
      <c r="O541" t="s">
        <v>38</v>
      </c>
      <c r="P541" s="15">
        <v>33</v>
      </c>
      <c r="Q541" s="18">
        <v>69166</v>
      </c>
      <c r="R541" s="19">
        <v>9</v>
      </c>
      <c r="S541" s="14">
        <v>3.3</v>
      </c>
      <c r="T541" s="7">
        <v>83</v>
      </c>
      <c r="U541" s="15">
        <v>2</v>
      </c>
      <c r="V541" s="15">
        <v>59</v>
      </c>
      <c r="W541" s="15">
        <v>56</v>
      </c>
      <c r="X541" t="s">
        <v>39</v>
      </c>
      <c r="Y541" t="s">
        <v>40</v>
      </c>
      <c r="Z541" s="14">
        <v>9.4</v>
      </c>
      <c r="AA541" s="12">
        <f>YEAR(Table1[Hire_Date])</f>
        <v>2017</v>
      </c>
      <c r="AB54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542" spans="1:28" x14ac:dyDescent="0.25">
      <c r="A542" t="s">
        <v>2322</v>
      </c>
      <c r="B542" s="16" t="s">
        <v>2323</v>
      </c>
      <c r="C542" s="16" t="s">
        <v>2324</v>
      </c>
      <c r="D542" t="s">
        <v>44</v>
      </c>
      <c r="E542" s="15">
        <v>36</v>
      </c>
      <c r="F542" s="16" t="s">
        <v>103</v>
      </c>
      <c r="G542" s="16" t="s">
        <v>147</v>
      </c>
      <c r="H542" s="16" t="s">
        <v>66</v>
      </c>
      <c r="I542" s="16" t="s">
        <v>57</v>
      </c>
      <c r="J542" s="16" t="s">
        <v>49</v>
      </c>
      <c r="K542" s="17" t="s">
        <v>1491</v>
      </c>
      <c r="M542" t="s">
        <v>36</v>
      </c>
      <c r="N542" t="s">
        <v>314</v>
      </c>
      <c r="O542" t="s">
        <v>60</v>
      </c>
      <c r="P542" s="15">
        <v>11</v>
      </c>
      <c r="Q542" s="18">
        <v>79443</v>
      </c>
      <c r="R542" s="19">
        <v>19</v>
      </c>
      <c r="S542" s="14">
        <v>4.3</v>
      </c>
      <c r="T542" s="7">
        <v>79</v>
      </c>
      <c r="U542" s="15">
        <v>9</v>
      </c>
      <c r="V542" s="15">
        <v>45</v>
      </c>
      <c r="W542" s="15">
        <v>26</v>
      </c>
      <c r="X542" t="s">
        <v>61</v>
      </c>
      <c r="Y542" t="s">
        <v>78</v>
      </c>
      <c r="Z542" s="14">
        <v>6.3</v>
      </c>
      <c r="AA542" s="12">
        <f>YEAR(Table1[Hire_Date])</f>
        <v>2020</v>
      </c>
      <c r="AB54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543" spans="1:28" x14ac:dyDescent="0.25">
      <c r="A543" t="s">
        <v>2325</v>
      </c>
      <c r="B543" s="16" t="s">
        <v>2326</v>
      </c>
      <c r="C543" s="16" t="s">
        <v>2327</v>
      </c>
      <c r="D543" t="s">
        <v>29</v>
      </c>
      <c r="E543" s="15">
        <v>57</v>
      </c>
      <c r="F543" s="16" t="s">
        <v>30</v>
      </c>
      <c r="G543" s="16" t="s">
        <v>31</v>
      </c>
      <c r="H543" s="16" t="s">
        <v>32</v>
      </c>
      <c r="I543" s="16" t="s">
        <v>57</v>
      </c>
      <c r="J543" s="16" t="s">
        <v>34</v>
      </c>
      <c r="K543" s="17" t="s">
        <v>2328</v>
      </c>
      <c r="M543" t="s">
        <v>36</v>
      </c>
      <c r="N543" t="s">
        <v>111</v>
      </c>
      <c r="O543" t="s">
        <v>60</v>
      </c>
      <c r="P543" s="15">
        <v>32</v>
      </c>
      <c r="Q543" s="18">
        <v>107300</v>
      </c>
      <c r="R543" s="19">
        <v>9</v>
      </c>
      <c r="S543" s="14">
        <v>4.0999999999999996</v>
      </c>
      <c r="T543" s="7">
        <v>98</v>
      </c>
      <c r="U543" s="15">
        <v>5</v>
      </c>
      <c r="V543" s="15">
        <v>34</v>
      </c>
      <c r="W543" s="15">
        <v>54</v>
      </c>
      <c r="X543" t="s">
        <v>39</v>
      </c>
      <c r="Y543" t="s">
        <v>78</v>
      </c>
      <c r="Z543" s="14">
        <v>3</v>
      </c>
      <c r="AA543" s="12">
        <f>YEAR(Table1[Hire_Date])</f>
        <v>2023</v>
      </c>
      <c r="AB54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544" spans="1:28" x14ac:dyDescent="0.25">
      <c r="A544" t="s">
        <v>2329</v>
      </c>
      <c r="B544" s="16" t="s">
        <v>2330</v>
      </c>
      <c r="C544" s="16" t="s">
        <v>2331</v>
      </c>
      <c r="D544" t="s">
        <v>29</v>
      </c>
      <c r="E544" s="15">
        <v>48</v>
      </c>
      <c r="F544" s="16" t="s">
        <v>72</v>
      </c>
      <c r="G544" s="16" t="s">
        <v>73</v>
      </c>
      <c r="H544" s="16" t="s">
        <v>47</v>
      </c>
      <c r="I544" s="16" t="s">
        <v>48</v>
      </c>
      <c r="J544" s="16" t="s">
        <v>34</v>
      </c>
      <c r="K544" s="17" t="s">
        <v>2332</v>
      </c>
      <c r="M544" t="s">
        <v>36</v>
      </c>
      <c r="N544" t="s">
        <v>37</v>
      </c>
      <c r="O544" t="s">
        <v>38</v>
      </c>
      <c r="P544" s="15">
        <v>8</v>
      </c>
      <c r="Q544" s="18">
        <v>126095</v>
      </c>
      <c r="R544" s="19">
        <v>20</v>
      </c>
      <c r="S544" s="14">
        <v>4.4000000000000004</v>
      </c>
      <c r="T544" s="7">
        <v>78</v>
      </c>
      <c r="U544" s="15">
        <v>1</v>
      </c>
      <c r="V544" s="15">
        <v>17</v>
      </c>
      <c r="W544" s="15">
        <v>62</v>
      </c>
      <c r="X544" t="s">
        <v>39</v>
      </c>
      <c r="Y544" t="s">
        <v>62</v>
      </c>
      <c r="Z544" s="14">
        <v>8.5</v>
      </c>
      <c r="AA544" s="12">
        <f>YEAR(Table1[Hire_Date])</f>
        <v>2018</v>
      </c>
      <c r="AB54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545" spans="1:28" x14ac:dyDescent="0.25">
      <c r="A545" t="s">
        <v>2333</v>
      </c>
      <c r="B545" s="16" t="s">
        <v>2334</v>
      </c>
      <c r="C545" s="16" t="s">
        <v>2335</v>
      </c>
      <c r="D545" t="s">
        <v>29</v>
      </c>
      <c r="E545" s="15">
        <v>34</v>
      </c>
      <c r="F545" s="16" t="s">
        <v>90</v>
      </c>
      <c r="G545" s="16" t="s">
        <v>13</v>
      </c>
      <c r="H545" s="16" t="s">
        <v>47</v>
      </c>
      <c r="I545" s="16" t="s">
        <v>33</v>
      </c>
      <c r="J545" s="16" t="s">
        <v>49</v>
      </c>
      <c r="K545" s="17" t="s">
        <v>2336</v>
      </c>
      <c r="M545" t="s">
        <v>36</v>
      </c>
      <c r="N545" t="s">
        <v>93</v>
      </c>
      <c r="O545" t="s">
        <v>38</v>
      </c>
      <c r="P545" s="15">
        <v>8</v>
      </c>
      <c r="Q545" s="18">
        <v>78801</v>
      </c>
      <c r="R545" s="19">
        <v>18</v>
      </c>
      <c r="S545" s="14">
        <v>3.1</v>
      </c>
      <c r="T545" s="7">
        <v>100</v>
      </c>
      <c r="U545" s="15">
        <v>6</v>
      </c>
      <c r="V545" s="15">
        <v>2</v>
      </c>
      <c r="W545" s="15">
        <v>25</v>
      </c>
      <c r="X545" t="s">
        <v>39</v>
      </c>
      <c r="Y545" t="s">
        <v>40</v>
      </c>
      <c r="Z545" s="14">
        <v>10.5</v>
      </c>
      <c r="AA545" s="12">
        <f>YEAR(Table1[Hire_Date])</f>
        <v>2016</v>
      </c>
      <c r="AB54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546" spans="1:28" x14ac:dyDescent="0.25">
      <c r="A546" t="s">
        <v>2337</v>
      </c>
      <c r="B546" s="16" t="s">
        <v>2338</v>
      </c>
      <c r="C546" s="16" t="s">
        <v>2339</v>
      </c>
      <c r="D546" t="s">
        <v>44</v>
      </c>
      <c r="E546" s="15">
        <v>45</v>
      </c>
      <c r="F546" s="16" t="s">
        <v>103</v>
      </c>
      <c r="G546" s="16" t="s">
        <v>147</v>
      </c>
      <c r="H546" s="16" t="s">
        <v>32</v>
      </c>
      <c r="I546" s="16" t="s">
        <v>48</v>
      </c>
      <c r="J546" s="16" t="s">
        <v>34</v>
      </c>
      <c r="K546" s="17" t="s">
        <v>2340</v>
      </c>
      <c r="M546" t="s">
        <v>36</v>
      </c>
      <c r="N546" t="s">
        <v>380</v>
      </c>
      <c r="O546" t="s">
        <v>52</v>
      </c>
      <c r="P546" s="15">
        <v>0</v>
      </c>
      <c r="Q546" s="18">
        <v>68014</v>
      </c>
      <c r="R546" s="19">
        <v>20</v>
      </c>
      <c r="S546" s="14">
        <v>3.6</v>
      </c>
      <c r="T546" s="7">
        <v>63</v>
      </c>
      <c r="U546" s="15">
        <v>10</v>
      </c>
      <c r="V546" s="15">
        <v>26</v>
      </c>
      <c r="W546" s="15">
        <v>54</v>
      </c>
      <c r="X546" t="s">
        <v>61</v>
      </c>
      <c r="Y546" t="s">
        <v>62</v>
      </c>
      <c r="Z546" s="14">
        <v>5.4</v>
      </c>
      <c r="AA546" s="12">
        <f>YEAR(Table1[Hire_Date])</f>
        <v>2021</v>
      </c>
      <c r="AB54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547" spans="1:28" x14ac:dyDescent="0.25">
      <c r="A547" t="s">
        <v>2341</v>
      </c>
      <c r="B547" s="16" t="s">
        <v>2342</v>
      </c>
      <c r="C547" s="16" t="s">
        <v>2343</v>
      </c>
      <c r="D547" t="s">
        <v>44</v>
      </c>
      <c r="E547" s="15">
        <v>46</v>
      </c>
      <c r="F547" s="16" t="s">
        <v>30</v>
      </c>
      <c r="G547" s="16" t="s">
        <v>13</v>
      </c>
      <c r="H547" s="16" t="s">
        <v>47</v>
      </c>
      <c r="I547" s="16" t="s">
        <v>48</v>
      </c>
      <c r="J547" s="16" t="s">
        <v>34</v>
      </c>
      <c r="K547" s="17" t="s">
        <v>2344</v>
      </c>
      <c r="M547" t="s">
        <v>36</v>
      </c>
      <c r="N547" t="s">
        <v>314</v>
      </c>
      <c r="O547" t="s">
        <v>52</v>
      </c>
      <c r="P547" s="15">
        <v>19</v>
      </c>
      <c r="Q547" s="18">
        <v>171021</v>
      </c>
      <c r="R547" s="19">
        <v>7</v>
      </c>
      <c r="S547" s="14">
        <v>5</v>
      </c>
      <c r="T547" s="7">
        <v>64</v>
      </c>
      <c r="U547" s="15">
        <v>1</v>
      </c>
      <c r="V547" s="15">
        <v>38</v>
      </c>
      <c r="W547" s="15">
        <v>15</v>
      </c>
      <c r="X547" t="s">
        <v>39</v>
      </c>
      <c r="Y547" t="s">
        <v>62</v>
      </c>
      <c r="Z547" s="14">
        <v>4</v>
      </c>
      <c r="AA547" s="12">
        <f>YEAR(Table1[Hire_Date])</f>
        <v>2022</v>
      </c>
      <c r="AB54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548" spans="1:28" x14ac:dyDescent="0.25">
      <c r="A548" t="s">
        <v>2345</v>
      </c>
      <c r="B548" s="16" t="s">
        <v>2346</v>
      </c>
      <c r="C548" s="16" t="s">
        <v>2347</v>
      </c>
      <c r="D548" t="s">
        <v>29</v>
      </c>
      <c r="E548" s="15">
        <v>28</v>
      </c>
      <c r="F548" s="16" t="s">
        <v>45</v>
      </c>
      <c r="G548" s="16" t="s">
        <v>46</v>
      </c>
      <c r="H548" s="16" t="s">
        <v>56</v>
      </c>
      <c r="I548" s="16" t="s">
        <v>48</v>
      </c>
      <c r="J548" s="16" t="s">
        <v>34</v>
      </c>
      <c r="K548" s="17" t="s">
        <v>2348</v>
      </c>
      <c r="M548" t="s">
        <v>36</v>
      </c>
      <c r="N548" t="s">
        <v>419</v>
      </c>
      <c r="O548" t="s">
        <v>60</v>
      </c>
      <c r="P548" s="15">
        <v>21</v>
      </c>
      <c r="Q548" s="18">
        <v>123187</v>
      </c>
      <c r="R548" s="19">
        <v>24</v>
      </c>
      <c r="S548" s="14">
        <v>5</v>
      </c>
      <c r="T548" s="7">
        <v>97</v>
      </c>
      <c r="U548" s="15">
        <v>10</v>
      </c>
      <c r="V548" s="15">
        <v>16</v>
      </c>
      <c r="W548" s="15">
        <v>43</v>
      </c>
      <c r="X548" t="s">
        <v>39</v>
      </c>
      <c r="Y548" t="s">
        <v>78</v>
      </c>
      <c r="Z548" s="14">
        <v>4.5999999999999996</v>
      </c>
      <c r="AA548" s="12">
        <f>YEAR(Table1[Hire_Date])</f>
        <v>2021</v>
      </c>
      <c r="AB54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549" spans="1:28" x14ac:dyDescent="0.25">
      <c r="A549" t="s">
        <v>2349</v>
      </c>
      <c r="B549" s="16" t="s">
        <v>2350</v>
      </c>
      <c r="C549" s="16" t="s">
        <v>2351</v>
      </c>
      <c r="D549" t="s">
        <v>44</v>
      </c>
      <c r="E549" s="15">
        <v>53</v>
      </c>
      <c r="F549" s="16" t="s">
        <v>90</v>
      </c>
      <c r="G549" s="16" t="s">
        <v>13</v>
      </c>
      <c r="H549" s="16" t="s">
        <v>56</v>
      </c>
      <c r="I549" s="16" t="s">
        <v>57</v>
      </c>
      <c r="J549" s="16" t="s">
        <v>49</v>
      </c>
      <c r="K549" s="17" t="s">
        <v>695</v>
      </c>
      <c r="M549" t="s">
        <v>36</v>
      </c>
      <c r="N549" t="s">
        <v>654</v>
      </c>
      <c r="O549" t="s">
        <v>38</v>
      </c>
      <c r="P549" s="15">
        <v>17</v>
      </c>
      <c r="Q549" s="18">
        <v>117075</v>
      </c>
      <c r="R549" s="19">
        <v>5</v>
      </c>
      <c r="S549" s="14">
        <v>2.8</v>
      </c>
      <c r="T549" s="7">
        <v>51</v>
      </c>
      <c r="U549" s="15">
        <v>3</v>
      </c>
      <c r="V549" s="15">
        <v>27</v>
      </c>
      <c r="W549" s="15">
        <v>37</v>
      </c>
      <c r="X549" t="s">
        <v>39</v>
      </c>
      <c r="Y549" t="s">
        <v>40</v>
      </c>
      <c r="Z549" s="14">
        <v>3.3</v>
      </c>
      <c r="AA549" s="12">
        <f>YEAR(Table1[Hire_Date])</f>
        <v>2023</v>
      </c>
      <c r="AB54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550" spans="1:28" x14ac:dyDescent="0.25">
      <c r="A550" t="s">
        <v>2352</v>
      </c>
      <c r="B550" s="16" t="s">
        <v>2353</v>
      </c>
      <c r="C550" s="16" t="s">
        <v>2354</v>
      </c>
      <c r="D550" t="s">
        <v>44</v>
      </c>
      <c r="E550" s="15">
        <v>43</v>
      </c>
      <c r="F550" s="16" t="s">
        <v>72</v>
      </c>
      <c r="G550" s="16" t="s">
        <v>97</v>
      </c>
      <c r="H550" s="16" t="s">
        <v>66</v>
      </c>
      <c r="I550" s="16" t="s">
        <v>48</v>
      </c>
      <c r="J550" s="16" t="s">
        <v>34</v>
      </c>
      <c r="K550" s="17" t="s">
        <v>2355</v>
      </c>
      <c r="M550" t="s">
        <v>36</v>
      </c>
      <c r="N550" t="s">
        <v>348</v>
      </c>
      <c r="O550" t="s">
        <v>60</v>
      </c>
      <c r="P550" s="15">
        <v>12</v>
      </c>
      <c r="Q550" s="18">
        <v>137909</v>
      </c>
      <c r="R550" s="19">
        <v>12</v>
      </c>
      <c r="S550" s="14">
        <v>2.8</v>
      </c>
      <c r="T550" s="7">
        <v>69</v>
      </c>
      <c r="U550" s="15">
        <v>12</v>
      </c>
      <c r="V550" s="15">
        <v>41</v>
      </c>
      <c r="W550" s="15">
        <v>9</v>
      </c>
      <c r="X550" t="s">
        <v>61</v>
      </c>
      <c r="Y550" t="s">
        <v>78</v>
      </c>
      <c r="Z550" s="14">
        <v>4.4000000000000004</v>
      </c>
      <c r="AA550" s="12">
        <f>YEAR(Table1[Hire_Date])</f>
        <v>2022</v>
      </c>
      <c r="AB55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551" spans="1:28" x14ac:dyDescent="0.25">
      <c r="A551" t="s">
        <v>2356</v>
      </c>
      <c r="B551" s="16" t="s">
        <v>2357</v>
      </c>
      <c r="C551" s="16" t="s">
        <v>2358</v>
      </c>
      <c r="D551" t="s">
        <v>29</v>
      </c>
      <c r="E551" s="15">
        <v>52</v>
      </c>
      <c r="F551" s="16" t="s">
        <v>45</v>
      </c>
      <c r="G551" s="16" t="s">
        <v>82</v>
      </c>
      <c r="H551" s="16" t="s">
        <v>32</v>
      </c>
      <c r="I551" s="16" t="s">
        <v>57</v>
      </c>
      <c r="J551" s="16" t="s">
        <v>49</v>
      </c>
      <c r="K551" s="17" t="s">
        <v>1799</v>
      </c>
      <c r="M551" t="s">
        <v>36</v>
      </c>
      <c r="N551" t="s">
        <v>385</v>
      </c>
      <c r="O551" t="s">
        <v>60</v>
      </c>
      <c r="P551" s="15">
        <v>18</v>
      </c>
      <c r="Q551" s="18">
        <v>166051</v>
      </c>
      <c r="R551" s="19">
        <v>14</v>
      </c>
      <c r="S551" s="14">
        <v>3.1</v>
      </c>
      <c r="T551" s="7">
        <v>55</v>
      </c>
      <c r="U551" s="15">
        <v>17</v>
      </c>
      <c r="V551" s="15">
        <v>22</v>
      </c>
      <c r="W551" s="15">
        <v>57</v>
      </c>
      <c r="X551" t="s">
        <v>61</v>
      </c>
      <c r="Y551" t="s">
        <v>78</v>
      </c>
      <c r="Z551" s="14">
        <v>2.4</v>
      </c>
      <c r="AA551" s="12">
        <f>YEAR(Table1[Hire_Date])</f>
        <v>2024</v>
      </c>
      <c r="AB55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552" spans="1:28" x14ac:dyDescent="0.25">
      <c r="A552" t="s">
        <v>2359</v>
      </c>
      <c r="B552" s="16" t="s">
        <v>2360</v>
      </c>
      <c r="C552" s="16" t="s">
        <v>2361</v>
      </c>
      <c r="D552" t="s">
        <v>29</v>
      </c>
      <c r="E552" s="15">
        <v>52</v>
      </c>
      <c r="F552" s="16" t="s">
        <v>30</v>
      </c>
      <c r="G552" s="16" t="s">
        <v>13</v>
      </c>
      <c r="H552" s="16" t="s">
        <v>83</v>
      </c>
      <c r="I552" s="16" t="s">
        <v>48</v>
      </c>
      <c r="J552" s="16" t="s">
        <v>49</v>
      </c>
      <c r="K552" s="17" t="s">
        <v>2362</v>
      </c>
      <c r="M552" t="s">
        <v>36</v>
      </c>
      <c r="N552" t="s">
        <v>189</v>
      </c>
      <c r="O552" t="s">
        <v>38</v>
      </c>
      <c r="P552" s="15">
        <v>34</v>
      </c>
      <c r="Q552" s="18">
        <v>171124</v>
      </c>
      <c r="R552" s="19">
        <v>6</v>
      </c>
      <c r="S552" s="14">
        <v>4</v>
      </c>
      <c r="T552" s="7">
        <v>68</v>
      </c>
      <c r="U552" s="15">
        <v>11</v>
      </c>
      <c r="V552" s="15">
        <v>50</v>
      </c>
      <c r="W552" s="15">
        <v>19</v>
      </c>
      <c r="X552" t="s">
        <v>61</v>
      </c>
      <c r="Y552" t="s">
        <v>40</v>
      </c>
      <c r="Z552" s="14">
        <v>2.2000000000000002</v>
      </c>
      <c r="AA552" s="12">
        <f>YEAR(Table1[Hire_Date])</f>
        <v>2024</v>
      </c>
      <c r="AB55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553" spans="1:28" x14ac:dyDescent="0.25">
      <c r="A553" t="s">
        <v>2363</v>
      </c>
      <c r="B553" s="16" t="s">
        <v>2364</v>
      </c>
      <c r="C553" s="16" t="s">
        <v>2365</v>
      </c>
      <c r="D553" t="s">
        <v>44</v>
      </c>
      <c r="E553" s="15">
        <v>57</v>
      </c>
      <c r="F553" s="16" t="s">
        <v>124</v>
      </c>
      <c r="G553" s="16" t="s">
        <v>141</v>
      </c>
      <c r="H553" s="16" t="s">
        <v>32</v>
      </c>
      <c r="I553" s="16" t="s">
        <v>33</v>
      </c>
      <c r="J553" s="16" t="s">
        <v>34</v>
      </c>
      <c r="K553" s="17" t="s">
        <v>2366</v>
      </c>
      <c r="M553" t="s">
        <v>36</v>
      </c>
      <c r="N553" t="s">
        <v>149</v>
      </c>
      <c r="O553" t="s">
        <v>38</v>
      </c>
      <c r="P553" s="15">
        <v>7</v>
      </c>
      <c r="Q553" s="18">
        <v>83935</v>
      </c>
      <c r="R553" s="19">
        <v>5</v>
      </c>
      <c r="S553" s="14">
        <v>4.7</v>
      </c>
      <c r="T553" s="7">
        <v>99</v>
      </c>
      <c r="U553" s="15">
        <v>17</v>
      </c>
      <c r="V553" s="15">
        <v>59</v>
      </c>
      <c r="W553" s="15">
        <v>48</v>
      </c>
      <c r="X553" t="s">
        <v>61</v>
      </c>
      <c r="Y553" t="s">
        <v>62</v>
      </c>
      <c r="Z553" s="14">
        <v>10.5</v>
      </c>
      <c r="AA553" s="12">
        <f>YEAR(Table1[Hire_Date])</f>
        <v>2016</v>
      </c>
      <c r="AB55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554" spans="1:28" x14ac:dyDescent="0.25">
      <c r="A554" t="s">
        <v>2367</v>
      </c>
      <c r="B554" s="16" t="s">
        <v>2368</v>
      </c>
      <c r="C554" s="16" t="s">
        <v>2369</v>
      </c>
      <c r="D554" t="s">
        <v>44</v>
      </c>
      <c r="E554" s="15">
        <v>38</v>
      </c>
      <c r="F554" s="16" t="s">
        <v>124</v>
      </c>
      <c r="G554" s="16" t="s">
        <v>13</v>
      </c>
      <c r="H554" s="16" t="s">
        <v>66</v>
      </c>
      <c r="I554" s="16" t="s">
        <v>33</v>
      </c>
      <c r="J554" s="16" t="s">
        <v>34</v>
      </c>
      <c r="K554" s="17" t="s">
        <v>2370</v>
      </c>
      <c r="M554" t="s">
        <v>36</v>
      </c>
      <c r="N554" t="s">
        <v>593</v>
      </c>
      <c r="O554" t="s">
        <v>38</v>
      </c>
      <c r="P554" s="15">
        <v>22</v>
      </c>
      <c r="Q554" s="18">
        <v>163701</v>
      </c>
      <c r="R554" s="19">
        <v>15</v>
      </c>
      <c r="S554" s="14">
        <v>4.3</v>
      </c>
      <c r="T554" s="7">
        <v>62</v>
      </c>
      <c r="U554" s="15">
        <v>0</v>
      </c>
      <c r="V554" s="15">
        <v>0</v>
      </c>
      <c r="W554" s="15">
        <v>2</v>
      </c>
      <c r="X554" t="s">
        <v>39</v>
      </c>
      <c r="Y554" t="s">
        <v>40</v>
      </c>
      <c r="Z554" s="14">
        <v>7.7</v>
      </c>
      <c r="AA554" s="12">
        <f>YEAR(Table1[Hire_Date])</f>
        <v>2018</v>
      </c>
      <c r="AB55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555" spans="1:28" x14ac:dyDescent="0.25">
      <c r="A555" t="s">
        <v>2371</v>
      </c>
      <c r="B555" s="16" t="s">
        <v>2372</v>
      </c>
      <c r="C555" s="16" t="s">
        <v>2373</v>
      </c>
      <c r="D555" t="s">
        <v>29</v>
      </c>
      <c r="E555" s="15">
        <v>26</v>
      </c>
      <c r="F555" s="16" t="s">
        <v>90</v>
      </c>
      <c r="G555" s="16" t="s">
        <v>13</v>
      </c>
      <c r="H555" s="16" t="s">
        <v>56</v>
      </c>
      <c r="I555" s="16" t="s">
        <v>33</v>
      </c>
      <c r="J555" s="16" t="s">
        <v>49</v>
      </c>
      <c r="K555" s="17" t="s">
        <v>2374</v>
      </c>
      <c r="M555" t="s">
        <v>36</v>
      </c>
      <c r="N555" t="s">
        <v>258</v>
      </c>
      <c r="O555" t="s">
        <v>60</v>
      </c>
      <c r="P555" s="15">
        <v>34</v>
      </c>
      <c r="Q555" s="18">
        <v>40915</v>
      </c>
      <c r="R555" s="19">
        <v>7</v>
      </c>
      <c r="S555" s="14">
        <v>2.6</v>
      </c>
      <c r="T555" s="7">
        <v>59</v>
      </c>
      <c r="U555" s="15">
        <v>14</v>
      </c>
      <c r="V555" s="15">
        <v>36</v>
      </c>
      <c r="W555" s="15">
        <v>3</v>
      </c>
      <c r="X555" t="s">
        <v>61</v>
      </c>
      <c r="Y555" t="s">
        <v>40</v>
      </c>
      <c r="Z555" s="14">
        <v>1.7</v>
      </c>
      <c r="AA555" s="12">
        <f>YEAR(Table1[Hire_Date])</f>
        <v>2024</v>
      </c>
      <c r="AB55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556" spans="1:28" x14ac:dyDescent="0.25">
      <c r="A556" t="s">
        <v>2375</v>
      </c>
      <c r="B556" s="16" t="s">
        <v>2376</v>
      </c>
      <c r="C556" s="16" t="s">
        <v>2377</v>
      </c>
      <c r="D556" t="s">
        <v>44</v>
      </c>
      <c r="E556" s="15">
        <v>43</v>
      </c>
      <c r="F556" s="16" t="s">
        <v>124</v>
      </c>
      <c r="G556" s="16" t="s">
        <v>141</v>
      </c>
      <c r="H556" s="16" t="s">
        <v>66</v>
      </c>
      <c r="I556" s="16" t="s">
        <v>57</v>
      </c>
      <c r="J556" s="16" t="s">
        <v>34</v>
      </c>
      <c r="K556" s="17" t="s">
        <v>2378</v>
      </c>
      <c r="M556" t="s">
        <v>36</v>
      </c>
      <c r="N556" t="s">
        <v>1297</v>
      </c>
      <c r="O556" t="s">
        <v>60</v>
      </c>
      <c r="P556" s="15">
        <v>26</v>
      </c>
      <c r="Q556" s="18">
        <v>57770</v>
      </c>
      <c r="R556" s="19">
        <v>14</v>
      </c>
      <c r="S556" s="14">
        <v>3.5</v>
      </c>
      <c r="T556" s="7">
        <v>86</v>
      </c>
      <c r="U556" s="15">
        <v>9</v>
      </c>
      <c r="V556" s="15">
        <v>57</v>
      </c>
      <c r="W556" s="15">
        <v>21</v>
      </c>
      <c r="X556" t="s">
        <v>39</v>
      </c>
      <c r="Y556" t="s">
        <v>78</v>
      </c>
      <c r="Z556" s="14">
        <v>4.8</v>
      </c>
      <c r="AA556" s="12">
        <f>YEAR(Table1[Hire_Date])</f>
        <v>2021</v>
      </c>
      <c r="AB55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557" spans="1:28" x14ac:dyDescent="0.25">
      <c r="A557" t="s">
        <v>2379</v>
      </c>
      <c r="B557" s="16" t="s">
        <v>2380</v>
      </c>
      <c r="C557" s="16" t="s">
        <v>2381</v>
      </c>
      <c r="D557" t="s">
        <v>44</v>
      </c>
      <c r="E557" s="15">
        <v>33</v>
      </c>
      <c r="F557" s="16" t="s">
        <v>30</v>
      </c>
      <c r="G557" s="16" t="s">
        <v>13</v>
      </c>
      <c r="H557" s="16" t="s">
        <v>56</v>
      </c>
      <c r="I557" s="16" t="s">
        <v>57</v>
      </c>
      <c r="J557" s="16" t="s">
        <v>34</v>
      </c>
      <c r="K557" s="17" t="s">
        <v>2382</v>
      </c>
      <c r="M557" t="s">
        <v>36</v>
      </c>
      <c r="N557" t="s">
        <v>59</v>
      </c>
      <c r="O557" t="s">
        <v>60</v>
      </c>
      <c r="P557" s="15">
        <v>15</v>
      </c>
      <c r="Q557" s="18">
        <v>158249</v>
      </c>
      <c r="R557" s="19">
        <v>20</v>
      </c>
      <c r="S557" s="14">
        <v>3.1</v>
      </c>
      <c r="T557" s="7">
        <v>53</v>
      </c>
      <c r="U557" s="15">
        <v>16</v>
      </c>
      <c r="V557" s="15">
        <v>16</v>
      </c>
      <c r="W557" s="15">
        <v>31</v>
      </c>
      <c r="X557" t="s">
        <v>39</v>
      </c>
      <c r="Y557" t="s">
        <v>62</v>
      </c>
      <c r="Z557" s="14">
        <v>2.7</v>
      </c>
      <c r="AA557" s="12">
        <f>YEAR(Table1[Hire_Date])</f>
        <v>2023</v>
      </c>
      <c r="AB55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558" spans="1:28" x14ac:dyDescent="0.25">
      <c r="A558" t="s">
        <v>2383</v>
      </c>
      <c r="B558" s="16" t="s">
        <v>2384</v>
      </c>
      <c r="C558" s="16" t="s">
        <v>2385</v>
      </c>
      <c r="D558" t="s">
        <v>29</v>
      </c>
      <c r="E558" s="15">
        <v>53</v>
      </c>
      <c r="F558" s="16" t="s">
        <v>124</v>
      </c>
      <c r="G558" s="16" t="s">
        <v>141</v>
      </c>
      <c r="H558" s="16" t="s">
        <v>83</v>
      </c>
      <c r="I558" s="16" t="s">
        <v>57</v>
      </c>
      <c r="J558" s="16" t="s">
        <v>34</v>
      </c>
      <c r="K558" s="17" t="s">
        <v>2386</v>
      </c>
      <c r="M558" t="s">
        <v>36</v>
      </c>
      <c r="N558" t="s">
        <v>286</v>
      </c>
      <c r="O558" t="s">
        <v>38</v>
      </c>
      <c r="P558" s="15">
        <v>15</v>
      </c>
      <c r="Q558" s="18">
        <v>139057</v>
      </c>
      <c r="R558" s="19">
        <v>24</v>
      </c>
      <c r="S558" s="14">
        <v>3</v>
      </c>
      <c r="T558" s="7">
        <v>84</v>
      </c>
      <c r="U558" s="15">
        <v>1</v>
      </c>
      <c r="V558" s="15">
        <v>0</v>
      </c>
      <c r="W558" s="15">
        <v>34</v>
      </c>
      <c r="X558" t="s">
        <v>61</v>
      </c>
      <c r="Y558" t="s">
        <v>78</v>
      </c>
      <c r="Z558" s="14">
        <v>3</v>
      </c>
      <c r="AA558" s="12">
        <f>YEAR(Table1[Hire_Date])</f>
        <v>2023</v>
      </c>
      <c r="AB55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559" spans="1:28" x14ac:dyDescent="0.25">
      <c r="A559" t="s">
        <v>2387</v>
      </c>
      <c r="B559" s="16" t="s">
        <v>2388</v>
      </c>
      <c r="C559" s="16" t="s">
        <v>2389</v>
      </c>
      <c r="D559" t="s">
        <v>44</v>
      </c>
      <c r="E559" s="15">
        <v>23</v>
      </c>
      <c r="F559" s="16" t="s">
        <v>124</v>
      </c>
      <c r="G559" s="16" t="s">
        <v>141</v>
      </c>
      <c r="H559" s="16" t="s">
        <v>66</v>
      </c>
      <c r="I559" s="16" t="s">
        <v>48</v>
      </c>
      <c r="J559" s="16" t="s">
        <v>34</v>
      </c>
      <c r="K559" s="17" t="s">
        <v>2390</v>
      </c>
      <c r="M559" t="s">
        <v>36</v>
      </c>
      <c r="N559" t="s">
        <v>1237</v>
      </c>
      <c r="O559" t="s">
        <v>60</v>
      </c>
      <c r="P559" s="15">
        <v>10</v>
      </c>
      <c r="Q559" s="18">
        <v>65334</v>
      </c>
      <c r="R559" s="19">
        <v>20</v>
      </c>
      <c r="S559" s="14">
        <v>4.7</v>
      </c>
      <c r="T559" s="7">
        <v>97</v>
      </c>
      <c r="U559" s="15">
        <v>19</v>
      </c>
      <c r="V559" s="15">
        <v>32</v>
      </c>
      <c r="W559" s="15">
        <v>68</v>
      </c>
      <c r="X559" t="s">
        <v>39</v>
      </c>
      <c r="Y559" t="s">
        <v>40</v>
      </c>
      <c r="Z559" s="14">
        <v>8.1999999999999993</v>
      </c>
      <c r="AA559" s="12">
        <f>YEAR(Table1[Hire_Date])</f>
        <v>2018</v>
      </c>
      <c r="AB55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560" spans="1:28" x14ac:dyDescent="0.25">
      <c r="A560" t="s">
        <v>2391</v>
      </c>
      <c r="B560" s="16" t="s">
        <v>2392</v>
      </c>
      <c r="C560" s="16" t="s">
        <v>2393</v>
      </c>
      <c r="D560" t="s">
        <v>44</v>
      </c>
      <c r="E560" s="15">
        <v>35</v>
      </c>
      <c r="F560" s="16" t="s">
        <v>124</v>
      </c>
      <c r="G560" s="16" t="s">
        <v>104</v>
      </c>
      <c r="H560" s="16" t="s">
        <v>83</v>
      </c>
      <c r="I560" s="16" t="s">
        <v>33</v>
      </c>
      <c r="J560" s="16" t="s">
        <v>49</v>
      </c>
      <c r="K560" s="17" t="s">
        <v>2394</v>
      </c>
      <c r="M560" t="s">
        <v>36</v>
      </c>
      <c r="N560" t="s">
        <v>199</v>
      </c>
      <c r="O560" t="s">
        <v>60</v>
      </c>
      <c r="P560" s="15">
        <v>11</v>
      </c>
      <c r="Q560" s="18">
        <v>155966</v>
      </c>
      <c r="R560" s="19">
        <v>14</v>
      </c>
      <c r="S560" s="14">
        <v>4</v>
      </c>
      <c r="T560" s="7">
        <v>66</v>
      </c>
      <c r="U560" s="15">
        <v>19</v>
      </c>
      <c r="V560" s="15">
        <v>0</v>
      </c>
      <c r="W560" s="15">
        <v>7</v>
      </c>
      <c r="X560" t="s">
        <v>61</v>
      </c>
      <c r="Y560" t="s">
        <v>62</v>
      </c>
      <c r="Z560" s="14">
        <v>1.1000000000000001</v>
      </c>
      <c r="AA560" s="12">
        <f>YEAR(Table1[Hire_Date])</f>
        <v>2025</v>
      </c>
      <c r="AB56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561" spans="1:28" x14ac:dyDescent="0.25">
      <c r="A561" t="s">
        <v>2395</v>
      </c>
      <c r="B561" s="16" t="s">
        <v>2396</v>
      </c>
      <c r="C561" s="16" t="s">
        <v>2397</v>
      </c>
      <c r="D561" t="s">
        <v>44</v>
      </c>
      <c r="E561" s="15">
        <v>57</v>
      </c>
      <c r="F561" s="16" t="s">
        <v>124</v>
      </c>
      <c r="G561" s="16" t="s">
        <v>141</v>
      </c>
      <c r="H561" s="16" t="s">
        <v>56</v>
      </c>
      <c r="I561" s="16" t="s">
        <v>33</v>
      </c>
      <c r="J561" s="16" t="s">
        <v>34</v>
      </c>
      <c r="K561" s="17" t="s">
        <v>2398</v>
      </c>
      <c r="M561" t="s">
        <v>36</v>
      </c>
      <c r="N561" t="s">
        <v>258</v>
      </c>
      <c r="O561" t="s">
        <v>38</v>
      </c>
      <c r="P561" s="15">
        <v>12</v>
      </c>
      <c r="Q561" s="18">
        <v>166166</v>
      </c>
      <c r="R561" s="19">
        <v>20</v>
      </c>
      <c r="S561" s="14">
        <v>4.4000000000000004</v>
      </c>
      <c r="T561" s="7">
        <v>50</v>
      </c>
      <c r="U561" s="15">
        <v>2</v>
      </c>
      <c r="V561" s="15">
        <v>39</v>
      </c>
      <c r="W561" s="15">
        <v>70</v>
      </c>
      <c r="X561" t="s">
        <v>39</v>
      </c>
      <c r="Y561" t="s">
        <v>62</v>
      </c>
      <c r="Z561" s="14">
        <v>0.8</v>
      </c>
      <c r="AA561" s="12">
        <f>YEAR(Table1[Hire_Date])</f>
        <v>2025</v>
      </c>
      <c r="AB56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562" spans="1:28" x14ac:dyDescent="0.25">
      <c r="A562" t="s">
        <v>2399</v>
      </c>
      <c r="B562" s="16" t="s">
        <v>2400</v>
      </c>
      <c r="C562" s="16" t="s">
        <v>2401</v>
      </c>
      <c r="D562" t="s">
        <v>44</v>
      </c>
      <c r="E562" s="15">
        <v>22</v>
      </c>
      <c r="F562" s="16" t="s">
        <v>72</v>
      </c>
      <c r="G562" s="16" t="s">
        <v>135</v>
      </c>
      <c r="H562" s="16" t="s">
        <v>56</v>
      </c>
      <c r="I562" s="16" t="s">
        <v>33</v>
      </c>
      <c r="J562" s="16" t="s">
        <v>34</v>
      </c>
      <c r="K562" s="17" t="s">
        <v>2402</v>
      </c>
      <c r="M562" t="s">
        <v>36</v>
      </c>
      <c r="N562" t="s">
        <v>1237</v>
      </c>
      <c r="O562" t="s">
        <v>52</v>
      </c>
      <c r="P562" s="15">
        <v>7</v>
      </c>
      <c r="Q562" s="18">
        <v>125364</v>
      </c>
      <c r="R562" s="19">
        <v>19</v>
      </c>
      <c r="S562" s="14">
        <v>4.3</v>
      </c>
      <c r="T562" s="7">
        <v>85</v>
      </c>
      <c r="U562" s="15">
        <v>9</v>
      </c>
      <c r="V562" s="15">
        <v>26</v>
      </c>
      <c r="W562" s="15">
        <v>58</v>
      </c>
      <c r="X562" t="s">
        <v>61</v>
      </c>
      <c r="Y562" t="s">
        <v>62</v>
      </c>
      <c r="Z562" s="14">
        <v>6.3</v>
      </c>
      <c r="AA562" s="12">
        <f>YEAR(Table1[Hire_Date])</f>
        <v>2020</v>
      </c>
      <c r="AB56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563" spans="1:28" x14ac:dyDescent="0.25">
      <c r="A563" t="s">
        <v>2403</v>
      </c>
      <c r="B563" s="16" t="s">
        <v>2404</v>
      </c>
      <c r="C563" s="16" t="s">
        <v>2405</v>
      </c>
      <c r="D563" t="s">
        <v>44</v>
      </c>
      <c r="E563" s="15">
        <v>56</v>
      </c>
      <c r="F563" s="16" t="s">
        <v>30</v>
      </c>
      <c r="G563" s="16" t="s">
        <v>31</v>
      </c>
      <c r="H563" s="16" t="s">
        <v>56</v>
      </c>
      <c r="I563" s="16" t="s">
        <v>57</v>
      </c>
      <c r="J563" s="16" t="s">
        <v>49</v>
      </c>
      <c r="K563" s="17" t="s">
        <v>2406</v>
      </c>
      <c r="M563" t="s">
        <v>36</v>
      </c>
      <c r="N563" t="s">
        <v>659</v>
      </c>
      <c r="O563" t="s">
        <v>52</v>
      </c>
      <c r="P563" s="15">
        <v>25</v>
      </c>
      <c r="Q563" s="18">
        <v>126812</v>
      </c>
      <c r="R563" s="19">
        <v>11</v>
      </c>
      <c r="S563" s="14">
        <v>3.8</v>
      </c>
      <c r="T563" s="7">
        <v>90</v>
      </c>
      <c r="U563" s="15">
        <v>18</v>
      </c>
      <c r="V563" s="15">
        <v>33</v>
      </c>
      <c r="W563" s="15">
        <v>58</v>
      </c>
      <c r="X563" t="s">
        <v>61</v>
      </c>
      <c r="Y563" t="s">
        <v>62</v>
      </c>
      <c r="Z563" s="14">
        <v>4.9000000000000004</v>
      </c>
      <c r="AA563" s="12">
        <f>YEAR(Table1[Hire_Date])</f>
        <v>2021</v>
      </c>
      <c r="AB56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564" spans="1:28" x14ac:dyDescent="0.25">
      <c r="A564" t="s">
        <v>2407</v>
      </c>
      <c r="B564" s="16" t="s">
        <v>2408</v>
      </c>
      <c r="C564" s="16" t="s">
        <v>2409</v>
      </c>
      <c r="D564" t="s">
        <v>29</v>
      </c>
      <c r="E564" s="15">
        <v>30</v>
      </c>
      <c r="F564" s="16" t="s">
        <v>72</v>
      </c>
      <c r="G564" s="16" t="s">
        <v>135</v>
      </c>
      <c r="H564" s="16" t="s">
        <v>47</v>
      </c>
      <c r="I564" s="16" t="s">
        <v>33</v>
      </c>
      <c r="J564" s="16" t="s">
        <v>49</v>
      </c>
      <c r="K564" s="17" t="s">
        <v>2410</v>
      </c>
      <c r="M564" t="s">
        <v>36</v>
      </c>
      <c r="N564" t="s">
        <v>367</v>
      </c>
      <c r="O564" t="s">
        <v>38</v>
      </c>
      <c r="P564" s="15">
        <v>14</v>
      </c>
      <c r="Q564" s="18">
        <v>116774</v>
      </c>
      <c r="R564" s="19">
        <v>20</v>
      </c>
      <c r="S564" s="14">
        <v>3.8</v>
      </c>
      <c r="T564" s="7">
        <v>80</v>
      </c>
      <c r="U564" s="15">
        <v>14</v>
      </c>
      <c r="V564" s="15">
        <v>29</v>
      </c>
      <c r="W564" s="15">
        <v>19</v>
      </c>
      <c r="X564" t="s">
        <v>61</v>
      </c>
      <c r="Y564" t="s">
        <v>40</v>
      </c>
      <c r="Z564" s="14">
        <v>6.7</v>
      </c>
      <c r="AA564" s="12">
        <f>YEAR(Table1[Hire_Date])</f>
        <v>2019</v>
      </c>
      <c r="AB56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565" spans="1:28" x14ac:dyDescent="0.25">
      <c r="A565" t="s">
        <v>2411</v>
      </c>
      <c r="B565" s="16" t="s">
        <v>2412</v>
      </c>
      <c r="C565" s="16" t="s">
        <v>2413</v>
      </c>
      <c r="D565" t="s">
        <v>29</v>
      </c>
      <c r="E565" s="15">
        <v>36</v>
      </c>
      <c r="F565" s="16" t="s">
        <v>45</v>
      </c>
      <c r="G565" s="16" t="s">
        <v>82</v>
      </c>
      <c r="H565" s="16" t="s">
        <v>83</v>
      </c>
      <c r="I565" s="16" t="s">
        <v>57</v>
      </c>
      <c r="J565" s="16" t="s">
        <v>34</v>
      </c>
      <c r="K565" s="17" t="s">
        <v>775</v>
      </c>
      <c r="M565" t="s">
        <v>36</v>
      </c>
      <c r="N565" t="s">
        <v>358</v>
      </c>
      <c r="O565" t="s">
        <v>38</v>
      </c>
      <c r="P565" s="15">
        <v>1</v>
      </c>
      <c r="Q565" s="18">
        <v>158087</v>
      </c>
      <c r="R565" s="19">
        <v>20</v>
      </c>
      <c r="S565" s="14">
        <v>3.9</v>
      </c>
      <c r="T565" s="7">
        <v>73</v>
      </c>
      <c r="U565" s="15">
        <v>12</v>
      </c>
      <c r="V565" s="15">
        <v>48</v>
      </c>
      <c r="W565" s="15">
        <v>9</v>
      </c>
      <c r="X565" t="s">
        <v>61</v>
      </c>
      <c r="Y565" t="s">
        <v>40</v>
      </c>
      <c r="Z565" s="14">
        <v>4.4000000000000004</v>
      </c>
      <c r="AA565" s="12">
        <f>YEAR(Table1[Hire_Date])</f>
        <v>2022</v>
      </c>
      <c r="AB56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566" spans="1:28" x14ac:dyDescent="0.25">
      <c r="A566" t="s">
        <v>2414</v>
      </c>
      <c r="B566" s="16" t="s">
        <v>2415</v>
      </c>
      <c r="C566" s="16" t="s">
        <v>2416</v>
      </c>
      <c r="D566" t="s">
        <v>29</v>
      </c>
      <c r="E566" s="15">
        <v>43</v>
      </c>
      <c r="F566" s="16" t="s">
        <v>45</v>
      </c>
      <c r="G566" s="16" t="s">
        <v>82</v>
      </c>
      <c r="H566" s="16" t="s">
        <v>32</v>
      </c>
      <c r="I566" s="16" t="s">
        <v>48</v>
      </c>
      <c r="J566" s="16" t="s">
        <v>49</v>
      </c>
      <c r="K566" s="17" t="s">
        <v>2417</v>
      </c>
      <c r="L566" s="17" t="s">
        <v>1787</v>
      </c>
      <c r="M566" t="s">
        <v>76</v>
      </c>
      <c r="N566" t="s">
        <v>631</v>
      </c>
      <c r="O566" t="s">
        <v>38</v>
      </c>
      <c r="P566" s="15">
        <v>5</v>
      </c>
      <c r="Q566" s="18">
        <v>103999</v>
      </c>
      <c r="R566" s="19">
        <v>22</v>
      </c>
      <c r="S566" s="14">
        <v>2.9</v>
      </c>
      <c r="T566" s="7">
        <v>51</v>
      </c>
      <c r="U566" s="15">
        <v>7</v>
      </c>
      <c r="V566" s="15">
        <v>42</v>
      </c>
      <c r="W566" s="15">
        <v>66</v>
      </c>
      <c r="X566" t="s">
        <v>61</v>
      </c>
      <c r="Y566" t="s">
        <v>78</v>
      </c>
      <c r="Z566" s="14">
        <v>8.6</v>
      </c>
      <c r="AA566" s="12">
        <f>YEAR(Table1[Hire_Date])</f>
        <v>2018</v>
      </c>
      <c r="AB56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567" spans="1:28" x14ac:dyDescent="0.25">
      <c r="A567" t="s">
        <v>2418</v>
      </c>
      <c r="B567" s="16" t="s">
        <v>2419</v>
      </c>
      <c r="C567" s="16" t="s">
        <v>2420</v>
      </c>
      <c r="D567" t="s">
        <v>29</v>
      </c>
      <c r="E567" s="15">
        <v>28</v>
      </c>
      <c r="F567" s="16" t="s">
        <v>45</v>
      </c>
      <c r="G567" s="16" t="s">
        <v>82</v>
      </c>
      <c r="H567" s="16" t="s">
        <v>47</v>
      </c>
      <c r="I567" s="16" t="s">
        <v>33</v>
      </c>
      <c r="J567" s="16" t="s">
        <v>34</v>
      </c>
      <c r="K567" s="17" t="s">
        <v>2421</v>
      </c>
      <c r="M567" t="s">
        <v>36</v>
      </c>
      <c r="N567" t="s">
        <v>353</v>
      </c>
      <c r="O567" t="s">
        <v>60</v>
      </c>
      <c r="P567" s="15">
        <v>29</v>
      </c>
      <c r="Q567" s="18">
        <v>159040</v>
      </c>
      <c r="R567" s="19">
        <v>19</v>
      </c>
      <c r="S567" s="14">
        <v>4.4000000000000004</v>
      </c>
      <c r="T567" s="7">
        <v>66</v>
      </c>
      <c r="U567" s="15">
        <v>19</v>
      </c>
      <c r="V567" s="15">
        <v>56</v>
      </c>
      <c r="W567" s="15">
        <v>19</v>
      </c>
      <c r="X567" t="s">
        <v>39</v>
      </c>
      <c r="Y567" t="s">
        <v>62</v>
      </c>
      <c r="Z567" s="14">
        <v>7.6</v>
      </c>
      <c r="AA567" s="12">
        <f>YEAR(Table1[Hire_Date])</f>
        <v>2018</v>
      </c>
      <c r="AB56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568" spans="1:28" x14ac:dyDescent="0.25">
      <c r="A568" t="s">
        <v>2422</v>
      </c>
      <c r="B568" s="16" t="s">
        <v>2423</v>
      </c>
      <c r="C568" s="16" t="s">
        <v>2424</v>
      </c>
      <c r="D568" t="s">
        <v>29</v>
      </c>
      <c r="E568" s="15">
        <v>43</v>
      </c>
      <c r="F568" s="16" t="s">
        <v>45</v>
      </c>
      <c r="G568" s="16" t="s">
        <v>82</v>
      </c>
      <c r="H568" s="16" t="s">
        <v>83</v>
      </c>
      <c r="I568" s="16" t="s">
        <v>33</v>
      </c>
      <c r="J568" s="16" t="s">
        <v>49</v>
      </c>
      <c r="K568" s="17" t="s">
        <v>2425</v>
      </c>
      <c r="M568" t="s">
        <v>36</v>
      </c>
      <c r="N568" t="s">
        <v>263</v>
      </c>
      <c r="O568" t="s">
        <v>52</v>
      </c>
      <c r="P568" s="15">
        <v>30</v>
      </c>
      <c r="Q568" s="18">
        <v>82276</v>
      </c>
      <c r="R568" s="19">
        <v>8</v>
      </c>
      <c r="S568" s="14">
        <v>5</v>
      </c>
      <c r="T568" s="7">
        <v>63</v>
      </c>
      <c r="U568" s="15">
        <v>14</v>
      </c>
      <c r="V568" s="15">
        <v>53</v>
      </c>
      <c r="W568" s="15">
        <v>17</v>
      </c>
      <c r="X568" t="s">
        <v>61</v>
      </c>
      <c r="Y568" t="s">
        <v>62</v>
      </c>
      <c r="Z568" s="14">
        <v>3.7</v>
      </c>
      <c r="AA568" s="12">
        <f>YEAR(Table1[Hire_Date])</f>
        <v>2022</v>
      </c>
      <c r="AB56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569" spans="1:28" x14ac:dyDescent="0.25">
      <c r="A569" t="s">
        <v>2426</v>
      </c>
      <c r="B569" s="16" t="s">
        <v>2427</v>
      </c>
      <c r="C569" s="16" t="s">
        <v>2428</v>
      </c>
      <c r="D569" t="s">
        <v>44</v>
      </c>
      <c r="E569" s="15">
        <v>54</v>
      </c>
      <c r="F569" s="16" t="s">
        <v>30</v>
      </c>
      <c r="G569" s="16" t="s">
        <v>13</v>
      </c>
      <c r="H569" s="16" t="s">
        <v>56</v>
      </c>
      <c r="I569" s="16" t="s">
        <v>57</v>
      </c>
      <c r="J569" s="16" t="s">
        <v>49</v>
      </c>
      <c r="K569" s="17" t="s">
        <v>2429</v>
      </c>
      <c r="M569" t="s">
        <v>36</v>
      </c>
      <c r="N569" t="s">
        <v>295</v>
      </c>
      <c r="O569" t="s">
        <v>60</v>
      </c>
      <c r="P569" s="15">
        <v>7</v>
      </c>
      <c r="Q569" s="18">
        <v>59831</v>
      </c>
      <c r="R569" s="19">
        <v>11</v>
      </c>
      <c r="S569" s="14">
        <v>2.9</v>
      </c>
      <c r="T569" s="7">
        <v>73</v>
      </c>
      <c r="U569" s="15">
        <v>9</v>
      </c>
      <c r="V569" s="15">
        <v>38</v>
      </c>
      <c r="W569" s="15">
        <v>20</v>
      </c>
      <c r="X569" t="s">
        <v>61</v>
      </c>
      <c r="Y569" t="s">
        <v>40</v>
      </c>
      <c r="Z569" s="14">
        <v>1.5</v>
      </c>
      <c r="AA569" s="12">
        <f>YEAR(Table1[Hire_Date])</f>
        <v>2025</v>
      </c>
      <c r="AB56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570" spans="1:28" x14ac:dyDescent="0.25">
      <c r="A570" t="s">
        <v>2430</v>
      </c>
      <c r="B570" s="16" t="s">
        <v>2431</v>
      </c>
      <c r="C570" s="16" t="s">
        <v>2432</v>
      </c>
      <c r="D570" t="s">
        <v>44</v>
      </c>
      <c r="E570" s="15">
        <v>26</v>
      </c>
      <c r="F570" s="16" t="s">
        <v>90</v>
      </c>
      <c r="G570" s="16" t="s">
        <v>13</v>
      </c>
      <c r="H570" s="16" t="s">
        <v>47</v>
      </c>
      <c r="I570" s="16" t="s">
        <v>48</v>
      </c>
      <c r="J570" s="16" t="s">
        <v>34</v>
      </c>
      <c r="K570" s="17" t="s">
        <v>2433</v>
      </c>
      <c r="M570" t="s">
        <v>36</v>
      </c>
      <c r="N570" t="s">
        <v>248</v>
      </c>
      <c r="O570" t="s">
        <v>38</v>
      </c>
      <c r="P570" s="15">
        <v>24</v>
      </c>
      <c r="Q570" s="18">
        <v>149294</v>
      </c>
      <c r="R570" s="19">
        <v>15</v>
      </c>
      <c r="S570" s="14">
        <v>4.8</v>
      </c>
      <c r="T570" s="7">
        <v>59</v>
      </c>
      <c r="U570" s="15">
        <v>2</v>
      </c>
      <c r="V570" s="15">
        <v>0</v>
      </c>
      <c r="W570" s="15">
        <v>71</v>
      </c>
      <c r="X570" t="s">
        <v>61</v>
      </c>
      <c r="Y570" t="s">
        <v>40</v>
      </c>
      <c r="Z570" s="14">
        <v>8.4</v>
      </c>
      <c r="AA570" s="12">
        <f>YEAR(Table1[Hire_Date])</f>
        <v>2018</v>
      </c>
      <c r="AB57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571" spans="1:28" x14ac:dyDescent="0.25">
      <c r="A571" t="s">
        <v>2434</v>
      </c>
      <c r="B571" s="16" t="s">
        <v>2435</v>
      </c>
      <c r="C571" s="16" t="s">
        <v>2436</v>
      </c>
      <c r="D571" t="s">
        <v>29</v>
      </c>
      <c r="E571" s="15">
        <v>23</v>
      </c>
      <c r="F571" s="16" t="s">
        <v>124</v>
      </c>
      <c r="G571" s="16" t="s">
        <v>13</v>
      </c>
      <c r="H571" s="16" t="s">
        <v>47</v>
      </c>
      <c r="I571" s="16" t="s">
        <v>57</v>
      </c>
      <c r="J571" s="16" t="s">
        <v>34</v>
      </c>
      <c r="K571" s="17" t="s">
        <v>2437</v>
      </c>
      <c r="M571" t="s">
        <v>36</v>
      </c>
      <c r="N571" t="s">
        <v>149</v>
      </c>
      <c r="O571" t="s">
        <v>52</v>
      </c>
      <c r="P571" s="15">
        <v>32</v>
      </c>
      <c r="Q571" s="18">
        <v>61671</v>
      </c>
      <c r="R571" s="19">
        <v>17</v>
      </c>
      <c r="S571" s="14">
        <v>4.8</v>
      </c>
      <c r="T571" s="7">
        <v>52</v>
      </c>
      <c r="U571" s="15">
        <v>5</v>
      </c>
      <c r="V571" s="15">
        <v>0</v>
      </c>
      <c r="W571" s="15">
        <v>76</v>
      </c>
      <c r="X571" t="s">
        <v>61</v>
      </c>
      <c r="Y571" t="s">
        <v>40</v>
      </c>
      <c r="Z571" s="14">
        <v>6.9</v>
      </c>
      <c r="AA571" s="12">
        <f>YEAR(Table1[Hire_Date])</f>
        <v>2019</v>
      </c>
      <c r="AB57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572" spans="1:28" x14ac:dyDescent="0.25">
      <c r="A572" t="s">
        <v>2438</v>
      </c>
      <c r="B572" s="16" t="s">
        <v>2439</v>
      </c>
      <c r="C572" s="16" t="s">
        <v>2440</v>
      </c>
      <c r="D572" t="s">
        <v>44</v>
      </c>
      <c r="E572" s="15">
        <v>26</v>
      </c>
      <c r="F572" s="16" t="s">
        <v>45</v>
      </c>
      <c r="G572" s="16" t="s">
        <v>82</v>
      </c>
      <c r="H572" s="16" t="s">
        <v>83</v>
      </c>
      <c r="I572" s="16" t="s">
        <v>57</v>
      </c>
      <c r="J572" s="16" t="s">
        <v>49</v>
      </c>
      <c r="K572" s="17" t="s">
        <v>2441</v>
      </c>
      <c r="M572" t="s">
        <v>36</v>
      </c>
      <c r="N572" t="s">
        <v>224</v>
      </c>
      <c r="O572" t="s">
        <v>52</v>
      </c>
      <c r="P572" s="15">
        <v>21</v>
      </c>
      <c r="Q572" s="18">
        <v>93893</v>
      </c>
      <c r="R572" s="19">
        <v>17</v>
      </c>
      <c r="S572" s="14">
        <v>4.8</v>
      </c>
      <c r="T572" s="7">
        <v>52</v>
      </c>
      <c r="U572" s="15">
        <v>5</v>
      </c>
      <c r="V572" s="15">
        <v>35</v>
      </c>
      <c r="W572" s="15">
        <v>14</v>
      </c>
      <c r="X572" t="s">
        <v>39</v>
      </c>
      <c r="Y572" t="s">
        <v>62</v>
      </c>
      <c r="Z572" s="14">
        <v>8.1999999999999993</v>
      </c>
      <c r="AA572" s="12">
        <f>YEAR(Table1[Hire_Date])</f>
        <v>2018</v>
      </c>
      <c r="AB57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573" spans="1:28" x14ac:dyDescent="0.25">
      <c r="A573" t="s">
        <v>2442</v>
      </c>
      <c r="B573" s="16" t="s">
        <v>2443</v>
      </c>
      <c r="C573" s="16" t="s">
        <v>2444</v>
      </c>
      <c r="D573" t="s">
        <v>44</v>
      </c>
      <c r="E573" s="15">
        <v>24</v>
      </c>
      <c r="F573" s="16" t="s">
        <v>72</v>
      </c>
      <c r="G573" s="16" t="s">
        <v>73</v>
      </c>
      <c r="H573" s="16" t="s">
        <v>32</v>
      </c>
      <c r="I573" s="16" t="s">
        <v>33</v>
      </c>
      <c r="J573" s="16" t="s">
        <v>49</v>
      </c>
      <c r="K573" s="17" t="s">
        <v>2445</v>
      </c>
      <c r="M573" t="s">
        <v>36</v>
      </c>
      <c r="N573" t="s">
        <v>491</v>
      </c>
      <c r="O573" t="s">
        <v>38</v>
      </c>
      <c r="P573" s="15">
        <v>18</v>
      </c>
      <c r="Q573" s="18">
        <v>165543</v>
      </c>
      <c r="R573" s="19">
        <v>14</v>
      </c>
      <c r="S573" s="14">
        <v>3.2</v>
      </c>
      <c r="T573" s="7">
        <v>80</v>
      </c>
      <c r="U573" s="15">
        <v>18</v>
      </c>
      <c r="V573" s="15">
        <v>19</v>
      </c>
      <c r="W573" s="15">
        <v>39</v>
      </c>
      <c r="X573" t="s">
        <v>39</v>
      </c>
      <c r="Y573" t="s">
        <v>40</v>
      </c>
      <c r="Z573" s="14">
        <v>1.4</v>
      </c>
      <c r="AA573" s="12">
        <f>YEAR(Table1[Hire_Date])</f>
        <v>2025</v>
      </c>
      <c r="AB57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574" spans="1:28" x14ac:dyDescent="0.25">
      <c r="A574" t="s">
        <v>2446</v>
      </c>
      <c r="B574" s="16" t="s">
        <v>2447</v>
      </c>
      <c r="C574" s="16" t="s">
        <v>2448</v>
      </c>
      <c r="D574" t="s">
        <v>44</v>
      </c>
      <c r="E574" s="15">
        <v>58</v>
      </c>
      <c r="F574" s="16" t="s">
        <v>103</v>
      </c>
      <c r="G574" s="16" t="s">
        <v>147</v>
      </c>
      <c r="H574" s="16" t="s">
        <v>47</v>
      </c>
      <c r="I574" s="16" t="s">
        <v>33</v>
      </c>
      <c r="J574" s="16" t="s">
        <v>34</v>
      </c>
      <c r="K574" s="17" t="s">
        <v>759</v>
      </c>
      <c r="M574" t="s">
        <v>36</v>
      </c>
      <c r="N574" t="s">
        <v>214</v>
      </c>
      <c r="O574" t="s">
        <v>52</v>
      </c>
      <c r="P574" s="15">
        <v>35</v>
      </c>
      <c r="Q574" s="18">
        <v>135286</v>
      </c>
      <c r="R574" s="19">
        <v>15</v>
      </c>
      <c r="S574" s="14">
        <v>4.7</v>
      </c>
      <c r="T574" s="7">
        <v>89</v>
      </c>
      <c r="U574" s="15">
        <v>16</v>
      </c>
      <c r="V574" s="15">
        <v>12</v>
      </c>
      <c r="W574" s="15">
        <v>12</v>
      </c>
      <c r="X574" t="s">
        <v>61</v>
      </c>
      <c r="Y574" t="s">
        <v>40</v>
      </c>
      <c r="Z574" s="14">
        <v>4.0999999999999996</v>
      </c>
      <c r="AA574" s="12">
        <f>YEAR(Table1[Hire_Date])</f>
        <v>2022</v>
      </c>
      <c r="AB57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575" spans="1:28" x14ac:dyDescent="0.25">
      <c r="A575" t="s">
        <v>2449</v>
      </c>
      <c r="B575" s="16" t="s">
        <v>2450</v>
      </c>
      <c r="C575" s="16" t="s">
        <v>2451</v>
      </c>
      <c r="D575" t="s">
        <v>44</v>
      </c>
      <c r="E575" s="15">
        <v>46</v>
      </c>
      <c r="F575" s="16" t="s">
        <v>90</v>
      </c>
      <c r="G575" s="16" t="s">
        <v>13</v>
      </c>
      <c r="H575" s="16" t="s">
        <v>32</v>
      </c>
      <c r="I575" s="16" t="s">
        <v>33</v>
      </c>
      <c r="J575" s="16" t="s">
        <v>34</v>
      </c>
      <c r="K575" s="17" t="s">
        <v>447</v>
      </c>
      <c r="M575" t="s">
        <v>36</v>
      </c>
      <c r="N575" t="s">
        <v>248</v>
      </c>
      <c r="O575" t="s">
        <v>52</v>
      </c>
      <c r="P575" s="15">
        <v>26</v>
      </c>
      <c r="Q575" s="18">
        <v>80183</v>
      </c>
      <c r="R575" s="19">
        <v>21</v>
      </c>
      <c r="S575" s="14">
        <v>4.3</v>
      </c>
      <c r="T575" s="7">
        <v>96</v>
      </c>
      <c r="U575" s="15">
        <v>3</v>
      </c>
      <c r="V575" s="15">
        <v>6</v>
      </c>
      <c r="W575" s="15">
        <v>37</v>
      </c>
      <c r="X575" t="s">
        <v>61</v>
      </c>
      <c r="Y575" t="s">
        <v>62</v>
      </c>
      <c r="Z575" s="14">
        <v>5.0999999999999996</v>
      </c>
      <c r="AA575" s="12">
        <f>YEAR(Table1[Hire_Date])</f>
        <v>2021</v>
      </c>
      <c r="AB57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576" spans="1:28" x14ac:dyDescent="0.25">
      <c r="A576" t="s">
        <v>2452</v>
      </c>
      <c r="B576" s="16" t="s">
        <v>2453</v>
      </c>
      <c r="C576" s="16" t="s">
        <v>2454</v>
      </c>
      <c r="D576" t="s">
        <v>29</v>
      </c>
      <c r="E576" s="15">
        <v>41</v>
      </c>
      <c r="F576" s="16" t="s">
        <v>124</v>
      </c>
      <c r="G576" s="16" t="s">
        <v>13</v>
      </c>
      <c r="H576" s="16" t="s">
        <v>47</v>
      </c>
      <c r="I576" s="16" t="s">
        <v>33</v>
      </c>
      <c r="J576" s="16" t="s">
        <v>34</v>
      </c>
      <c r="K576" s="17" t="s">
        <v>2455</v>
      </c>
      <c r="M576" t="s">
        <v>36</v>
      </c>
      <c r="N576" t="s">
        <v>170</v>
      </c>
      <c r="O576" t="s">
        <v>52</v>
      </c>
      <c r="P576" s="15">
        <v>21</v>
      </c>
      <c r="Q576" s="18">
        <v>71934</v>
      </c>
      <c r="R576" s="19">
        <v>5</v>
      </c>
      <c r="S576" s="14">
        <v>2.9</v>
      </c>
      <c r="T576" s="7">
        <v>95</v>
      </c>
      <c r="U576" s="15">
        <v>8</v>
      </c>
      <c r="V576" s="15">
        <v>48</v>
      </c>
      <c r="W576" s="15">
        <v>8</v>
      </c>
      <c r="X576" t="s">
        <v>61</v>
      </c>
      <c r="Y576" t="s">
        <v>40</v>
      </c>
      <c r="Z576" s="14">
        <v>7.3</v>
      </c>
      <c r="AA576" s="12">
        <f>YEAR(Table1[Hire_Date])</f>
        <v>2019</v>
      </c>
      <c r="AB57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577" spans="1:28" x14ac:dyDescent="0.25">
      <c r="A577" t="s">
        <v>2456</v>
      </c>
      <c r="B577" s="16" t="s">
        <v>2457</v>
      </c>
      <c r="C577" s="16" t="s">
        <v>2458</v>
      </c>
      <c r="D577" t="s">
        <v>29</v>
      </c>
      <c r="E577" s="15">
        <v>40</v>
      </c>
      <c r="F577" s="16" t="s">
        <v>30</v>
      </c>
      <c r="G577" s="16" t="s">
        <v>31</v>
      </c>
      <c r="H577" s="16" t="s">
        <v>83</v>
      </c>
      <c r="I577" s="16" t="s">
        <v>48</v>
      </c>
      <c r="J577" s="16" t="s">
        <v>49</v>
      </c>
      <c r="K577" s="17" t="s">
        <v>2459</v>
      </c>
      <c r="M577" t="s">
        <v>36</v>
      </c>
      <c r="N577" t="s">
        <v>536</v>
      </c>
      <c r="O577" t="s">
        <v>38</v>
      </c>
      <c r="P577" s="15">
        <v>1</v>
      </c>
      <c r="Q577" s="18">
        <v>107779</v>
      </c>
      <c r="R577" s="19">
        <v>13</v>
      </c>
      <c r="S577" s="14">
        <v>4.5999999999999996</v>
      </c>
      <c r="T577" s="7">
        <v>86</v>
      </c>
      <c r="U577" s="15">
        <v>12</v>
      </c>
      <c r="V577" s="15">
        <v>60</v>
      </c>
      <c r="W577" s="15">
        <v>65</v>
      </c>
      <c r="X577" t="s">
        <v>61</v>
      </c>
      <c r="Y577" t="s">
        <v>78</v>
      </c>
      <c r="Z577" s="14">
        <v>0.6</v>
      </c>
      <c r="AA577" s="12">
        <f>YEAR(Table1[Hire_Date])</f>
        <v>2025</v>
      </c>
      <c r="AB57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578" spans="1:28" x14ac:dyDescent="0.25">
      <c r="A578" t="s">
        <v>2460</v>
      </c>
      <c r="B578" s="16" t="s">
        <v>2461</v>
      </c>
      <c r="C578" s="16" t="s">
        <v>2462</v>
      </c>
      <c r="D578" t="s">
        <v>44</v>
      </c>
      <c r="E578" s="15">
        <v>31</v>
      </c>
      <c r="F578" s="16" t="s">
        <v>103</v>
      </c>
      <c r="G578" s="16" t="s">
        <v>104</v>
      </c>
      <c r="H578" s="16" t="s">
        <v>47</v>
      </c>
      <c r="I578" s="16" t="s">
        <v>57</v>
      </c>
      <c r="J578" s="16" t="s">
        <v>34</v>
      </c>
      <c r="K578" s="17" t="s">
        <v>2463</v>
      </c>
      <c r="M578" t="s">
        <v>36</v>
      </c>
      <c r="N578" t="s">
        <v>1694</v>
      </c>
      <c r="O578" t="s">
        <v>52</v>
      </c>
      <c r="P578" s="15">
        <v>31</v>
      </c>
      <c r="Q578" s="18">
        <v>104964</v>
      </c>
      <c r="R578" s="19">
        <v>21</v>
      </c>
      <c r="S578" s="14">
        <v>3.9</v>
      </c>
      <c r="T578" s="7">
        <v>96</v>
      </c>
      <c r="U578" s="15">
        <v>12</v>
      </c>
      <c r="V578" s="15">
        <v>9</v>
      </c>
      <c r="W578" s="15">
        <v>53</v>
      </c>
      <c r="X578" t="s">
        <v>61</v>
      </c>
      <c r="Y578" t="s">
        <v>78</v>
      </c>
      <c r="Z578" s="14">
        <v>7.3</v>
      </c>
      <c r="AA578" s="12">
        <f>YEAR(Table1[Hire_Date])</f>
        <v>2019</v>
      </c>
      <c r="AB57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579" spans="1:28" x14ac:dyDescent="0.25">
      <c r="A579" t="s">
        <v>2464</v>
      </c>
      <c r="B579" s="16" t="s">
        <v>2465</v>
      </c>
      <c r="C579" s="16" t="s">
        <v>2466</v>
      </c>
      <c r="D579" t="s">
        <v>29</v>
      </c>
      <c r="E579" s="15">
        <v>25</v>
      </c>
      <c r="F579" s="16" t="s">
        <v>45</v>
      </c>
      <c r="G579" s="16" t="s">
        <v>82</v>
      </c>
      <c r="H579" s="16" t="s">
        <v>47</v>
      </c>
      <c r="I579" s="16" t="s">
        <v>33</v>
      </c>
      <c r="J579" s="16" t="s">
        <v>34</v>
      </c>
      <c r="K579" s="17" t="s">
        <v>2467</v>
      </c>
      <c r="M579" t="s">
        <v>36</v>
      </c>
      <c r="N579" t="s">
        <v>143</v>
      </c>
      <c r="O579" t="s">
        <v>38</v>
      </c>
      <c r="P579" s="15">
        <v>21</v>
      </c>
      <c r="Q579" s="18">
        <v>108235</v>
      </c>
      <c r="R579" s="19">
        <v>9</v>
      </c>
      <c r="S579" s="14">
        <v>4.5</v>
      </c>
      <c r="T579" s="7">
        <v>63</v>
      </c>
      <c r="U579" s="15">
        <v>6</v>
      </c>
      <c r="V579" s="15">
        <v>39</v>
      </c>
      <c r="W579" s="15">
        <v>9</v>
      </c>
      <c r="X579" t="s">
        <v>61</v>
      </c>
      <c r="Y579" t="s">
        <v>78</v>
      </c>
      <c r="Z579" s="14">
        <v>2.5</v>
      </c>
      <c r="AA579" s="12">
        <f>YEAR(Table1[Hire_Date])</f>
        <v>2024</v>
      </c>
      <c r="AB57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580" spans="1:28" x14ac:dyDescent="0.25">
      <c r="A580" t="s">
        <v>2468</v>
      </c>
      <c r="B580" s="16" t="s">
        <v>2469</v>
      </c>
      <c r="C580" s="16" t="s">
        <v>2470</v>
      </c>
      <c r="D580" t="s">
        <v>44</v>
      </c>
      <c r="E580" s="15">
        <v>57</v>
      </c>
      <c r="F580" s="16" t="s">
        <v>30</v>
      </c>
      <c r="G580" s="16" t="s">
        <v>13</v>
      </c>
      <c r="H580" s="16" t="s">
        <v>56</v>
      </c>
      <c r="I580" s="16" t="s">
        <v>57</v>
      </c>
      <c r="J580" s="16" t="s">
        <v>49</v>
      </c>
      <c r="K580" s="17" t="s">
        <v>2471</v>
      </c>
      <c r="M580" t="s">
        <v>36</v>
      </c>
      <c r="N580" t="s">
        <v>175</v>
      </c>
      <c r="O580" t="s">
        <v>52</v>
      </c>
      <c r="P580" s="15">
        <v>13</v>
      </c>
      <c r="Q580" s="18">
        <v>157988</v>
      </c>
      <c r="R580" s="19">
        <v>11</v>
      </c>
      <c r="S580" s="14">
        <v>3.6</v>
      </c>
      <c r="T580" s="7">
        <v>70</v>
      </c>
      <c r="U580" s="15">
        <v>15</v>
      </c>
      <c r="V580" s="15">
        <v>37</v>
      </c>
      <c r="W580" s="15">
        <v>6</v>
      </c>
      <c r="X580" t="s">
        <v>39</v>
      </c>
      <c r="Y580" t="s">
        <v>40</v>
      </c>
      <c r="Z580" s="14">
        <v>9.1</v>
      </c>
      <c r="AA580" s="12">
        <f>YEAR(Table1[Hire_Date])</f>
        <v>2017</v>
      </c>
      <c r="AB58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581" spans="1:28" x14ac:dyDescent="0.25">
      <c r="A581" t="s">
        <v>2472</v>
      </c>
      <c r="B581" s="16" t="s">
        <v>2473</v>
      </c>
      <c r="C581" s="16" t="s">
        <v>2474</v>
      </c>
      <c r="D581" t="s">
        <v>44</v>
      </c>
      <c r="E581" s="15">
        <v>56</v>
      </c>
      <c r="F581" s="16" t="s">
        <v>72</v>
      </c>
      <c r="G581" s="16" t="s">
        <v>135</v>
      </c>
      <c r="H581" s="16" t="s">
        <v>66</v>
      </c>
      <c r="I581" s="16" t="s">
        <v>33</v>
      </c>
      <c r="J581" s="16" t="s">
        <v>49</v>
      </c>
      <c r="K581" s="17" t="s">
        <v>2475</v>
      </c>
      <c r="L581" s="17" t="s">
        <v>2476</v>
      </c>
      <c r="M581" t="s">
        <v>76</v>
      </c>
      <c r="N581" t="s">
        <v>395</v>
      </c>
      <c r="O581" t="s">
        <v>52</v>
      </c>
      <c r="P581" s="15">
        <v>15</v>
      </c>
      <c r="Q581" s="18">
        <v>111044</v>
      </c>
      <c r="R581" s="19">
        <v>18</v>
      </c>
      <c r="S581" s="14">
        <v>3.2</v>
      </c>
      <c r="T581" s="7">
        <v>61</v>
      </c>
      <c r="U581" s="15">
        <v>20</v>
      </c>
      <c r="V581" s="15">
        <v>45</v>
      </c>
      <c r="W581" s="15">
        <v>19</v>
      </c>
      <c r="X581" t="s">
        <v>39</v>
      </c>
      <c r="Y581" t="s">
        <v>78</v>
      </c>
      <c r="Z581" s="14">
        <v>8.4</v>
      </c>
      <c r="AA581" s="12">
        <f>YEAR(Table1[Hire_Date])</f>
        <v>2018</v>
      </c>
      <c r="AB58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582" spans="1:28" x14ac:dyDescent="0.25">
      <c r="A582" t="s">
        <v>2477</v>
      </c>
      <c r="B582" s="16" t="s">
        <v>2478</v>
      </c>
      <c r="C582" s="16" t="s">
        <v>2479</v>
      </c>
      <c r="D582" t="s">
        <v>44</v>
      </c>
      <c r="E582" s="15">
        <v>52</v>
      </c>
      <c r="F582" s="16" t="s">
        <v>124</v>
      </c>
      <c r="G582" s="16" t="s">
        <v>104</v>
      </c>
      <c r="H582" s="16" t="s">
        <v>66</v>
      </c>
      <c r="I582" s="16" t="s">
        <v>57</v>
      </c>
      <c r="J582" s="16" t="s">
        <v>49</v>
      </c>
      <c r="K582" s="17" t="s">
        <v>895</v>
      </c>
      <c r="M582" t="s">
        <v>36</v>
      </c>
      <c r="N582" t="s">
        <v>1069</v>
      </c>
      <c r="O582" t="s">
        <v>38</v>
      </c>
      <c r="P582" s="15">
        <v>29</v>
      </c>
      <c r="Q582" s="18">
        <v>157903</v>
      </c>
      <c r="R582" s="19">
        <v>15</v>
      </c>
      <c r="S582" s="14">
        <v>4.9000000000000004</v>
      </c>
      <c r="T582" s="7">
        <v>96</v>
      </c>
      <c r="U582" s="15">
        <v>13</v>
      </c>
      <c r="V582" s="15">
        <v>25</v>
      </c>
      <c r="W582" s="15">
        <v>62</v>
      </c>
      <c r="X582" t="s">
        <v>61</v>
      </c>
      <c r="Y582" t="s">
        <v>62</v>
      </c>
      <c r="Z582" s="14">
        <v>8.4</v>
      </c>
      <c r="AA582" s="12">
        <f>YEAR(Table1[Hire_Date])</f>
        <v>2018</v>
      </c>
      <c r="AB58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583" spans="1:28" x14ac:dyDescent="0.25">
      <c r="A583" t="s">
        <v>2480</v>
      </c>
      <c r="B583" s="16" t="s">
        <v>2481</v>
      </c>
      <c r="C583" s="16" t="s">
        <v>2482</v>
      </c>
      <c r="D583" t="s">
        <v>44</v>
      </c>
      <c r="E583" s="15">
        <v>33</v>
      </c>
      <c r="F583" s="16" t="s">
        <v>124</v>
      </c>
      <c r="G583" s="16" t="s">
        <v>104</v>
      </c>
      <c r="H583" s="16" t="s">
        <v>56</v>
      </c>
      <c r="I583" s="16" t="s">
        <v>57</v>
      </c>
      <c r="J583" s="16" t="s">
        <v>34</v>
      </c>
      <c r="K583" s="17" t="s">
        <v>2483</v>
      </c>
      <c r="M583" t="s">
        <v>36</v>
      </c>
      <c r="N583" t="s">
        <v>229</v>
      </c>
      <c r="O583" t="s">
        <v>38</v>
      </c>
      <c r="P583" s="15">
        <v>4</v>
      </c>
      <c r="Q583" s="18">
        <v>87203</v>
      </c>
      <c r="R583" s="19">
        <v>22</v>
      </c>
      <c r="S583" s="14">
        <v>3.5</v>
      </c>
      <c r="T583" s="7">
        <v>64</v>
      </c>
      <c r="U583" s="15">
        <v>9</v>
      </c>
      <c r="V583" s="15">
        <v>40</v>
      </c>
      <c r="W583" s="15">
        <v>33</v>
      </c>
      <c r="X583" t="s">
        <v>39</v>
      </c>
      <c r="Y583" t="s">
        <v>40</v>
      </c>
      <c r="Z583" s="14">
        <v>5.3</v>
      </c>
      <c r="AA583" s="12">
        <f>YEAR(Table1[Hire_Date])</f>
        <v>2021</v>
      </c>
      <c r="AB58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584" spans="1:28" x14ac:dyDescent="0.25">
      <c r="A584" t="s">
        <v>2484</v>
      </c>
      <c r="B584" s="16" t="s">
        <v>2485</v>
      </c>
      <c r="C584" s="16" t="s">
        <v>2486</v>
      </c>
      <c r="D584" t="s">
        <v>44</v>
      </c>
      <c r="E584" s="15">
        <v>51</v>
      </c>
      <c r="F584" s="16" t="s">
        <v>90</v>
      </c>
      <c r="G584" s="16" t="s">
        <v>13</v>
      </c>
      <c r="H584" s="16" t="s">
        <v>56</v>
      </c>
      <c r="I584" s="16" t="s">
        <v>33</v>
      </c>
      <c r="J584" s="16" t="s">
        <v>49</v>
      </c>
      <c r="K584" s="17" t="s">
        <v>2487</v>
      </c>
      <c r="M584" t="s">
        <v>36</v>
      </c>
      <c r="N584" t="s">
        <v>51</v>
      </c>
      <c r="O584" t="s">
        <v>38</v>
      </c>
      <c r="P584" s="15">
        <v>35</v>
      </c>
      <c r="Q584" s="18">
        <v>144097</v>
      </c>
      <c r="R584" s="19">
        <v>15</v>
      </c>
      <c r="S584" s="14">
        <v>3.7</v>
      </c>
      <c r="T584" s="7">
        <v>50</v>
      </c>
      <c r="U584" s="15">
        <v>11</v>
      </c>
      <c r="V584" s="15">
        <v>18</v>
      </c>
      <c r="W584" s="15">
        <v>59</v>
      </c>
      <c r="X584" t="s">
        <v>39</v>
      </c>
      <c r="Y584" t="s">
        <v>78</v>
      </c>
      <c r="Z584" s="14">
        <v>1.1000000000000001</v>
      </c>
      <c r="AA584" s="12">
        <f>YEAR(Table1[Hire_Date])</f>
        <v>2025</v>
      </c>
      <c r="AB58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585" spans="1:28" x14ac:dyDescent="0.25">
      <c r="A585" t="s">
        <v>2488</v>
      </c>
      <c r="B585" s="16" t="s">
        <v>2489</v>
      </c>
      <c r="C585" s="16" t="s">
        <v>2490</v>
      </c>
      <c r="D585" t="s">
        <v>29</v>
      </c>
      <c r="E585" s="15">
        <v>45</v>
      </c>
      <c r="F585" s="16" t="s">
        <v>72</v>
      </c>
      <c r="G585" s="16" t="s">
        <v>73</v>
      </c>
      <c r="H585" s="16" t="s">
        <v>47</v>
      </c>
      <c r="I585" s="16" t="s">
        <v>33</v>
      </c>
      <c r="J585" s="16" t="s">
        <v>34</v>
      </c>
      <c r="K585" s="17" t="s">
        <v>2491</v>
      </c>
      <c r="L585" s="17" t="s">
        <v>2492</v>
      </c>
      <c r="M585" t="s">
        <v>76</v>
      </c>
      <c r="N585" t="s">
        <v>253</v>
      </c>
      <c r="O585" t="s">
        <v>60</v>
      </c>
      <c r="P585" s="15">
        <v>34</v>
      </c>
      <c r="Q585" s="18">
        <v>145389</v>
      </c>
      <c r="R585" s="19">
        <v>12</v>
      </c>
      <c r="S585" s="14">
        <v>4.8</v>
      </c>
      <c r="T585" s="7">
        <v>97</v>
      </c>
      <c r="U585" s="15">
        <v>14</v>
      </c>
      <c r="V585" s="15">
        <v>28</v>
      </c>
      <c r="W585" s="15">
        <v>13</v>
      </c>
      <c r="X585" t="s">
        <v>61</v>
      </c>
      <c r="Y585" t="s">
        <v>40</v>
      </c>
      <c r="Z585" s="14">
        <v>7.8</v>
      </c>
      <c r="AA585" s="12">
        <f>YEAR(Table1[Hire_Date])</f>
        <v>2018</v>
      </c>
      <c r="AB58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586" spans="1:28" x14ac:dyDescent="0.25">
      <c r="A586" t="s">
        <v>2493</v>
      </c>
      <c r="B586" s="16" t="s">
        <v>2494</v>
      </c>
      <c r="C586" s="16" t="s">
        <v>2495</v>
      </c>
      <c r="D586" t="s">
        <v>44</v>
      </c>
      <c r="E586" s="15">
        <v>26</v>
      </c>
      <c r="F586" s="16" t="s">
        <v>45</v>
      </c>
      <c r="G586" s="16" t="s">
        <v>46</v>
      </c>
      <c r="H586" s="16" t="s">
        <v>83</v>
      </c>
      <c r="I586" s="16" t="s">
        <v>57</v>
      </c>
      <c r="J586" s="16" t="s">
        <v>34</v>
      </c>
      <c r="K586" s="17" t="s">
        <v>2496</v>
      </c>
      <c r="M586" t="s">
        <v>36</v>
      </c>
      <c r="N586" t="s">
        <v>348</v>
      </c>
      <c r="O586" t="s">
        <v>60</v>
      </c>
      <c r="P586" s="15">
        <v>6</v>
      </c>
      <c r="Q586" s="18">
        <v>96582</v>
      </c>
      <c r="R586" s="19">
        <v>12</v>
      </c>
      <c r="S586" s="14">
        <v>2.8</v>
      </c>
      <c r="T586" s="7">
        <v>94</v>
      </c>
      <c r="U586" s="15">
        <v>4</v>
      </c>
      <c r="V586" s="15">
        <v>5</v>
      </c>
      <c r="W586" s="15">
        <v>2</v>
      </c>
      <c r="X586" t="s">
        <v>39</v>
      </c>
      <c r="Y586" t="s">
        <v>78</v>
      </c>
      <c r="Z586" s="14">
        <v>4.7</v>
      </c>
      <c r="AA586" s="12">
        <f>YEAR(Table1[Hire_Date])</f>
        <v>2021</v>
      </c>
      <c r="AB58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587" spans="1:28" x14ac:dyDescent="0.25">
      <c r="A587" t="s">
        <v>2497</v>
      </c>
      <c r="B587" s="16" t="s">
        <v>2498</v>
      </c>
      <c r="C587" s="16" t="s">
        <v>2499</v>
      </c>
      <c r="D587" t="s">
        <v>44</v>
      </c>
      <c r="E587" s="15">
        <v>54</v>
      </c>
      <c r="F587" s="16" t="s">
        <v>72</v>
      </c>
      <c r="G587" s="16" t="s">
        <v>135</v>
      </c>
      <c r="H587" s="16" t="s">
        <v>32</v>
      </c>
      <c r="I587" s="16" t="s">
        <v>57</v>
      </c>
      <c r="J587" s="16" t="s">
        <v>49</v>
      </c>
      <c r="K587" s="17" t="s">
        <v>403</v>
      </c>
      <c r="M587" t="s">
        <v>36</v>
      </c>
      <c r="N587" t="s">
        <v>505</v>
      </c>
      <c r="O587" t="s">
        <v>60</v>
      </c>
      <c r="P587" s="15">
        <v>5</v>
      </c>
      <c r="Q587" s="18">
        <v>137935</v>
      </c>
      <c r="R587" s="19">
        <v>7</v>
      </c>
      <c r="S587" s="14">
        <v>2.7</v>
      </c>
      <c r="T587" s="7">
        <v>69</v>
      </c>
      <c r="U587" s="15">
        <v>0</v>
      </c>
      <c r="V587" s="15">
        <v>29</v>
      </c>
      <c r="W587" s="15">
        <v>56</v>
      </c>
      <c r="X587" t="s">
        <v>39</v>
      </c>
      <c r="Y587" t="s">
        <v>78</v>
      </c>
      <c r="Z587" s="14">
        <v>6.9</v>
      </c>
      <c r="AA587" s="12">
        <f>YEAR(Table1[Hire_Date])</f>
        <v>2019</v>
      </c>
      <c r="AB58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588" spans="1:28" x14ac:dyDescent="0.25">
      <c r="A588" t="s">
        <v>2500</v>
      </c>
      <c r="B588" s="16" t="s">
        <v>2501</v>
      </c>
      <c r="C588" s="16" t="s">
        <v>2502</v>
      </c>
      <c r="D588" t="s">
        <v>29</v>
      </c>
      <c r="E588" s="15">
        <v>36</v>
      </c>
      <c r="F588" s="16" t="s">
        <v>103</v>
      </c>
      <c r="G588" s="16" t="s">
        <v>13</v>
      </c>
      <c r="H588" s="16" t="s">
        <v>56</v>
      </c>
      <c r="I588" s="16" t="s">
        <v>48</v>
      </c>
      <c r="J588" s="16" t="s">
        <v>49</v>
      </c>
      <c r="K588" s="17" t="s">
        <v>2503</v>
      </c>
      <c r="L588" s="17" t="s">
        <v>2504</v>
      </c>
      <c r="M588" t="s">
        <v>76</v>
      </c>
      <c r="N588" t="s">
        <v>199</v>
      </c>
      <c r="O588" t="s">
        <v>60</v>
      </c>
      <c r="P588" s="15">
        <v>22</v>
      </c>
      <c r="Q588" s="18">
        <v>150684</v>
      </c>
      <c r="R588" s="19">
        <v>23</v>
      </c>
      <c r="S588" s="14">
        <v>4.3</v>
      </c>
      <c r="T588" s="7">
        <v>86</v>
      </c>
      <c r="U588" s="15">
        <v>14</v>
      </c>
      <c r="V588" s="15">
        <v>18</v>
      </c>
      <c r="W588" s="15">
        <v>30</v>
      </c>
      <c r="X588" t="s">
        <v>61</v>
      </c>
      <c r="Y588" t="s">
        <v>62</v>
      </c>
      <c r="Z588" s="14">
        <v>3.3</v>
      </c>
      <c r="AA588" s="12">
        <f>YEAR(Table1[Hire_Date])</f>
        <v>2023</v>
      </c>
      <c r="AB58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589" spans="1:28" x14ac:dyDescent="0.25">
      <c r="A589" t="s">
        <v>2505</v>
      </c>
      <c r="B589" s="16" t="s">
        <v>2506</v>
      </c>
      <c r="C589" s="16" t="s">
        <v>2507</v>
      </c>
      <c r="D589" t="s">
        <v>44</v>
      </c>
      <c r="E589" s="15">
        <v>45</v>
      </c>
      <c r="F589" s="16" t="s">
        <v>124</v>
      </c>
      <c r="G589" s="16" t="s">
        <v>13</v>
      </c>
      <c r="H589" s="16" t="s">
        <v>32</v>
      </c>
      <c r="I589" s="16" t="s">
        <v>48</v>
      </c>
      <c r="J589" s="16" t="s">
        <v>49</v>
      </c>
      <c r="K589" s="17" t="s">
        <v>2508</v>
      </c>
      <c r="M589" t="s">
        <v>36</v>
      </c>
      <c r="N589" t="s">
        <v>86</v>
      </c>
      <c r="O589" t="s">
        <v>52</v>
      </c>
      <c r="P589" s="15">
        <v>11</v>
      </c>
      <c r="Q589" s="18">
        <v>50401</v>
      </c>
      <c r="R589" s="19">
        <v>10</v>
      </c>
      <c r="S589" s="14">
        <v>4.0999999999999996</v>
      </c>
      <c r="T589" s="7">
        <v>75</v>
      </c>
      <c r="U589" s="15">
        <v>13</v>
      </c>
      <c r="V589" s="15">
        <v>27</v>
      </c>
      <c r="W589" s="15">
        <v>10</v>
      </c>
      <c r="X589" t="s">
        <v>61</v>
      </c>
      <c r="Y589" t="s">
        <v>40</v>
      </c>
      <c r="Z589" s="14">
        <v>8.3000000000000007</v>
      </c>
      <c r="AA589" s="12">
        <f>YEAR(Table1[Hire_Date])</f>
        <v>2018</v>
      </c>
      <c r="AB58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590" spans="1:28" x14ac:dyDescent="0.25">
      <c r="A590" t="s">
        <v>2509</v>
      </c>
      <c r="B590" s="16" t="s">
        <v>2510</v>
      </c>
      <c r="C590" s="16" t="s">
        <v>2511</v>
      </c>
      <c r="D590" t="s">
        <v>44</v>
      </c>
      <c r="E590" s="15">
        <v>47</v>
      </c>
      <c r="F590" s="16" t="s">
        <v>45</v>
      </c>
      <c r="G590" s="16" t="s">
        <v>82</v>
      </c>
      <c r="H590" s="16" t="s">
        <v>47</v>
      </c>
      <c r="I590" s="16" t="s">
        <v>33</v>
      </c>
      <c r="J590" s="16" t="s">
        <v>49</v>
      </c>
      <c r="K590" s="17" t="s">
        <v>2512</v>
      </c>
      <c r="M590" t="s">
        <v>36</v>
      </c>
      <c r="N590" t="s">
        <v>199</v>
      </c>
      <c r="O590" t="s">
        <v>38</v>
      </c>
      <c r="P590" s="15">
        <v>19</v>
      </c>
      <c r="Q590" s="18">
        <v>71629</v>
      </c>
      <c r="R590" s="19">
        <v>13</v>
      </c>
      <c r="S590" s="14">
        <v>2.9</v>
      </c>
      <c r="T590" s="7">
        <v>73</v>
      </c>
      <c r="U590" s="15">
        <v>10</v>
      </c>
      <c r="V590" s="15">
        <v>49</v>
      </c>
      <c r="W590" s="15">
        <v>27</v>
      </c>
      <c r="X590" t="s">
        <v>39</v>
      </c>
      <c r="Y590" t="s">
        <v>62</v>
      </c>
      <c r="Z590" s="14">
        <v>4.5999999999999996</v>
      </c>
      <c r="AA590" s="12">
        <f>YEAR(Table1[Hire_Date])</f>
        <v>2022</v>
      </c>
      <c r="AB59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591" spans="1:28" x14ac:dyDescent="0.25">
      <c r="A591" t="s">
        <v>2513</v>
      </c>
      <c r="B591" s="16" t="s">
        <v>2514</v>
      </c>
      <c r="C591" s="16" t="s">
        <v>2515</v>
      </c>
      <c r="D591" t="s">
        <v>29</v>
      </c>
      <c r="E591" s="15">
        <v>41</v>
      </c>
      <c r="F591" s="16" t="s">
        <v>45</v>
      </c>
      <c r="G591" s="16" t="s">
        <v>82</v>
      </c>
      <c r="H591" s="16" t="s">
        <v>83</v>
      </c>
      <c r="I591" s="16" t="s">
        <v>57</v>
      </c>
      <c r="J591" s="16" t="s">
        <v>34</v>
      </c>
      <c r="K591" s="17" t="s">
        <v>2516</v>
      </c>
      <c r="L591" s="17" t="s">
        <v>159</v>
      </c>
      <c r="M591" t="s">
        <v>76</v>
      </c>
      <c r="N591" t="s">
        <v>131</v>
      </c>
      <c r="O591" t="s">
        <v>60</v>
      </c>
      <c r="P591" s="15">
        <v>35</v>
      </c>
      <c r="Q591" s="18">
        <v>89282</v>
      </c>
      <c r="R591" s="19">
        <v>21</v>
      </c>
      <c r="S591" s="14">
        <v>4.5</v>
      </c>
      <c r="T591" s="7">
        <v>88</v>
      </c>
      <c r="U591" s="15">
        <v>4</v>
      </c>
      <c r="V591" s="15">
        <v>45</v>
      </c>
      <c r="W591" s="15">
        <v>42</v>
      </c>
      <c r="X591" t="s">
        <v>61</v>
      </c>
      <c r="Y591" t="s">
        <v>78</v>
      </c>
      <c r="Z591" s="14">
        <v>7.6</v>
      </c>
      <c r="AA591" s="12">
        <f>YEAR(Table1[Hire_Date])</f>
        <v>2019</v>
      </c>
      <c r="AB59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592" spans="1:28" x14ac:dyDescent="0.25">
      <c r="A592" t="s">
        <v>2517</v>
      </c>
      <c r="B592" s="16" t="s">
        <v>2518</v>
      </c>
      <c r="C592" s="16" t="s">
        <v>2519</v>
      </c>
      <c r="D592" t="s">
        <v>44</v>
      </c>
      <c r="E592" s="15">
        <v>44</v>
      </c>
      <c r="F592" s="16" t="s">
        <v>124</v>
      </c>
      <c r="G592" s="16" t="s">
        <v>141</v>
      </c>
      <c r="H592" s="16" t="s">
        <v>32</v>
      </c>
      <c r="I592" s="16" t="s">
        <v>48</v>
      </c>
      <c r="J592" s="16" t="s">
        <v>34</v>
      </c>
      <c r="K592" s="17" t="s">
        <v>1813</v>
      </c>
      <c r="M592" t="s">
        <v>36</v>
      </c>
      <c r="N592" t="s">
        <v>295</v>
      </c>
      <c r="O592" t="s">
        <v>52</v>
      </c>
      <c r="P592" s="15">
        <v>25</v>
      </c>
      <c r="Q592" s="18">
        <v>164220</v>
      </c>
      <c r="R592" s="19">
        <v>12</v>
      </c>
      <c r="S592" s="14">
        <v>2.7</v>
      </c>
      <c r="T592" s="7">
        <v>92</v>
      </c>
      <c r="U592" s="15">
        <v>16</v>
      </c>
      <c r="V592" s="15">
        <v>1</v>
      </c>
      <c r="W592" s="15">
        <v>30</v>
      </c>
      <c r="X592" t="s">
        <v>61</v>
      </c>
      <c r="Y592" t="s">
        <v>40</v>
      </c>
      <c r="Z592" s="14">
        <v>1.8</v>
      </c>
      <c r="AA592" s="12">
        <f>YEAR(Table1[Hire_Date])</f>
        <v>2024</v>
      </c>
      <c r="AB59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593" spans="1:28" x14ac:dyDescent="0.25">
      <c r="A593" t="s">
        <v>2520</v>
      </c>
      <c r="B593" s="16" t="s">
        <v>2521</v>
      </c>
      <c r="C593" s="16" t="s">
        <v>2522</v>
      </c>
      <c r="D593" t="s">
        <v>44</v>
      </c>
      <c r="E593" s="15">
        <v>32</v>
      </c>
      <c r="F593" s="16" t="s">
        <v>72</v>
      </c>
      <c r="G593" s="16" t="s">
        <v>73</v>
      </c>
      <c r="H593" s="16" t="s">
        <v>32</v>
      </c>
      <c r="I593" s="16" t="s">
        <v>33</v>
      </c>
      <c r="J593" s="16" t="s">
        <v>49</v>
      </c>
      <c r="K593" s="17" t="s">
        <v>384</v>
      </c>
      <c r="L593" s="17" t="s">
        <v>2523</v>
      </c>
      <c r="M593" t="s">
        <v>76</v>
      </c>
      <c r="N593" t="s">
        <v>491</v>
      </c>
      <c r="O593" t="s">
        <v>60</v>
      </c>
      <c r="P593" s="15">
        <v>31</v>
      </c>
      <c r="Q593" s="18">
        <v>51503</v>
      </c>
      <c r="R593" s="19">
        <v>24</v>
      </c>
      <c r="S593" s="14">
        <v>4.3</v>
      </c>
      <c r="T593" s="7">
        <v>90</v>
      </c>
      <c r="U593" s="15">
        <v>1</v>
      </c>
      <c r="V593" s="15">
        <v>4</v>
      </c>
      <c r="W593" s="15">
        <v>4</v>
      </c>
      <c r="X593" t="s">
        <v>61</v>
      </c>
      <c r="Y593" t="s">
        <v>62</v>
      </c>
      <c r="Z593" s="14">
        <v>6</v>
      </c>
      <c r="AA593" s="12">
        <f>YEAR(Table1[Hire_Date])</f>
        <v>2020</v>
      </c>
      <c r="AB59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594" spans="1:28" x14ac:dyDescent="0.25">
      <c r="A594" t="s">
        <v>2524</v>
      </c>
      <c r="B594" s="16" t="s">
        <v>2525</v>
      </c>
      <c r="C594" s="16" t="s">
        <v>2526</v>
      </c>
      <c r="D594" t="s">
        <v>29</v>
      </c>
      <c r="E594" s="15">
        <v>39</v>
      </c>
      <c r="F594" s="16" t="s">
        <v>45</v>
      </c>
      <c r="G594" s="16" t="s">
        <v>46</v>
      </c>
      <c r="H594" s="16" t="s">
        <v>66</v>
      </c>
      <c r="I594" s="16" t="s">
        <v>57</v>
      </c>
      <c r="J594" s="16" t="s">
        <v>34</v>
      </c>
      <c r="K594" s="17" t="s">
        <v>2243</v>
      </c>
      <c r="M594" t="s">
        <v>36</v>
      </c>
      <c r="N594" t="s">
        <v>106</v>
      </c>
      <c r="O594" t="s">
        <v>52</v>
      </c>
      <c r="P594" s="15">
        <v>11</v>
      </c>
      <c r="Q594" s="18">
        <v>123117</v>
      </c>
      <c r="R594" s="19">
        <v>21</v>
      </c>
      <c r="S594" s="14">
        <v>3.6</v>
      </c>
      <c r="T594" s="7">
        <v>94</v>
      </c>
      <c r="U594" s="15">
        <v>2</v>
      </c>
      <c r="V594" s="15">
        <v>27</v>
      </c>
      <c r="W594" s="15">
        <v>26</v>
      </c>
      <c r="X594" t="s">
        <v>61</v>
      </c>
      <c r="Y594" t="s">
        <v>40</v>
      </c>
      <c r="Z594" s="14">
        <v>5.3</v>
      </c>
      <c r="AA594" s="12">
        <f>YEAR(Table1[Hire_Date])</f>
        <v>2021</v>
      </c>
      <c r="AB59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595" spans="1:28" x14ac:dyDescent="0.25">
      <c r="A595" t="s">
        <v>2527</v>
      </c>
      <c r="B595" s="16" t="s">
        <v>2528</v>
      </c>
      <c r="C595" s="16" t="s">
        <v>2529</v>
      </c>
      <c r="D595" t="s">
        <v>44</v>
      </c>
      <c r="E595" s="15">
        <v>28</v>
      </c>
      <c r="F595" s="16" t="s">
        <v>72</v>
      </c>
      <c r="G595" s="16" t="s">
        <v>97</v>
      </c>
      <c r="H595" s="16" t="s">
        <v>83</v>
      </c>
      <c r="I595" s="16" t="s">
        <v>33</v>
      </c>
      <c r="J595" s="16" t="s">
        <v>34</v>
      </c>
      <c r="K595" s="17" t="s">
        <v>2530</v>
      </c>
      <c r="M595" t="s">
        <v>36</v>
      </c>
      <c r="N595" t="s">
        <v>550</v>
      </c>
      <c r="O595" t="s">
        <v>38</v>
      </c>
      <c r="P595" s="15">
        <v>22</v>
      </c>
      <c r="Q595" s="18">
        <v>116857</v>
      </c>
      <c r="R595" s="19">
        <v>18</v>
      </c>
      <c r="S595" s="14">
        <v>4.3</v>
      </c>
      <c r="T595" s="7">
        <v>72</v>
      </c>
      <c r="U595" s="15">
        <v>1</v>
      </c>
      <c r="V595" s="15">
        <v>50</v>
      </c>
      <c r="W595" s="15">
        <v>38</v>
      </c>
      <c r="X595" t="s">
        <v>39</v>
      </c>
      <c r="Y595" t="s">
        <v>62</v>
      </c>
      <c r="Z595" s="14">
        <v>1.4</v>
      </c>
      <c r="AA595" s="12">
        <f>YEAR(Table1[Hire_Date])</f>
        <v>2025</v>
      </c>
      <c r="AB59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596" spans="1:28" x14ac:dyDescent="0.25">
      <c r="A596" t="s">
        <v>2531</v>
      </c>
      <c r="B596" s="16" t="s">
        <v>2532</v>
      </c>
      <c r="C596" s="16" t="s">
        <v>2533</v>
      </c>
      <c r="D596" t="s">
        <v>44</v>
      </c>
      <c r="E596" s="15">
        <v>60</v>
      </c>
      <c r="F596" s="16" t="s">
        <v>30</v>
      </c>
      <c r="G596" s="16" t="s">
        <v>31</v>
      </c>
      <c r="H596" s="16" t="s">
        <v>32</v>
      </c>
      <c r="I596" s="16" t="s">
        <v>48</v>
      </c>
      <c r="J596" s="16" t="s">
        <v>49</v>
      </c>
      <c r="K596" s="17" t="s">
        <v>2534</v>
      </c>
      <c r="M596" t="s">
        <v>36</v>
      </c>
      <c r="N596" t="s">
        <v>380</v>
      </c>
      <c r="O596" t="s">
        <v>60</v>
      </c>
      <c r="P596" s="15">
        <v>25</v>
      </c>
      <c r="Q596" s="18">
        <v>110330</v>
      </c>
      <c r="R596" s="19">
        <v>16</v>
      </c>
      <c r="S596" s="14">
        <v>4</v>
      </c>
      <c r="T596" s="7">
        <v>65</v>
      </c>
      <c r="U596" s="15">
        <v>10</v>
      </c>
      <c r="V596" s="15">
        <v>18</v>
      </c>
      <c r="W596" s="15">
        <v>60</v>
      </c>
      <c r="X596" t="s">
        <v>61</v>
      </c>
      <c r="Y596" t="s">
        <v>62</v>
      </c>
      <c r="Z596" s="14">
        <v>0.2</v>
      </c>
      <c r="AA596" s="12">
        <f>YEAR(Table1[Hire_Date])</f>
        <v>2026</v>
      </c>
      <c r="AB59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597" spans="1:28" x14ac:dyDescent="0.25">
      <c r="A597" t="s">
        <v>2535</v>
      </c>
      <c r="B597" s="16" t="s">
        <v>2536</v>
      </c>
      <c r="C597" s="16" t="s">
        <v>2537</v>
      </c>
      <c r="D597" t="s">
        <v>44</v>
      </c>
      <c r="E597" s="15">
        <v>30</v>
      </c>
      <c r="F597" s="16" t="s">
        <v>103</v>
      </c>
      <c r="G597" s="16" t="s">
        <v>104</v>
      </c>
      <c r="H597" s="16" t="s">
        <v>66</v>
      </c>
      <c r="I597" s="16" t="s">
        <v>57</v>
      </c>
      <c r="J597" s="16" t="s">
        <v>34</v>
      </c>
      <c r="K597" s="17" t="s">
        <v>2538</v>
      </c>
      <c r="M597" t="s">
        <v>36</v>
      </c>
      <c r="N597" t="s">
        <v>126</v>
      </c>
      <c r="O597" t="s">
        <v>60</v>
      </c>
      <c r="P597" s="15">
        <v>20</v>
      </c>
      <c r="Q597" s="18">
        <v>126191</v>
      </c>
      <c r="R597" s="19">
        <v>9</v>
      </c>
      <c r="S597" s="14">
        <v>3.2</v>
      </c>
      <c r="T597" s="7">
        <v>89</v>
      </c>
      <c r="U597" s="15">
        <v>6</v>
      </c>
      <c r="V597" s="15">
        <v>58</v>
      </c>
      <c r="W597" s="15">
        <v>42</v>
      </c>
      <c r="X597" t="s">
        <v>39</v>
      </c>
      <c r="Y597" t="s">
        <v>40</v>
      </c>
      <c r="Z597" s="14">
        <v>6.8</v>
      </c>
      <c r="AA597" s="12">
        <f>YEAR(Table1[Hire_Date])</f>
        <v>2019</v>
      </c>
      <c r="AB59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598" spans="1:28" x14ac:dyDescent="0.25">
      <c r="A598" t="s">
        <v>2539</v>
      </c>
      <c r="B598" s="16" t="s">
        <v>2540</v>
      </c>
      <c r="C598" s="16" t="s">
        <v>2541</v>
      </c>
      <c r="D598" t="s">
        <v>44</v>
      </c>
      <c r="E598" s="15">
        <v>38</v>
      </c>
      <c r="F598" s="16" t="s">
        <v>30</v>
      </c>
      <c r="G598" s="16" t="s">
        <v>31</v>
      </c>
      <c r="H598" s="16" t="s">
        <v>32</v>
      </c>
      <c r="I598" s="16" t="s">
        <v>57</v>
      </c>
      <c r="J598" s="16" t="s">
        <v>49</v>
      </c>
      <c r="K598" s="17" t="s">
        <v>2542</v>
      </c>
      <c r="L598" s="17" t="s">
        <v>2543</v>
      </c>
      <c r="M598" t="s">
        <v>76</v>
      </c>
      <c r="N598" t="s">
        <v>367</v>
      </c>
      <c r="O598" t="s">
        <v>52</v>
      </c>
      <c r="P598" s="15">
        <v>28</v>
      </c>
      <c r="Q598" s="18">
        <v>156141</v>
      </c>
      <c r="R598" s="19">
        <v>23</v>
      </c>
      <c r="S598" s="14">
        <v>3.8</v>
      </c>
      <c r="T598" s="7">
        <v>99</v>
      </c>
      <c r="U598" s="15">
        <v>8</v>
      </c>
      <c r="V598" s="15">
        <v>20</v>
      </c>
      <c r="W598" s="15">
        <v>80</v>
      </c>
      <c r="X598" t="s">
        <v>39</v>
      </c>
      <c r="Y598" t="s">
        <v>62</v>
      </c>
      <c r="Z598" s="14">
        <v>8.8000000000000007</v>
      </c>
      <c r="AA598" s="12">
        <f>YEAR(Table1[Hire_Date])</f>
        <v>2017</v>
      </c>
      <c r="AB59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599" spans="1:28" x14ac:dyDescent="0.25">
      <c r="A599" t="s">
        <v>2544</v>
      </c>
      <c r="B599" s="16" t="s">
        <v>2545</v>
      </c>
      <c r="C599" s="16" t="s">
        <v>2546</v>
      </c>
      <c r="D599" t="s">
        <v>44</v>
      </c>
      <c r="E599" s="15">
        <v>51</v>
      </c>
      <c r="F599" s="16" t="s">
        <v>124</v>
      </c>
      <c r="G599" s="16" t="s">
        <v>13</v>
      </c>
      <c r="H599" s="16" t="s">
        <v>56</v>
      </c>
      <c r="I599" s="16" t="s">
        <v>57</v>
      </c>
      <c r="J599" s="16" t="s">
        <v>49</v>
      </c>
      <c r="K599" s="17" t="s">
        <v>1361</v>
      </c>
      <c r="M599" t="s">
        <v>36</v>
      </c>
      <c r="N599" t="s">
        <v>654</v>
      </c>
      <c r="O599" t="s">
        <v>60</v>
      </c>
      <c r="P599" s="15">
        <v>0</v>
      </c>
      <c r="Q599" s="18">
        <v>141762</v>
      </c>
      <c r="R599" s="19">
        <v>23</v>
      </c>
      <c r="S599" s="14">
        <v>4</v>
      </c>
      <c r="T599" s="7">
        <v>82</v>
      </c>
      <c r="U599" s="15">
        <v>3</v>
      </c>
      <c r="V599" s="15">
        <v>27</v>
      </c>
      <c r="W599" s="15">
        <v>73</v>
      </c>
      <c r="X599" t="s">
        <v>39</v>
      </c>
      <c r="Y599" t="s">
        <v>62</v>
      </c>
      <c r="Z599" s="14">
        <v>7.1</v>
      </c>
      <c r="AA599" s="12">
        <f>YEAR(Table1[Hire_Date])</f>
        <v>2019</v>
      </c>
      <c r="AB59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600" spans="1:28" x14ac:dyDescent="0.25">
      <c r="A600" t="s">
        <v>2547</v>
      </c>
      <c r="B600" s="16" t="s">
        <v>2548</v>
      </c>
      <c r="C600" s="16" t="s">
        <v>2549</v>
      </c>
      <c r="D600" t="s">
        <v>29</v>
      </c>
      <c r="E600" s="15">
        <v>48</v>
      </c>
      <c r="F600" s="16" t="s">
        <v>45</v>
      </c>
      <c r="G600" s="16" t="s">
        <v>46</v>
      </c>
      <c r="H600" s="16" t="s">
        <v>66</v>
      </c>
      <c r="I600" s="16" t="s">
        <v>48</v>
      </c>
      <c r="J600" s="16" t="s">
        <v>34</v>
      </c>
      <c r="K600" s="17" t="s">
        <v>2550</v>
      </c>
      <c r="L600" s="17" t="s">
        <v>2551</v>
      </c>
      <c r="M600" t="s">
        <v>76</v>
      </c>
      <c r="N600" t="s">
        <v>593</v>
      </c>
      <c r="O600" t="s">
        <v>60</v>
      </c>
      <c r="P600" s="15">
        <v>25</v>
      </c>
      <c r="Q600" s="18">
        <v>161040</v>
      </c>
      <c r="R600" s="19">
        <v>19</v>
      </c>
      <c r="S600" s="14">
        <v>3.7</v>
      </c>
      <c r="T600" s="7">
        <v>64</v>
      </c>
      <c r="U600" s="15">
        <v>7</v>
      </c>
      <c r="V600" s="15">
        <v>6</v>
      </c>
      <c r="W600" s="15">
        <v>34</v>
      </c>
      <c r="X600" t="s">
        <v>39</v>
      </c>
      <c r="Y600" t="s">
        <v>40</v>
      </c>
      <c r="Z600" s="14">
        <v>6.6</v>
      </c>
      <c r="AA600" s="12">
        <f>YEAR(Table1[Hire_Date])</f>
        <v>2019</v>
      </c>
      <c r="AB60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601" spans="1:28" x14ac:dyDescent="0.25">
      <c r="A601" t="s">
        <v>2552</v>
      </c>
      <c r="B601" s="16" t="s">
        <v>2553</v>
      </c>
      <c r="C601" s="16" t="s">
        <v>2554</v>
      </c>
      <c r="D601" t="s">
        <v>29</v>
      </c>
      <c r="E601" s="15">
        <v>54</v>
      </c>
      <c r="F601" s="16" t="s">
        <v>103</v>
      </c>
      <c r="G601" s="16" t="s">
        <v>147</v>
      </c>
      <c r="H601" s="16" t="s">
        <v>66</v>
      </c>
      <c r="I601" s="16" t="s">
        <v>33</v>
      </c>
      <c r="J601" s="16" t="s">
        <v>34</v>
      </c>
      <c r="K601" s="17" t="s">
        <v>2555</v>
      </c>
      <c r="M601" t="s">
        <v>36</v>
      </c>
      <c r="N601" t="s">
        <v>593</v>
      </c>
      <c r="O601" t="s">
        <v>38</v>
      </c>
      <c r="P601" s="15">
        <v>8</v>
      </c>
      <c r="Q601" s="18">
        <v>173748</v>
      </c>
      <c r="R601" s="19">
        <v>13</v>
      </c>
      <c r="S601" s="14">
        <v>3.5</v>
      </c>
      <c r="T601" s="7">
        <v>82</v>
      </c>
      <c r="U601" s="15">
        <v>15</v>
      </c>
      <c r="V601" s="15">
        <v>54</v>
      </c>
      <c r="W601" s="15">
        <v>71</v>
      </c>
      <c r="X601" t="s">
        <v>39</v>
      </c>
      <c r="Y601" t="s">
        <v>78</v>
      </c>
      <c r="Z601" s="14">
        <v>8.3000000000000007</v>
      </c>
      <c r="AA601" s="12">
        <f>YEAR(Table1[Hire_Date])</f>
        <v>2018</v>
      </c>
      <c r="AB60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602" spans="1:28" x14ac:dyDescent="0.25">
      <c r="A602" t="s">
        <v>2556</v>
      </c>
      <c r="B602" s="16" t="s">
        <v>2557</v>
      </c>
      <c r="C602" s="16" t="s">
        <v>2558</v>
      </c>
      <c r="D602" t="s">
        <v>29</v>
      </c>
      <c r="E602" s="15">
        <v>31</v>
      </c>
      <c r="F602" s="16" t="s">
        <v>124</v>
      </c>
      <c r="G602" s="16" t="s">
        <v>104</v>
      </c>
      <c r="H602" s="16" t="s">
        <v>47</v>
      </c>
      <c r="I602" s="16" t="s">
        <v>48</v>
      </c>
      <c r="J602" s="16" t="s">
        <v>34</v>
      </c>
      <c r="K602" s="17" t="s">
        <v>2374</v>
      </c>
      <c r="M602" t="s">
        <v>36</v>
      </c>
      <c r="N602" t="s">
        <v>68</v>
      </c>
      <c r="O602" t="s">
        <v>38</v>
      </c>
      <c r="P602" s="15">
        <v>12</v>
      </c>
      <c r="Q602" s="18">
        <v>52143</v>
      </c>
      <c r="R602" s="19">
        <v>18</v>
      </c>
      <c r="S602" s="14">
        <v>3.8</v>
      </c>
      <c r="T602" s="7">
        <v>70</v>
      </c>
      <c r="U602" s="15">
        <v>1</v>
      </c>
      <c r="V602" s="15">
        <v>1</v>
      </c>
      <c r="W602" s="15">
        <v>13</v>
      </c>
      <c r="X602" t="s">
        <v>61</v>
      </c>
      <c r="Y602" t="s">
        <v>62</v>
      </c>
      <c r="Z602" s="14">
        <v>1.7</v>
      </c>
      <c r="AA602" s="12">
        <f>YEAR(Table1[Hire_Date])</f>
        <v>2024</v>
      </c>
      <c r="AB60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603" spans="1:28" x14ac:dyDescent="0.25">
      <c r="A603" t="s">
        <v>2559</v>
      </c>
      <c r="B603" s="16" t="s">
        <v>2560</v>
      </c>
      <c r="C603" s="16" t="s">
        <v>2561</v>
      </c>
      <c r="D603" t="s">
        <v>29</v>
      </c>
      <c r="E603" s="15">
        <v>39</v>
      </c>
      <c r="F603" s="16" t="s">
        <v>103</v>
      </c>
      <c r="G603" s="16" t="s">
        <v>13</v>
      </c>
      <c r="H603" s="16" t="s">
        <v>83</v>
      </c>
      <c r="I603" s="16" t="s">
        <v>33</v>
      </c>
      <c r="J603" s="16" t="s">
        <v>49</v>
      </c>
      <c r="K603" s="17" t="s">
        <v>2187</v>
      </c>
      <c r="M603" t="s">
        <v>36</v>
      </c>
      <c r="N603" t="s">
        <v>248</v>
      </c>
      <c r="O603" t="s">
        <v>52</v>
      </c>
      <c r="P603" s="15">
        <v>18</v>
      </c>
      <c r="Q603" s="18">
        <v>77045</v>
      </c>
      <c r="R603" s="19">
        <v>6</v>
      </c>
      <c r="S603" s="14">
        <v>4.3</v>
      </c>
      <c r="T603" s="7">
        <v>97</v>
      </c>
      <c r="U603" s="15">
        <v>19</v>
      </c>
      <c r="V603" s="15">
        <v>34</v>
      </c>
      <c r="W603" s="15">
        <v>67</v>
      </c>
      <c r="X603" t="s">
        <v>61</v>
      </c>
      <c r="Y603" t="s">
        <v>62</v>
      </c>
      <c r="Z603" s="14">
        <v>3</v>
      </c>
      <c r="AA603" s="12">
        <f>YEAR(Table1[Hire_Date])</f>
        <v>2023</v>
      </c>
      <c r="AB60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604" spans="1:28" x14ac:dyDescent="0.25">
      <c r="A604" t="s">
        <v>2562</v>
      </c>
      <c r="B604" s="16" t="s">
        <v>2563</v>
      </c>
      <c r="C604" s="16" t="s">
        <v>2564</v>
      </c>
      <c r="D604" t="s">
        <v>29</v>
      </c>
      <c r="E604" s="15">
        <v>23</v>
      </c>
      <c r="F604" s="16" t="s">
        <v>90</v>
      </c>
      <c r="G604" s="16" t="s">
        <v>281</v>
      </c>
      <c r="H604" s="16" t="s">
        <v>47</v>
      </c>
      <c r="I604" s="16" t="s">
        <v>57</v>
      </c>
      <c r="J604" s="16" t="s">
        <v>49</v>
      </c>
      <c r="K604" s="17" t="s">
        <v>2565</v>
      </c>
      <c r="M604" t="s">
        <v>36</v>
      </c>
      <c r="N604" t="s">
        <v>337</v>
      </c>
      <c r="O604" t="s">
        <v>60</v>
      </c>
      <c r="P604" s="15">
        <v>23</v>
      </c>
      <c r="Q604" s="18">
        <v>120696</v>
      </c>
      <c r="R604" s="19">
        <v>7</v>
      </c>
      <c r="S604" s="14">
        <v>3.8</v>
      </c>
      <c r="T604" s="7">
        <v>56</v>
      </c>
      <c r="U604" s="15">
        <v>19</v>
      </c>
      <c r="V604" s="15">
        <v>43</v>
      </c>
      <c r="W604" s="15">
        <v>6</v>
      </c>
      <c r="X604" t="s">
        <v>39</v>
      </c>
      <c r="Y604" t="s">
        <v>62</v>
      </c>
      <c r="Z604" s="14">
        <v>9.8000000000000007</v>
      </c>
      <c r="AA604" s="12">
        <f>YEAR(Table1[Hire_Date])</f>
        <v>2016</v>
      </c>
      <c r="AB60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605" spans="1:28" x14ac:dyDescent="0.25">
      <c r="A605" t="s">
        <v>2566</v>
      </c>
      <c r="B605" s="16" t="s">
        <v>2567</v>
      </c>
      <c r="C605" s="16" t="s">
        <v>2568</v>
      </c>
      <c r="D605" t="s">
        <v>44</v>
      </c>
      <c r="E605" s="15">
        <v>26</v>
      </c>
      <c r="F605" s="16" t="s">
        <v>103</v>
      </c>
      <c r="G605" s="16" t="s">
        <v>104</v>
      </c>
      <c r="H605" s="16" t="s">
        <v>32</v>
      </c>
      <c r="I605" s="16" t="s">
        <v>33</v>
      </c>
      <c r="J605" s="16" t="s">
        <v>49</v>
      </c>
      <c r="K605" s="17" t="s">
        <v>2569</v>
      </c>
      <c r="M605" t="s">
        <v>36</v>
      </c>
      <c r="N605" t="s">
        <v>505</v>
      </c>
      <c r="O605" t="s">
        <v>60</v>
      </c>
      <c r="P605" s="15">
        <v>20</v>
      </c>
      <c r="Q605" s="18">
        <v>174923</v>
      </c>
      <c r="R605" s="19">
        <v>10</v>
      </c>
      <c r="S605" s="14">
        <v>3.9</v>
      </c>
      <c r="T605" s="7">
        <v>83</v>
      </c>
      <c r="U605" s="15">
        <v>4</v>
      </c>
      <c r="V605" s="15">
        <v>48</v>
      </c>
      <c r="W605" s="15">
        <v>29</v>
      </c>
      <c r="X605" t="s">
        <v>61</v>
      </c>
      <c r="Y605" t="s">
        <v>78</v>
      </c>
      <c r="Z605" s="14">
        <v>10.3</v>
      </c>
      <c r="AA605" s="12">
        <f>YEAR(Table1[Hire_Date])</f>
        <v>2016</v>
      </c>
      <c r="AB60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606" spans="1:28" x14ac:dyDescent="0.25">
      <c r="A606" t="s">
        <v>2570</v>
      </c>
      <c r="B606" s="16" t="s">
        <v>2571</v>
      </c>
      <c r="C606" s="16" t="s">
        <v>2572</v>
      </c>
      <c r="D606" t="s">
        <v>44</v>
      </c>
      <c r="E606" s="15">
        <v>36</v>
      </c>
      <c r="F606" s="16" t="s">
        <v>124</v>
      </c>
      <c r="G606" s="16" t="s">
        <v>141</v>
      </c>
      <c r="H606" s="16" t="s">
        <v>32</v>
      </c>
      <c r="I606" s="16" t="s">
        <v>48</v>
      </c>
      <c r="J606" s="16" t="s">
        <v>49</v>
      </c>
      <c r="K606" s="17" t="s">
        <v>2573</v>
      </c>
      <c r="L606" s="17" t="s">
        <v>2574</v>
      </c>
      <c r="M606" t="s">
        <v>76</v>
      </c>
      <c r="N606" t="s">
        <v>170</v>
      </c>
      <c r="O606" t="s">
        <v>38</v>
      </c>
      <c r="P606" s="15">
        <v>26</v>
      </c>
      <c r="Q606" s="18">
        <v>56185</v>
      </c>
      <c r="R606" s="19">
        <v>7</v>
      </c>
      <c r="S606" s="14">
        <v>2.8</v>
      </c>
      <c r="T606" s="7">
        <v>53</v>
      </c>
      <c r="U606" s="15">
        <v>12</v>
      </c>
      <c r="V606" s="15">
        <v>6</v>
      </c>
      <c r="W606" s="15">
        <v>79</v>
      </c>
      <c r="X606" t="s">
        <v>39</v>
      </c>
      <c r="Y606" t="s">
        <v>40</v>
      </c>
      <c r="Z606" s="14">
        <v>8.9</v>
      </c>
      <c r="AA606" s="12">
        <f>YEAR(Table1[Hire_Date])</f>
        <v>2017</v>
      </c>
      <c r="AB60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607" spans="1:28" x14ac:dyDescent="0.25">
      <c r="A607" t="s">
        <v>2575</v>
      </c>
      <c r="B607" s="16" t="s">
        <v>2576</v>
      </c>
      <c r="C607" s="16" t="s">
        <v>2577</v>
      </c>
      <c r="D607" t="s">
        <v>29</v>
      </c>
      <c r="E607" s="15">
        <v>58</v>
      </c>
      <c r="F607" s="16" t="s">
        <v>124</v>
      </c>
      <c r="G607" s="16" t="s">
        <v>104</v>
      </c>
      <c r="H607" s="16" t="s">
        <v>32</v>
      </c>
      <c r="I607" s="16" t="s">
        <v>57</v>
      </c>
      <c r="J607" s="16" t="s">
        <v>49</v>
      </c>
      <c r="K607" s="17" t="s">
        <v>2578</v>
      </c>
      <c r="L607" s="17" t="s">
        <v>2579</v>
      </c>
      <c r="M607" t="s">
        <v>76</v>
      </c>
      <c r="N607" t="s">
        <v>170</v>
      </c>
      <c r="O607" t="s">
        <v>52</v>
      </c>
      <c r="P607" s="15">
        <v>32</v>
      </c>
      <c r="Q607" s="18">
        <v>131102</v>
      </c>
      <c r="R607" s="19">
        <v>12</v>
      </c>
      <c r="S607" s="14">
        <v>3.8</v>
      </c>
      <c r="T607" s="7">
        <v>60</v>
      </c>
      <c r="U607" s="15">
        <v>6</v>
      </c>
      <c r="V607" s="15">
        <v>12</v>
      </c>
      <c r="W607" s="15">
        <v>46</v>
      </c>
      <c r="X607" t="s">
        <v>61</v>
      </c>
      <c r="Y607" t="s">
        <v>40</v>
      </c>
      <c r="Z607" s="14">
        <v>2.4</v>
      </c>
      <c r="AA607" s="12">
        <f>YEAR(Table1[Hire_Date])</f>
        <v>2024</v>
      </c>
      <c r="AB60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608" spans="1:28" x14ac:dyDescent="0.25">
      <c r="A608" t="s">
        <v>2580</v>
      </c>
      <c r="B608" s="16" t="s">
        <v>2581</v>
      </c>
      <c r="C608" s="16" t="s">
        <v>2582</v>
      </c>
      <c r="D608" t="s">
        <v>44</v>
      </c>
      <c r="E608" s="15">
        <v>34</v>
      </c>
      <c r="F608" s="16" t="s">
        <v>103</v>
      </c>
      <c r="G608" s="16" t="s">
        <v>147</v>
      </c>
      <c r="H608" s="16" t="s">
        <v>83</v>
      </c>
      <c r="I608" s="16" t="s">
        <v>48</v>
      </c>
      <c r="J608" s="16" t="s">
        <v>49</v>
      </c>
      <c r="K608" s="17" t="s">
        <v>304</v>
      </c>
      <c r="M608" t="s">
        <v>36</v>
      </c>
      <c r="N608" t="s">
        <v>189</v>
      </c>
      <c r="O608" t="s">
        <v>60</v>
      </c>
      <c r="P608" s="15">
        <v>29</v>
      </c>
      <c r="Q608" s="18">
        <v>143649</v>
      </c>
      <c r="R608" s="19">
        <v>8</v>
      </c>
      <c r="S608" s="14">
        <v>2.9</v>
      </c>
      <c r="T608" s="7">
        <v>64</v>
      </c>
      <c r="U608" s="15">
        <v>6</v>
      </c>
      <c r="V608" s="15">
        <v>17</v>
      </c>
      <c r="W608" s="15">
        <v>2</v>
      </c>
      <c r="X608" t="s">
        <v>61</v>
      </c>
      <c r="Y608" t="s">
        <v>78</v>
      </c>
      <c r="Z608" s="14">
        <v>6.9</v>
      </c>
      <c r="AA608" s="12">
        <f>YEAR(Table1[Hire_Date])</f>
        <v>2019</v>
      </c>
      <c r="AB60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609" spans="1:28" x14ac:dyDescent="0.25">
      <c r="A609" t="s">
        <v>2583</v>
      </c>
      <c r="B609" s="16" t="s">
        <v>2584</v>
      </c>
      <c r="C609" s="16" t="s">
        <v>2585</v>
      </c>
      <c r="D609" t="s">
        <v>29</v>
      </c>
      <c r="E609" s="15">
        <v>25</v>
      </c>
      <c r="F609" s="16" t="s">
        <v>90</v>
      </c>
      <c r="G609" s="16" t="s">
        <v>281</v>
      </c>
      <c r="H609" s="16" t="s">
        <v>56</v>
      </c>
      <c r="I609" s="16" t="s">
        <v>33</v>
      </c>
      <c r="J609" s="16" t="s">
        <v>34</v>
      </c>
      <c r="K609" s="17" t="s">
        <v>2586</v>
      </c>
      <c r="M609" t="s">
        <v>36</v>
      </c>
      <c r="N609" t="s">
        <v>550</v>
      </c>
      <c r="O609" t="s">
        <v>60</v>
      </c>
      <c r="P609" s="15">
        <v>19</v>
      </c>
      <c r="Q609" s="18">
        <v>102252</v>
      </c>
      <c r="R609" s="19">
        <v>12</v>
      </c>
      <c r="S609" s="14">
        <v>3.3</v>
      </c>
      <c r="T609" s="7">
        <v>67</v>
      </c>
      <c r="U609" s="15">
        <v>14</v>
      </c>
      <c r="V609" s="15">
        <v>28</v>
      </c>
      <c r="W609" s="15">
        <v>31</v>
      </c>
      <c r="X609" t="s">
        <v>61</v>
      </c>
      <c r="Y609" t="s">
        <v>78</v>
      </c>
      <c r="Z609" s="14">
        <v>1.9</v>
      </c>
      <c r="AA609" s="12">
        <f>YEAR(Table1[Hire_Date])</f>
        <v>2024</v>
      </c>
      <c r="AB60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610" spans="1:28" x14ac:dyDescent="0.25">
      <c r="A610" t="s">
        <v>2587</v>
      </c>
      <c r="B610" s="16" t="s">
        <v>2588</v>
      </c>
      <c r="C610" s="16" t="s">
        <v>2589</v>
      </c>
      <c r="D610" t="s">
        <v>44</v>
      </c>
      <c r="E610" s="15">
        <v>39</v>
      </c>
      <c r="F610" s="16" t="s">
        <v>30</v>
      </c>
      <c r="G610" s="16" t="s">
        <v>13</v>
      </c>
      <c r="H610" s="16" t="s">
        <v>83</v>
      </c>
      <c r="I610" s="16" t="s">
        <v>48</v>
      </c>
      <c r="J610" s="16" t="s">
        <v>49</v>
      </c>
      <c r="K610" s="17" t="s">
        <v>2590</v>
      </c>
      <c r="M610" t="s">
        <v>36</v>
      </c>
      <c r="N610" t="s">
        <v>858</v>
      </c>
      <c r="O610" t="s">
        <v>38</v>
      </c>
      <c r="P610" s="15">
        <v>7</v>
      </c>
      <c r="Q610" s="18">
        <v>86473</v>
      </c>
      <c r="R610" s="19">
        <v>10</v>
      </c>
      <c r="S610" s="14">
        <v>3.7</v>
      </c>
      <c r="T610" s="7">
        <v>64</v>
      </c>
      <c r="U610" s="15">
        <v>14</v>
      </c>
      <c r="V610" s="15">
        <v>36</v>
      </c>
      <c r="W610" s="15">
        <v>40</v>
      </c>
      <c r="X610" t="s">
        <v>61</v>
      </c>
      <c r="Y610" t="s">
        <v>78</v>
      </c>
      <c r="Z610" s="14">
        <v>9.3000000000000007</v>
      </c>
      <c r="AA610" s="12">
        <f>YEAR(Table1[Hire_Date])</f>
        <v>2017</v>
      </c>
      <c r="AB61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611" spans="1:28" x14ac:dyDescent="0.25">
      <c r="A611" t="s">
        <v>2591</v>
      </c>
      <c r="B611" s="16" t="s">
        <v>2592</v>
      </c>
      <c r="C611" s="16" t="s">
        <v>2593</v>
      </c>
      <c r="D611" t="s">
        <v>44</v>
      </c>
      <c r="E611" s="15">
        <v>39</v>
      </c>
      <c r="F611" s="16" t="s">
        <v>45</v>
      </c>
      <c r="G611" s="16" t="s">
        <v>46</v>
      </c>
      <c r="H611" s="16" t="s">
        <v>66</v>
      </c>
      <c r="I611" s="16" t="s">
        <v>57</v>
      </c>
      <c r="J611" s="16" t="s">
        <v>49</v>
      </c>
      <c r="K611" s="17" t="s">
        <v>2594</v>
      </c>
      <c r="M611" t="s">
        <v>36</v>
      </c>
      <c r="N611" t="s">
        <v>263</v>
      </c>
      <c r="O611" t="s">
        <v>38</v>
      </c>
      <c r="P611" s="15">
        <v>24</v>
      </c>
      <c r="Q611" s="18">
        <v>93477</v>
      </c>
      <c r="R611" s="19">
        <v>8</v>
      </c>
      <c r="S611" s="14">
        <v>4.5</v>
      </c>
      <c r="T611" s="7">
        <v>83</v>
      </c>
      <c r="U611" s="15">
        <v>19</v>
      </c>
      <c r="V611" s="15">
        <v>38</v>
      </c>
      <c r="W611" s="15">
        <v>25</v>
      </c>
      <c r="X611" t="s">
        <v>39</v>
      </c>
      <c r="Y611" t="s">
        <v>40</v>
      </c>
      <c r="Z611" s="14">
        <v>5.3</v>
      </c>
      <c r="AA611" s="12">
        <f>YEAR(Table1[Hire_Date])</f>
        <v>2021</v>
      </c>
      <c r="AB61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612" spans="1:28" x14ac:dyDescent="0.25">
      <c r="A612" t="s">
        <v>2595</v>
      </c>
      <c r="B612" s="16" t="s">
        <v>2596</v>
      </c>
      <c r="C612" s="16" t="s">
        <v>2597</v>
      </c>
      <c r="D612" t="s">
        <v>44</v>
      </c>
      <c r="E612" s="15">
        <v>51</v>
      </c>
      <c r="F612" s="16" t="s">
        <v>90</v>
      </c>
      <c r="G612" s="16" t="s">
        <v>13</v>
      </c>
      <c r="H612" s="16" t="s">
        <v>32</v>
      </c>
      <c r="I612" s="16" t="s">
        <v>33</v>
      </c>
      <c r="J612" s="16" t="s">
        <v>34</v>
      </c>
      <c r="K612" s="17" t="s">
        <v>2598</v>
      </c>
      <c r="M612" t="s">
        <v>36</v>
      </c>
      <c r="N612" t="s">
        <v>337</v>
      </c>
      <c r="O612" t="s">
        <v>52</v>
      </c>
      <c r="P612" s="15">
        <v>16</v>
      </c>
      <c r="Q612" s="18">
        <v>123184</v>
      </c>
      <c r="R612" s="19">
        <v>21</v>
      </c>
      <c r="S612" s="14">
        <v>4.5</v>
      </c>
      <c r="T612" s="7">
        <v>90</v>
      </c>
      <c r="U612" s="15">
        <v>0</v>
      </c>
      <c r="V612" s="15">
        <v>36</v>
      </c>
      <c r="W612" s="15">
        <v>41</v>
      </c>
      <c r="X612" t="s">
        <v>61</v>
      </c>
      <c r="Y612" t="s">
        <v>78</v>
      </c>
      <c r="Z612" s="14">
        <v>6.6</v>
      </c>
      <c r="AA612" s="12">
        <f>YEAR(Table1[Hire_Date])</f>
        <v>2020</v>
      </c>
      <c r="AB61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613" spans="1:28" x14ac:dyDescent="0.25">
      <c r="A613" t="s">
        <v>2599</v>
      </c>
      <c r="B613" s="16" t="s">
        <v>2600</v>
      </c>
      <c r="C613" s="16" t="s">
        <v>2601</v>
      </c>
      <c r="D613" t="s">
        <v>29</v>
      </c>
      <c r="E613" s="15">
        <v>35</v>
      </c>
      <c r="F613" s="16" t="s">
        <v>45</v>
      </c>
      <c r="G613" s="16" t="s">
        <v>82</v>
      </c>
      <c r="H613" s="16" t="s">
        <v>66</v>
      </c>
      <c r="I613" s="16" t="s">
        <v>57</v>
      </c>
      <c r="J613" s="16" t="s">
        <v>49</v>
      </c>
      <c r="K613" s="17" t="s">
        <v>2602</v>
      </c>
      <c r="M613" t="s">
        <v>36</v>
      </c>
      <c r="N613" t="s">
        <v>419</v>
      </c>
      <c r="O613" t="s">
        <v>60</v>
      </c>
      <c r="P613" s="15">
        <v>21</v>
      </c>
      <c r="Q613" s="18">
        <v>153360</v>
      </c>
      <c r="R613" s="19">
        <v>6</v>
      </c>
      <c r="S613" s="14">
        <v>3</v>
      </c>
      <c r="T613" s="7">
        <v>93</v>
      </c>
      <c r="U613" s="15">
        <v>16</v>
      </c>
      <c r="V613" s="15">
        <v>11</v>
      </c>
      <c r="W613" s="15">
        <v>48</v>
      </c>
      <c r="X613" t="s">
        <v>39</v>
      </c>
      <c r="Y613" t="s">
        <v>40</v>
      </c>
      <c r="Z613" s="14">
        <v>9.6</v>
      </c>
      <c r="AA613" s="12">
        <f>YEAR(Table1[Hire_Date])</f>
        <v>2017</v>
      </c>
      <c r="AB61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614" spans="1:28" x14ac:dyDescent="0.25">
      <c r="A614" t="s">
        <v>2603</v>
      </c>
      <c r="B614" s="16" t="s">
        <v>2604</v>
      </c>
      <c r="C614" s="16" t="s">
        <v>2605</v>
      </c>
      <c r="D614" t="s">
        <v>29</v>
      </c>
      <c r="E614" s="15">
        <v>46</v>
      </c>
      <c r="F614" s="16" t="s">
        <v>124</v>
      </c>
      <c r="G614" s="16" t="s">
        <v>13</v>
      </c>
      <c r="H614" s="16" t="s">
        <v>56</v>
      </c>
      <c r="I614" s="16" t="s">
        <v>48</v>
      </c>
      <c r="J614" s="16" t="s">
        <v>34</v>
      </c>
      <c r="K614" s="17" t="s">
        <v>2606</v>
      </c>
      <c r="M614" t="s">
        <v>36</v>
      </c>
      <c r="N614" t="s">
        <v>858</v>
      </c>
      <c r="O614" t="s">
        <v>38</v>
      </c>
      <c r="P614" s="15">
        <v>2</v>
      </c>
      <c r="Q614" s="18">
        <v>49644</v>
      </c>
      <c r="R614" s="19">
        <v>6</v>
      </c>
      <c r="S614" s="14">
        <v>3.6</v>
      </c>
      <c r="T614" s="7">
        <v>61</v>
      </c>
      <c r="U614" s="15">
        <v>7</v>
      </c>
      <c r="V614" s="15">
        <v>56</v>
      </c>
      <c r="W614" s="15">
        <v>7</v>
      </c>
      <c r="X614" t="s">
        <v>39</v>
      </c>
      <c r="Y614" t="s">
        <v>62</v>
      </c>
      <c r="Z614" s="14">
        <v>8.1</v>
      </c>
      <c r="AA614" s="12">
        <f>YEAR(Table1[Hire_Date])</f>
        <v>2018</v>
      </c>
      <c r="AB61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615" spans="1:28" x14ac:dyDescent="0.25">
      <c r="A615" t="s">
        <v>2607</v>
      </c>
      <c r="B615" s="16" t="s">
        <v>2608</v>
      </c>
      <c r="C615" s="16" t="s">
        <v>2609</v>
      </c>
      <c r="D615" t="s">
        <v>44</v>
      </c>
      <c r="E615" s="15">
        <v>40</v>
      </c>
      <c r="F615" s="16" t="s">
        <v>72</v>
      </c>
      <c r="G615" s="16" t="s">
        <v>135</v>
      </c>
      <c r="H615" s="16" t="s">
        <v>66</v>
      </c>
      <c r="I615" s="16" t="s">
        <v>33</v>
      </c>
      <c r="J615" s="16" t="s">
        <v>34</v>
      </c>
      <c r="K615" s="17" t="s">
        <v>2610</v>
      </c>
      <c r="M615" t="s">
        <v>36</v>
      </c>
      <c r="N615" t="s">
        <v>550</v>
      </c>
      <c r="O615" t="s">
        <v>38</v>
      </c>
      <c r="P615" s="15">
        <v>4</v>
      </c>
      <c r="Q615" s="18">
        <v>71514</v>
      </c>
      <c r="R615" s="19">
        <v>9</v>
      </c>
      <c r="S615" s="14">
        <v>3.2</v>
      </c>
      <c r="T615" s="7">
        <v>74</v>
      </c>
      <c r="U615" s="15">
        <v>14</v>
      </c>
      <c r="V615" s="15">
        <v>33</v>
      </c>
      <c r="W615" s="15">
        <v>78</v>
      </c>
      <c r="X615" t="s">
        <v>61</v>
      </c>
      <c r="Y615" t="s">
        <v>62</v>
      </c>
      <c r="Z615" s="14">
        <v>8.6</v>
      </c>
      <c r="AA615" s="12">
        <f>YEAR(Table1[Hire_Date])</f>
        <v>2018</v>
      </c>
      <c r="AB61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616" spans="1:28" x14ac:dyDescent="0.25">
      <c r="A616" t="s">
        <v>2611</v>
      </c>
      <c r="B616" s="16" t="s">
        <v>2612</v>
      </c>
      <c r="C616" s="16" t="s">
        <v>2613</v>
      </c>
      <c r="D616" t="s">
        <v>29</v>
      </c>
      <c r="E616" s="15">
        <v>26</v>
      </c>
      <c r="F616" s="16" t="s">
        <v>72</v>
      </c>
      <c r="G616" s="16" t="s">
        <v>73</v>
      </c>
      <c r="H616" s="16" t="s">
        <v>83</v>
      </c>
      <c r="I616" s="16" t="s">
        <v>33</v>
      </c>
      <c r="J616" s="16" t="s">
        <v>49</v>
      </c>
      <c r="K616" s="17" t="s">
        <v>2614</v>
      </c>
      <c r="L616" s="17" t="s">
        <v>545</v>
      </c>
      <c r="M616" t="s">
        <v>76</v>
      </c>
      <c r="N616" t="s">
        <v>337</v>
      </c>
      <c r="O616" t="s">
        <v>60</v>
      </c>
      <c r="P616" s="15">
        <v>33</v>
      </c>
      <c r="Q616" s="18">
        <v>171586</v>
      </c>
      <c r="R616" s="19">
        <v>9</v>
      </c>
      <c r="S616" s="14">
        <v>4.8</v>
      </c>
      <c r="T616" s="7">
        <v>76</v>
      </c>
      <c r="U616" s="15">
        <v>10</v>
      </c>
      <c r="V616" s="15">
        <v>39</v>
      </c>
      <c r="W616" s="15">
        <v>75</v>
      </c>
      <c r="X616" t="s">
        <v>61</v>
      </c>
      <c r="Y616" t="s">
        <v>40</v>
      </c>
      <c r="Z616" s="14">
        <v>2.2999999999999998</v>
      </c>
      <c r="AA616" s="12">
        <f>YEAR(Table1[Hire_Date])</f>
        <v>2024</v>
      </c>
      <c r="AB61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617" spans="1:28" x14ac:dyDescent="0.25">
      <c r="A617" t="s">
        <v>2615</v>
      </c>
      <c r="B617" s="16" t="s">
        <v>2616</v>
      </c>
      <c r="C617" s="16" t="s">
        <v>2617</v>
      </c>
      <c r="D617" t="s">
        <v>29</v>
      </c>
      <c r="E617" s="15">
        <v>45</v>
      </c>
      <c r="F617" s="16" t="s">
        <v>90</v>
      </c>
      <c r="G617" s="16" t="s">
        <v>13</v>
      </c>
      <c r="H617" s="16" t="s">
        <v>56</v>
      </c>
      <c r="I617" s="16" t="s">
        <v>48</v>
      </c>
      <c r="J617" s="16" t="s">
        <v>49</v>
      </c>
      <c r="K617" s="17" t="s">
        <v>2618</v>
      </c>
      <c r="L617" s="17" t="s">
        <v>2619</v>
      </c>
      <c r="M617" t="s">
        <v>76</v>
      </c>
      <c r="N617" t="s">
        <v>214</v>
      </c>
      <c r="O617" t="s">
        <v>38</v>
      </c>
      <c r="P617" s="15">
        <v>34</v>
      </c>
      <c r="Q617" s="18">
        <v>87489</v>
      </c>
      <c r="R617" s="19">
        <v>11</v>
      </c>
      <c r="S617" s="14">
        <v>3.8</v>
      </c>
      <c r="T617" s="7">
        <v>90</v>
      </c>
      <c r="U617" s="15">
        <v>11</v>
      </c>
      <c r="V617" s="15">
        <v>8</v>
      </c>
      <c r="W617" s="15">
        <v>68</v>
      </c>
      <c r="X617" t="s">
        <v>61</v>
      </c>
      <c r="Y617" t="s">
        <v>40</v>
      </c>
      <c r="Z617" s="14">
        <v>2.2999999999999998</v>
      </c>
      <c r="AA617" s="12">
        <f>YEAR(Table1[Hire_Date])</f>
        <v>2024</v>
      </c>
      <c r="AB61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618" spans="1:28" x14ac:dyDescent="0.25">
      <c r="A618" t="s">
        <v>2620</v>
      </c>
      <c r="B618" s="16" t="s">
        <v>2621</v>
      </c>
      <c r="C618" s="16" t="s">
        <v>2622</v>
      </c>
      <c r="D618" t="s">
        <v>44</v>
      </c>
      <c r="E618" s="15">
        <v>32</v>
      </c>
      <c r="F618" s="16" t="s">
        <v>72</v>
      </c>
      <c r="G618" s="16" t="s">
        <v>73</v>
      </c>
      <c r="H618" s="16" t="s">
        <v>47</v>
      </c>
      <c r="I618" s="16" t="s">
        <v>57</v>
      </c>
      <c r="J618" s="16" t="s">
        <v>34</v>
      </c>
      <c r="K618" s="17" t="s">
        <v>2623</v>
      </c>
      <c r="M618" t="s">
        <v>36</v>
      </c>
      <c r="N618" t="s">
        <v>111</v>
      </c>
      <c r="O618" t="s">
        <v>60</v>
      </c>
      <c r="P618" s="15">
        <v>22</v>
      </c>
      <c r="Q618" s="18">
        <v>70853</v>
      </c>
      <c r="R618" s="19">
        <v>17</v>
      </c>
      <c r="S618" s="14">
        <v>2.7</v>
      </c>
      <c r="T618" s="7">
        <v>51</v>
      </c>
      <c r="U618" s="15">
        <v>15</v>
      </c>
      <c r="V618" s="15">
        <v>24</v>
      </c>
      <c r="W618" s="15">
        <v>3</v>
      </c>
      <c r="X618" t="s">
        <v>61</v>
      </c>
      <c r="Y618" t="s">
        <v>40</v>
      </c>
      <c r="Z618" s="14">
        <v>2.2999999999999998</v>
      </c>
      <c r="AA618" s="12">
        <f>YEAR(Table1[Hire_Date])</f>
        <v>2024</v>
      </c>
      <c r="AB61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619" spans="1:28" x14ac:dyDescent="0.25">
      <c r="A619" t="s">
        <v>2624</v>
      </c>
      <c r="B619" s="16" t="s">
        <v>2625</v>
      </c>
      <c r="C619" s="16" t="s">
        <v>2626</v>
      </c>
      <c r="D619" t="s">
        <v>29</v>
      </c>
      <c r="E619" s="15">
        <v>47</v>
      </c>
      <c r="F619" s="16" t="s">
        <v>45</v>
      </c>
      <c r="G619" s="16" t="s">
        <v>82</v>
      </c>
      <c r="H619" s="16" t="s">
        <v>66</v>
      </c>
      <c r="I619" s="16" t="s">
        <v>57</v>
      </c>
      <c r="J619" s="16" t="s">
        <v>34</v>
      </c>
      <c r="K619" s="17" t="s">
        <v>2627</v>
      </c>
      <c r="L619" s="17" t="s">
        <v>2628</v>
      </c>
      <c r="M619" t="s">
        <v>76</v>
      </c>
      <c r="N619" t="s">
        <v>1237</v>
      </c>
      <c r="O619" t="s">
        <v>52</v>
      </c>
      <c r="P619" s="15">
        <v>26</v>
      </c>
      <c r="Q619" s="18">
        <v>98521</v>
      </c>
      <c r="R619" s="19">
        <v>9</v>
      </c>
      <c r="S619" s="14">
        <v>3.9</v>
      </c>
      <c r="T619" s="7">
        <v>97</v>
      </c>
      <c r="U619" s="15">
        <v>11</v>
      </c>
      <c r="V619" s="15">
        <v>4</v>
      </c>
      <c r="W619" s="15">
        <v>78</v>
      </c>
      <c r="X619" t="s">
        <v>39</v>
      </c>
      <c r="Y619" t="s">
        <v>40</v>
      </c>
      <c r="Z619" s="14">
        <v>9.6999999999999993</v>
      </c>
      <c r="AA619" s="12">
        <f>YEAR(Table1[Hire_Date])</f>
        <v>2016</v>
      </c>
      <c r="AB61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620" spans="1:28" x14ac:dyDescent="0.25">
      <c r="A620" t="s">
        <v>2629</v>
      </c>
      <c r="B620" s="16" t="s">
        <v>2630</v>
      </c>
      <c r="C620" s="16" t="s">
        <v>2631</v>
      </c>
      <c r="D620" t="s">
        <v>29</v>
      </c>
      <c r="E620" s="15">
        <v>26</v>
      </c>
      <c r="F620" s="16" t="s">
        <v>90</v>
      </c>
      <c r="G620" s="16" t="s">
        <v>13</v>
      </c>
      <c r="H620" s="16" t="s">
        <v>83</v>
      </c>
      <c r="I620" s="16" t="s">
        <v>57</v>
      </c>
      <c r="J620" s="16" t="s">
        <v>34</v>
      </c>
      <c r="K620" s="17" t="s">
        <v>2632</v>
      </c>
      <c r="M620" t="s">
        <v>36</v>
      </c>
      <c r="N620" t="s">
        <v>550</v>
      </c>
      <c r="O620" t="s">
        <v>38</v>
      </c>
      <c r="P620" s="15">
        <v>2</v>
      </c>
      <c r="Q620" s="18">
        <v>114961</v>
      </c>
      <c r="R620" s="19">
        <v>22</v>
      </c>
      <c r="S620" s="14">
        <v>3.5</v>
      </c>
      <c r="T620" s="7">
        <v>80</v>
      </c>
      <c r="U620" s="15">
        <v>14</v>
      </c>
      <c r="V620" s="15">
        <v>37</v>
      </c>
      <c r="W620" s="15">
        <v>36</v>
      </c>
      <c r="X620" t="s">
        <v>61</v>
      </c>
      <c r="Y620" t="s">
        <v>40</v>
      </c>
      <c r="Z620" s="14">
        <v>4.5999999999999996</v>
      </c>
      <c r="AA620" s="12">
        <f>YEAR(Table1[Hire_Date])</f>
        <v>2021</v>
      </c>
      <c r="AB62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621" spans="1:28" x14ac:dyDescent="0.25">
      <c r="A621" t="s">
        <v>2633</v>
      </c>
      <c r="B621" s="16" t="s">
        <v>2634</v>
      </c>
      <c r="C621" s="16" t="s">
        <v>2635</v>
      </c>
      <c r="D621" t="s">
        <v>29</v>
      </c>
      <c r="E621" s="15">
        <v>35</v>
      </c>
      <c r="F621" s="16" t="s">
        <v>30</v>
      </c>
      <c r="G621" s="16" t="s">
        <v>31</v>
      </c>
      <c r="H621" s="16" t="s">
        <v>32</v>
      </c>
      <c r="I621" s="16" t="s">
        <v>57</v>
      </c>
      <c r="J621" s="16" t="s">
        <v>34</v>
      </c>
      <c r="K621" s="17" t="s">
        <v>2636</v>
      </c>
      <c r="M621" t="s">
        <v>36</v>
      </c>
      <c r="N621" t="s">
        <v>149</v>
      </c>
      <c r="O621" t="s">
        <v>38</v>
      </c>
      <c r="P621" s="15">
        <v>34</v>
      </c>
      <c r="Q621" s="18">
        <v>118096</v>
      </c>
      <c r="R621" s="19">
        <v>17</v>
      </c>
      <c r="S621" s="14">
        <v>2.6</v>
      </c>
      <c r="T621" s="7">
        <v>89</v>
      </c>
      <c r="U621" s="15">
        <v>6</v>
      </c>
      <c r="V621" s="15">
        <v>46</v>
      </c>
      <c r="W621" s="15">
        <v>57</v>
      </c>
      <c r="X621" t="s">
        <v>61</v>
      </c>
      <c r="Y621" t="s">
        <v>78</v>
      </c>
      <c r="Z621" s="14">
        <v>7</v>
      </c>
      <c r="AA621" s="12">
        <f>YEAR(Table1[Hire_Date])</f>
        <v>2019</v>
      </c>
      <c r="AB62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622" spans="1:28" x14ac:dyDescent="0.25">
      <c r="A622" t="s">
        <v>2637</v>
      </c>
      <c r="B622" s="16" t="s">
        <v>2638</v>
      </c>
      <c r="C622" s="16" t="s">
        <v>2639</v>
      </c>
      <c r="D622" t="s">
        <v>44</v>
      </c>
      <c r="E622" s="15">
        <v>28</v>
      </c>
      <c r="F622" s="16" t="s">
        <v>72</v>
      </c>
      <c r="G622" s="16" t="s">
        <v>97</v>
      </c>
      <c r="H622" s="16" t="s">
        <v>56</v>
      </c>
      <c r="I622" s="16" t="s">
        <v>33</v>
      </c>
      <c r="J622" s="16" t="s">
        <v>34</v>
      </c>
      <c r="K622" s="17" t="s">
        <v>1581</v>
      </c>
      <c r="M622" t="s">
        <v>36</v>
      </c>
      <c r="N622" t="s">
        <v>263</v>
      </c>
      <c r="O622" t="s">
        <v>38</v>
      </c>
      <c r="P622" s="15">
        <v>28</v>
      </c>
      <c r="Q622" s="18">
        <v>71752</v>
      </c>
      <c r="R622" s="19">
        <v>13</v>
      </c>
      <c r="S622" s="14">
        <v>3.3</v>
      </c>
      <c r="T622" s="7">
        <v>59</v>
      </c>
      <c r="U622" s="15">
        <v>12</v>
      </c>
      <c r="V622" s="15">
        <v>1</v>
      </c>
      <c r="W622" s="15">
        <v>37</v>
      </c>
      <c r="X622" t="s">
        <v>61</v>
      </c>
      <c r="Y622" t="s">
        <v>40</v>
      </c>
      <c r="Z622" s="14">
        <v>5.3</v>
      </c>
      <c r="AA622" s="12">
        <f>YEAR(Table1[Hire_Date])</f>
        <v>2021</v>
      </c>
      <c r="AB62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623" spans="1:28" x14ac:dyDescent="0.25">
      <c r="A623" t="s">
        <v>2640</v>
      </c>
      <c r="B623" s="16" t="s">
        <v>2641</v>
      </c>
      <c r="C623" s="16" t="s">
        <v>2642</v>
      </c>
      <c r="D623" t="s">
        <v>44</v>
      </c>
      <c r="E623" s="15">
        <v>24</v>
      </c>
      <c r="F623" s="16" t="s">
        <v>103</v>
      </c>
      <c r="G623" s="16" t="s">
        <v>147</v>
      </c>
      <c r="H623" s="16" t="s">
        <v>32</v>
      </c>
      <c r="I623" s="16" t="s">
        <v>48</v>
      </c>
      <c r="J623" s="16" t="s">
        <v>34</v>
      </c>
      <c r="K623" s="17" t="s">
        <v>2643</v>
      </c>
      <c r="M623" t="s">
        <v>36</v>
      </c>
      <c r="N623" t="s">
        <v>143</v>
      </c>
      <c r="O623" t="s">
        <v>38</v>
      </c>
      <c r="P623" s="15">
        <v>30</v>
      </c>
      <c r="Q623" s="18">
        <v>151773</v>
      </c>
      <c r="R623" s="19">
        <v>13</v>
      </c>
      <c r="S623" s="14">
        <v>3.5</v>
      </c>
      <c r="T623" s="7">
        <v>98</v>
      </c>
      <c r="U623" s="15">
        <v>7</v>
      </c>
      <c r="V623" s="15">
        <v>6</v>
      </c>
      <c r="W623" s="15">
        <v>37</v>
      </c>
      <c r="X623" t="s">
        <v>61</v>
      </c>
      <c r="Y623" t="s">
        <v>40</v>
      </c>
      <c r="Z623" s="14">
        <v>3.7</v>
      </c>
      <c r="AA623" s="12">
        <f>YEAR(Table1[Hire_Date])</f>
        <v>2022</v>
      </c>
      <c r="AB62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624" spans="1:28" x14ac:dyDescent="0.25">
      <c r="A624" t="s">
        <v>2644</v>
      </c>
      <c r="B624" s="16" t="s">
        <v>2645</v>
      </c>
      <c r="C624" s="16" t="s">
        <v>2646</v>
      </c>
      <c r="D624" t="s">
        <v>29</v>
      </c>
      <c r="E624" s="15">
        <v>32</v>
      </c>
      <c r="F624" s="16" t="s">
        <v>103</v>
      </c>
      <c r="G624" s="16" t="s">
        <v>104</v>
      </c>
      <c r="H624" s="16" t="s">
        <v>47</v>
      </c>
      <c r="I624" s="16" t="s">
        <v>33</v>
      </c>
      <c r="J624" s="16" t="s">
        <v>34</v>
      </c>
      <c r="K624" s="17" t="s">
        <v>2647</v>
      </c>
      <c r="M624" t="s">
        <v>36</v>
      </c>
      <c r="N624" t="s">
        <v>224</v>
      </c>
      <c r="O624" t="s">
        <v>38</v>
      </c>
      <c r="P624" s="15">
        <v>21</v>
      </c>
      <c r="Q624" s="18">
        <v>129504</v>
      </c>
      <c r="R624" s="19">
        <v>25</v>
      </c>
      <c r="S624" s="14">
        <v>3.7</v>
      </c>
      <c r="T624" s="7">
        <v>100</v>
      </c>
      <c r="U624" s="15">
        <v>7</v>
      </c>
      <c r="V624" s="15">
        <v>14</v>
      </c>
      <c r="W624" s="15">
        <v>36</v>
      </c>
      <c r="X624" t="s">
        <v>61</v>
      </c>
      <c r="Y624" t="s">
        <v>78</v>
      </c>
      <c r="Z624" s="14">
        <v>6.3</v>
      </c>
      <c r="AA624" s="12">
        <f>YEAR(Table1[Hire_Date])</f>
        <v>2020</v>
      </c>
      <c r="AB62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625" spans="1:28" x14ac:dyDescent="0.25">
      <c r="A625" t="s">
        <v>2648</v>
      </c>
      <c r="B625" s="16" t="s">
        <v>2649</v>
      </c>
      <c r="C625" s="16" t="s">
        <v>2650</v>
      </c>
      <c r="D625" t="s">
        <v>29</v>
      </c>
      <c r="E625" s="15">
        <v>36</v>
      </c>
      <c r="F625" s="16" t="s">
        <v>30</v>
      </c>
      <c r="G625" s="16" t="s">
        <v>31</v>
      </c>
      <c r="H625" s="16" t="s">
        <v>66</v>
      </c>
      <c r="I625" s="16" t="s">
        <v>57</v>
      </c>
      <c r="J625" s="16" t="s">
        <v>34</v>
      </c>
      <c r="K625" s="17" t="s">
        <v>2651</v>
      </c>
      <c r="L625" s="17" t="s">
        <v>2652</v>
      </c>
      <c r="M625" t="s">
        <v>76</v>
      </c>
      <c r="N625" t="s">
        <v>219</v>
      </c>
      <c r="O625" t="s">
        <v>38</v>
      </c>
      <c r="P625" s="15">
        <v>9</v>
      </c>
      <c r="Q625" s="18">
        <v>161227</v>
      </c>
      <c r="R625" s="19">
        <v>25</v>
      </c>
      <c r="S625" s="14">
        <v>4.8</v>
      </c>
      <c r="T625" s="7">
        <v>59</v>
      </c>
      <c r="U625" s="15">
        <v>11</v>
      </c>
      <c r="V625" s="15">
        <v>27</v>
      </c>
      <c r="W625" s="15">
        <v>62</v>
      </c>
      <c r="X625" t="s">
        <v>39</v>
      </c>
      <c r="Y625" t="s">
        <v>62</v>
      </c>
      <c r="Z625" s="14">
        <v>3.4</v>
      </c>
      <c r="AA625" s="12">
        <f>YEAR(Table1[Hire_Date])</f>
        <v>2023</v>
      </c>
      <c r="AB62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626" spans="1:28" x14ac:dyDescent="0.25">
      <c r="A626" t="s">
        <v>2653</v>
      </c>
      <c r="B626" s="16" t="s">
        <v>2654</v>
      </c>
      <c r="C626" s="16" t="s">
        <v>2655</v>
      </c>
      <c r="D626" t="s">
        <v>29</v>
      </c>
      <c r="E626" s="15">
        <v>59</v>
      </c>
      <c r="F626" s="16" t="s">
        <v>72</v>
      </c>
      <c r="G626" s="16" t="s">
        <v>135</v>
      </c>
      <c r="H626" s="16" t="s">
        <v>47</v>
      </c>
      <c r="I626" s="16" t="s">
        <v>48</v>
      </c>
      <c r="J626" s="16" t="s">
        <v>34</v>
      </c>
      <c r="K626" s="17" t="s">
        <v>2656</v>
      </c>
      <c r="M626" t="s">
        <v>36</v>
      </c>
      <c r="N626" t="s">
        <v>314</v>
      </c>
      <c r="O626" t="s">
        <v>52</v>
      </c>
      <c r="P626" s="15">
        <v>3</v>
      </c>
      <c r="Q626" s="18">
        <v>86630</v>
      </c>
      <c r="R626" s="19">
        <v>19</v>
      </c>
      <c r="S626" s="14">
        <v>4.4000000000000004</v>
      </c>
      <c r="T626" s="7">
        <v>72</v>
      </c>
      <c r="U626" s="15">
        <v>0</v>
      </c>
      <c r="V626" s="15">
        <v>56</v>
      </c>
      <c r="W626" s="15">
        <v>53</v>
      </c>
      <c r="X626" t="s">
        <v>39</v>
      </c>
      <c r="Y626" t="s">
        <v>78</v>
      </c>
      <c r="Z626" s="14">
        <v>10.4</v>
      </c>
      <c r="AA626" s="12">
        <f>YEAR(Table1[Hire_Date])</f>
        <v>2016</v>
      </c>
      <c r="AB62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627" spans="1:28" x14ac:dyDescent="0.25">
      <c r="A627" t="s">
        <v>2657</v>
      </c>
      <c r="B627" s="16" t="s">
        <v>2658</v>
      </c>
      <c r="C627" s="16" t="s">
        <v>2659</v>
      </c>
      <c r="D627" t="s">
        <v>44</v>
      </c>
      <c r="E627" s="15">
        <v>23</v>
      </c>
      <c r="F627" s="16" t="s">
        <v>90</v>
      </c>
      <c r="G627" s="16" t="s">
        <v>281</v>
      </c>
      <c r="H627" s="16" t="s">
        <v>32</v>
      </c>
      <c r="I627" s="16" t="s">
        <v>48</v>
      </c>
      <c r="J627" s="16" t="s">
        <v>34</v>
      </c>
      <c r="K627" s="17" t="s">
        <v>2660</v>
      </c>
      <c r="M627" t="s">
        <v>36</v>
      </c>
      <c r="N627" t="s">
        <v>1791</v>
      </c>
      <c r="O627" t="s">
        <v>52</v>
      </c>
      <c r="P627" s="15">
        <v>10</v>
      </c>
      <c r="Q627" s="18">
        <v>169870</v>
      </c>
      <c r="R627" s="19">
        <v>12</v>
      </c>
      <c r="S627" s="14">
        <v>2.6</v>
      </c>
      <c r="T627" s="7">
        <v>90</v>
      </c>
      <c r="U627" s="15">
        <v>9</v>
      </c>
      <c r="V627" s="15">
        <v>56</v>
      </c>
      <c r="W627" s="15">
        <v>15</v>
      </c>
      <c r="X627" t="s">
        <v>61</v>
      </c>
      <c r="Y627" t="s">
        <v>78</v>
      </c>
      <c r="Z627" s="14">
        <v>7.7</v>
      </c>
      <c r="AA627" s="12">
        <f>YEAR(Table1[Hire_Date])</f>
        <v>2018</v>
      </c>
      <c r="AB62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628" spans="1:28" x14ac:dyDescent="0.25">
      <c r="A628" t="s">
        <v>2661</v>
      </c>
      <c r="B628" s="16" t="s">
        <v>2662</v>
      </c>
      <c r="C628" s="16" t="s">
        <v>2663</v>
      </c>
      <c r="D628" t="s">
        <v>44</v>
      </c>
      <c r="E628" s="15">
        <v>57</v>
      </c>
      <c r="F628" s="16" t="s">
        <v>30</v>
      </c>
      <c r="G628" s="16" t="s">
        <v>13</v>
      </c>
      <c r="H628" s="16" t="s">
        <v>66</v>
      </c>
      <c r="I628" s="16" t="s">
        <v>48</v>
      </c>
      <c r="J628" s="16" t="s">
        <v>49</v>
      </c>
      <c r="K628" s="17" t="s">
        <v>2664</v>
      </c>
      <c r="M628" t="s">
        <v>36</v>
      </c>
      <c r="N628" t="s">
        <v>1237</v>
      </c>
      <c r="O628" t="s">
        <v>52</v>
      </c>
      <c r="P628" s="15">
        <v>5</v>
      </c>
      <c r="Q628" s="18">
        <v>135745</v>
      </c>
      <c r="R628" s="19">
        <v>5</v>
      </c>
      <c r="S628" s="14">
        <v>4.9000000000000004</v>
      </c>
      <c r="T628" s="7">
        <v>66</v>
      </c>
      <c r="U628" s="15">
        <v>0</v>
      </c>
      <c r="V628" s="15">
        <v>7</v>
      </c>
      <c r="W628" s="15">
        <v>53</v>
      </c>
      <c r="X628" t="s">
        <v>61</v>
      </c>
      <c r="Y628" t="s">
        <v>78</v>
      </c>
      <c r="Z628" s="14">
        <v>1.8</v>
      </c>
      <c r="AA628" s="12">
        <f>YEAR(Table1[Hire_Date])</f>
        <v>2024</v>
      </c>
      <c r="AB62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629" spans="1:28" x14ac:dyDescent="0.25">
      <c r="A629" t="s">
        <v>2665</v>
      </c>
      <c r="B629" s="16" t="s">
        <v>2666</v>
      </c>
      <c r="C629" s="16" t="s">
        <v>2667</v>
      </c>
      <c r="D629" t="s">
        <v>44</v>
      </c>
      <c r="E629" s="15">
        <v>51</v>
      </c>
      <c r="F629" s="16" t="s">
        <v>72</v>
      </c>
      <c r="G629" s="16" t="s">
        <v>135</v>
      </c>
      <c r="H629" s="16" t="s">
        <v>66</v>
      </c>
      <c r="I629" s="16" t="s">
        <v>33</v>
      </c>
      <c r="J629" s="16" t="s">
        <v>49</v>
      </c>
      <c r="K629" s="17" t="s">
        <v>755</v>
      </c>
      <c r="M629" t="s">
        <v>36</v>
      </c>
      <c r="N629" t="s">
        <v>659</v>
      </c>
      <c r="O629" t="s">
        <v>52</v>
      </c>
      <c r="P629" s="15">
        <v>30</v>
      </c>
      <c r="Q629" s="18">
        <v>141332</v>
      </c>
      <c r="R629" s="19">
        <v>16</v>
      </c>
      <c r="S629" s="14">
        <v>3.5</v>
      </c>
      <c r="T629" s="7">
        <v>74</v>
      </c>
      <c r="U629" s="15">
        <v>3</v>
      </c>
      <c r="V629" s="15">
        <v>10</v>
      </c>
      <c r="W629" s="15">
        <v>4</v>
      </c>
      <c r="X629" t="s">
        <v>61</v>
      </c>
      <c r="Y629" t="s">
        <v>78</v>
      </c>
      <c r="Z629" s="14">
        <v>2.4</v>
      </c>
      <c r="AA629" s="12">
        <f>YEAR(Table1[Hire_Date])</f>
        <v>2024</v>
      </c>
      <c r="AB62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630" spans="1:28" x14ac:dyDescent="0.25">
      <c r="A630" t="s">
        <v>2668</v>
      </c>
      <c r="B630" s="16" t="s">
        <v>2669</v>
      </c>
      <c r="C630" s="16" t="s">
        <v>2670</v>
      </c>
      <c r="D630" t="s">
        <v>29</v>
      </c>
      <c r="E630" s="15">
        <v>56</v>
      </c>
      <c r="F630" s="16" t="s">
        <v>103</v>
      </c>
      <c r="G630" s="16" t="s">
        <v>147</v>
      </c>
      <c r="H630" s="16" t="s">
        <v>56</v>
      </c>
      <c r="I630" s="16" t="s">
        <v>33</v>
      </c>
      <c r="J630" s="16" t="s">
        <v>49</v>
      </c>
      <c r="K630" s="17" t="s">
        <v>2671</v>
      </c>
      <c r="M630" t="s">
        <v>36</v>
      </c>
      <c r="N630" t="s">
        <v>286</v>
      </c>
      <c r="O630" t="s">
        <v>52</v>
      </c>
      <c r="P630" s="15">
        <v>32</v>
      </c>
      <c r="Q630" s="18">
        <v>167229</v>
      </c>
      <c r="R630" s="19">
        <v>14</v>
      </c>
      <c r="S630" s="14">
        <v>3</v>
      </c>
      <c r="T630" s="7">
        <v>65</v>
      </c>
      <c r="U630" s="15">
        <v>18</v>
      </c>
      <c r="V630" s="15">
        <v>10</v>
      </c>
      <c r="W630" s="15">
        <v>31</v>
      </c>
      <c r="X630" t="s">
        <v>39</v>
      </c>
      <c r="Y630" t="s">
        <v>62</v>
      </c>
      <c r="Z630" s="14">
        <v>3.7</v>
      </c>
      <c r="AA630" s="12">
        <f>YEAR(Table1[Hire_Date])</f>
        <v>2022</v>
      </c>
      <c r="AB63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631" spans="1:28" x14ac:dyDescent="0.25">
      <c r="A631" t="s">
        <v>2672</v>
      </c>
      <c r="B631" s="16" t="s">
        <v>2673</v>
      </c>
      <c r="C631" s="16" t="s">
        <v>2674</v>
      </c>
      <c r="D631" t="s">
        <v>44</v>
      </c>
      <c r="E631" s="15">
        <v>51</v>
      </c>
      <c r="F631" s="16" t="s">
        <v>72</v>
      </c>
      <c r="G631" s="16" t="s">
        <v>97</v>
      </c>
      <c r="H631" s="16" t="s">
        <v>47</v>
      </c>
      <c r="I631" s="16" t="s">
        <v>48</v>
      </c>
      <c r="J631" s="16" t="s">
        <v>49</v>
      </c>
      <c r="K631" s="17" t="s">
        <v>2675</v>
      </c>
      <c r="M631" t="s">
        <v>36</v>
      </c>
      <c r="N631" t="s">
        <v>323</v>
      </c>
      <c r="O631" t="s">
        <v>60</v>
      </c>
      <c r="P631" s="15">
        <v>11</v>
      </c>
      <c r="Q631" s="18">
        <v>132182</v>
      </c>
      <c r="R631" s="19">
        <v>23</v>
      </c>
      <c r="S631" s="14">
        <v>4.7</v>
      </c>
      <c r="T631" s="7">
        <v>67</v>
      </c>
      <c r="U631" s="15">
        <v>20</v>
      </c>
      <c r="V631" s="15">
        <v>51</v>
      </c>
      <c r="W631" s="15">
        <v>21</v>
      </c>
      <c r="X631" t="s">
        <v>39</v>
      </c>
      <c r="Y631" t="s">
        <v>62</v>
      </c>
      <c r="Z631" s="14">
        <v>9.1</v>
      </c>
      <c r="AA631" s="12">
        <f>YEAR(Table1[Hire_Date])</f>
        <v>2017</v>
      </c>
      <c r="AB63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632" spans="1:28" x14ac:dyDescent="0.25">
      <c r="A632" t="s">
        <v>2676</v>
      </c>
      <c r="B632" s="16" t="s">
        <v>2677</v>
      </c>
      <c r="C632" s="16" t="s">
        <v>2678</v>
      </c>
      <c r="D632" t="s">
        <v>44</v>
      </c>
      <c r="E632" s="15">
        <v>39</v>
      </c>
      <c r="F632" s="16" t="s">
        <v>90</v>
      </c>
      <c r="G632" s="16" t="s">
        <v>281</v>
      </c>
      <c r="H632" s="16" t="s">
        <v>47</v>
      </c>
      <c r="I632" s="16" t="s">
        <v>33</v>
      </c>
      <c r="J632" s="16" t="s">
        <v>49</v>
      </c>
      <c r="K632" s="17" t="s">
        <v>1031</v>
      </c>
      <c r="M632" t="s">
        <v>36</v>
      </c>
      <c r="N632" t="s">
        <v>328</v>
      </c>
      <c r="O632" t="s">
        <v>52</v>
      </c>
      <c r="P632" s="15">
        <v>20</v>
      </c>
      <c r="Q632" s="18">
        <v>140179</v>
      </c>
      <c r="R632" s="19">
        <v>13</v>
      </c>
      <c r="S632" s="14">
        <v>3.3</v>
      </c>
      <c r="T632" s="7">
        <v>93</v>
      </c>
      <c r="U632" s="15">
        <v>6</v>
      </c>
      <c r="V632" s="15">
        <v>4</v>
      </c>
      <c r="W632" s="15">
        <v>72</v>
      </c>
      <c r="X632" t="s">
        <v>39</v>
      </c>
      <c r="Y632" t="s">
        <v>62</v>
      </c>
      <c r="Z632" s="14">
        <v>5.7</v>
      </c>
      <c r="AA632" s="12">
        <f>YEAR(Table1[Hire_Date])</f>
        <v>2020</v>
      </c>
      <c r="AB63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633" spans="1:28" x14ac:dyDescent="0.25">
      <c r="A633" t="s">
        <v>2679</v>
      </c>
      <c r="B633" s="16" t="s">
        <v>2680</v>
      </c>
      <c r="C633" s="16" t="s">
        <v>2681</v>
      </c>
      <c r="D633" t="s">
        <v>29</v>
      </c>
      <c r="E633" s="15">
        <v>49</v>
      </c>
      <c r="F633" s="16" t="s">
        <v>90</v>
      </c>
      <c r="G633" s="16" t="s">
        <v>281</v>
      </c>
      <c r="H633" s="16" t="s">
        <v>83</v>
      </c>
      <c r="I633" s="16" t="s">
        <v>48</v>
      </c>
      <c r="J633" s="16" t="s">
        <v>49</v>
      </c>
      <c r="K633" s="17" t="s">
        <v>443</v>
      </c>
      <c r="M633" t="s">
        <v>36</v>
      </c>
      <c r="N633" t="s">
        <v>99</v>
      </c>
      <c r="O633" t="s">
        <v>38</v>
      </c>
      <c r="P633" s="15">
        <v>19</v>
      </c>
      <c r="Q633" s="18">
        <v>140843</v>
      </c>
      <c r="R633" s="19">
        <v>25</v>
      </c>
      <c r="S633" s="14">
        <v>3.3</v>
      </c>
      <c r="T633" s="7">
        <v>88</v>
      </c>
      <c r="U633" s="15">
        <v>2</v>
      </c>
      <c r="V633" s="15">
        <v>56</v>
      </c>
      <c r="W633" s="15">
        <v>80</v>
      </c>
      <c r="X633" t="s">
        <v>61</v>
      </c>
      <c r="Y633" t="s">
        <v>40</v>
      </c>
      <c r="Z633" s="14">
        <v>1.4</v>
      </c>
      <c r="AA633" s="12">
        <f>YEAR(Table1[Hire_Date])</f>
        <v>2025</v>
      </c>
      <c r="AB63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634" spans="1:28" x14ac:dyDescent="0.25">
      <c r="A634" t="s">
        <v>2682</v>
      </c>
      <c r="B634" s="16" t="s">
        <v>2683</v>
      </c>
      <c r="C634" s="16" t="s">
        <v>2684</v>
      </c>
      <c r="D634" t="s">
        <v>44</v>
      </c>
      <c r="E634" s="15">
        <v>51</v>
      </c>
      <c r="F634" s="16" t="s">
        <v>72</v>
      </c>
      <c r="G634" s="16" t="s">
        <v>73</v>
      </c>
      <c r="H634" s="16" t="s">
        <v>47</v>
      </c>
      <c r="I634" s="16" t="s">
        <v>57</v>
      </c>
      <c r="J634" s="16" t="s">
        <v>49</v>
      </c>
      <c r="K634" s="17" t="s">
        <v>2685</v>
      </c>
      <c r="M634" t="s">
        <v>36</v>
      </c>
      <c r="N634" t="s">
        <v>505</v>
      </c>
      <c r="O634" t="s">
        <v>38</v>
      </c>
      <c r="P634" s="15">
        <v>11</v>
      </c>
      <c r="Q634" s="18">
        <v>107651</v>
      </c>
      <c r="R634" s="19">
        <v>21</v>
      </c>
      <c r="S634" s="14">
        <v>3.7</v>
      </c>
      <c r="T634" s="7">
        <v>71</v>
      </c>
      <c r="U634" s="15">
        <v>6</v>
      </c>
      <c r="V634" s="15">
        <v>30</v>
      </c>
      <c r="W634" s="15">
        <v>5</v>
      </c>
      <c r="X634" t="s">
        <v>61</v>
      </c>
      <c r="Y634" t="s">
        <v>40</v>
      </c>
      <c r="Z634" s="14">
        <v>9.5</v>
      </c>
      <c r="AA634" s="12">
        <f>YEAR(Table1[Hire_Date])</f>
        <v>2017</v>
      </c>
      <c r="AB63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635" spans="1:28" x14ac:dyDescent="0.25">
      <c r="A635" t="s">
        <v>2686</v>
      </c>
      <c r="B635" s="16" t="s">
        <v>2687</v>
      </c>
      <c r="C635" s="16" t="s">
        <v>2688</v>
      </c>
      <c r="D635" t="s">
        <v>29</v>
      </c>
      <c r="E635" s="15">
        <v>31</v>
      </c>
      <c r="F635" s="16" t="s">
        <v>72</v>
      </c>
      <c r="G635" s="16" t="s">
        <v>135</v>
      </c>
      <c r="H635" s="16" t="s">
        <v>32</v>
      </c>
      <c r="I635" s="16" t="s">
        <v>48</v>
      </c>
      <c r="J635" s="16" t="s">
        <v>34</v>
      </c>
      <c r="K635" s="17" t="s">
        <v>2689</v>
      </c>
      <c r="M635" t="s">
        <v>36</v>
      </c>
      <c r="N635" t="s">
        <v>268</v>
      </c>
      <c r="O635" t="s">
        <v>60</v>
      </c>
      <c r="P635" s="15">
        <v>17</v>
      </c>
      <c r="Q635" s="18">
        <v>166982</v>
      </c>
      <c r="R635" s="19">
        <v>25</v>
      </c>
      <c r="S635" s="14">
        <v>3</v>
      </c>
      <c r="T635" s="7">
        <v>51</v>
      </c>
      <c r="U635" s="15">
        <v>11</v>
      </c>
      <c r="V635" s="15">
        <v>11</v>
      </c>
      <c r="W635" s="15">
        <v>54</v>
      </c>
      <c r="X635" t="s">
        <v>39</v>
      </c>
      <c r="Y635" t="s">
        <v>62</v>
      </c>
      <c r="Z635" s="14">
        <v>0.3</v>
      </c>
      <c r="AA635" s="12">
        <f>YEAR(Table1[Hire_Date])</f>
        <v>2026</v>
      </c>
      <c r="AB63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636" spans="1:28" x14ac:dyDescent="0.25">
      <c r="A636" t="s">
        <v>2690</v>
      </c>
      <c r="B636" s="16" t="s">
        <v>2691</v>
      </c>
      <c r="C636" s="16" t="s">
        <v>2692</v>
      </c>
      <c r="D636" t="s">
        <v>29</v>
      </c>
      <c r="E636" s="15">
        <v>31</v>
      </c>
      <c r="F636" s="16" t="s">
        <v>103</v>
      </c>
      <c r="G636" s="16" t="s">
        <v>104</v>
      </c>
      <c r="H636" s="16" t="s">
        <v>83</v>
      </c>
      <c r="I636" s="16" t="s">
        <v>33</v>
      </c>
      <c r="J636" s="16" t="s">
        <v>34</v>
      </c>
      <c r="K636" s="17" t="s">
        <v>2693</v>
      </c>
      <c r="M636" t="s">
        <v>36</v>
      </c>
      <c r="N636" t="s">
        <v>258</v>
      </c>
      <c r="O636" t="s">
        <v>60</v>
      </c>
      <c r="P636" s="15">
        <v>27</v>
      </c>
      <c r="Q636" s="18">
        <v>61490</v>
      </c>
      <c r="R636" s="19">
        <v>25</v>
      </c>
      <c r="S636" s="14">
        <v>4.5</v>
      </c>
      <c r="T636" s="7">
        <v>75</v>
      </c>
      <c r="U636" s="15">
        <v>6</v>
      </c>
      <c r="V636" s="15">
        <v>43</v>
      </c>
      <c r="W636" s="15">
        <v>61</v>
      </c>
      <c r="X636" t="s">
        <v>61</v>
      </c>
      <c r="Y636" t="s">
        <v>78</v>
      </c>
      <c r="Z636" s="14">
        <v>7.5</v>
      </c>
      <c r="AA636" s="12">
        <f>YEAR(Table1[Hire_Date])</f>
        <v>2019</v>
      </c>
      <c r="AB63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637" spans="1:28" x14ac:dyDescent="0.25">
      <c r="A637" t="s">
        <v>2694</v>
      </c>
      <c r="B637" s="16" t="s">
        <v>2695</v>
      </c>
      <c r="C637" s="16" t="s">
        <v>2696</v>
      </c>
      <c r="D637" t="s">
        <v>44</v>
      </c>
      <c r="E637" s="15">
        <v>56</v>
      </c>
      <c r="F637" s="16" t="s">
        <v>30</v>
      </c>
      <c r="G637" s="16" t="s">
        <v>31</v>
      </c>
      <c r="H637" s="16" t="s">
        <v>83</v>
      </c>
      <c r="I637" s="16" t="s">
        <v>57</v>
      </c>
      <c r="J637" s="16" t="s">
        <v>49</v>
      </c>
      <c r="K637" s="17" t="s">
        <v>2697</v>
      </c>
      <c r="M637" t="s">
        <v>36</v>
      </c>
      <c r="N637" t="s">
        <v>896</v>
      </c>
      <c r="O637" t="s">
        <v>60</v>
      </c>
      <c r="P637" s="15">
        <v>16</v>
      </c>
      <c r="Q637" s="18">
        <v>94643</v>
      </c>
      <c r="R637" s="19">
        <v>25</v>
      </c>
      <c r="S637" s="14">
        <v>3.4</v>
      </c>
      <c r="T637" s="7">
        <v>71</v>
      </c>
      <c r="U637" s="15">
        <v>20</v>
      </c>
      <c r="V637" s="15">
        <v>32</v>
      </c>
      <c r="W637" s="15">
        <v>38</v>
      </c>
      <c r="X637" t="s">
        <v>61</v>
      </c>
      <c r="Y637" t="s">
        <v>40</v>
      </c>
      <c r="Z637" s="14">
        <v>6.1</v>
      </c>
      <c r="AA637" s="12">
        <f>YEAR(Table1[Hire_Date])</f>
        <v>2020</v>
      </c>
      <c r="AB63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638" spans="1:28" x14ac:dyDescent="0.25">
      <c r="A638" t="s">
        <v>2698</v>
      </c>
      <c r="B638" s="16" t="s">
        <v>2699</v>
      </c>
      <c r="C638" s="16" t="s">
        <v>2700</v>
      </c>
      <c r="D638" t="s">
        <v>29</v>
      </c>
      <c r="E638" s="15">
        <v>32</v>
      </c>
      <c r="F638" s="16" t="s">
        <v>124</v>
      </c>
      <c r="G638" s="16" t="s">
        <v>141</v>
      </c>
      <c r="H638" s="16" t="s">
        <v>66</v>
      </c>
      <c r="I638" s="16" t="s">
        <v>33</v>
      </c>
      <c r="J638" s="16" t="s">
        <v>34</v>
      </c>
      <c r="K638" s="17" t="s">
        <v>2701</v>
      </c>
      <c r="L638" s="17" t="s">
        <v>2702</v>
      </c>
      <c r="M638" t="s">
        <v>76</v>
      </c>
      <c r="N638" t="s">
        <v>469</v>
      </c>
      <c r="O638" t="s">
        <v>60</v>
      </c>
      <c r="P638" s="15">
        <v>1</v>
      </c>
      <c r="Q638" s="18">
        <v>156396</v>
      </c>
      <c r="R638" s="19">
        <v>13</v>
      </c>
      <c r="S638" s="14">
        <v>3.8</v>
      </c>
      <c r="T638" s="7">
        <v>56</v>
      </c>
      <c r="U638" s="15">
        <v>14</v>
      </c>
      <c r="V638" s="15">
        <v>34</v>
      </c>
      <c r="W638" s="15">
        <v>69</v>
      </c>
      <c r="X638" t="s">
        <v>61</v>
      </c>
      <c r="Y638" t="s">
        <v>40</v>
      </c>
      <c r="Z638" s="14">
        <v>3.6</v>
      </c>
      <c r="AA638" s="12">
        <f>YEAR(Table1[Hire_Date])</f>
        <v>2023</v>
      </c>
      <c r="AB63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639" spans="1:28" x14ac:dyDescent="0.25">
      <c r="A639" t="s">
        <v>2703</v>
      </c>
      <c r="B639" s="16" t="s">
        <v>2704</v>
      </c>
      <c r="C639" s="16" t="s">
        <v>2705</v>
      </c>
      <c r="D639" t="s">
        <v>44</v>
      </c>
      <c r="E639" s="15">
        <v>29</v>
      </c>
      <c r="F639" s="16" t="s">
        <v>90</v>
      </c>
      <c r="G639" s="16" t="s">
        <v>13</v>
      </c>
      <c r="H639" s="16" t="s">
        <v>66</v>
      </c>
      <c r="I639" s="16" t="s">
        <v>33</v>
      </c>
      <c r="J639" s="16" t="s">
        <v>49</v>
      </c>
      <c r="K639" s="17" t="s">
        <v>2706</v>
      </c>
      <c r="M639" t="s">
        <v>36</v>
      </c>
      <c r="N639" t="s">
        <v>137</v>
      </c>
      <c r="O639" t="s">
        <v>38</v>
      </c>
      <c r="P639" s="15">
        <v>28</v>
      </c>
      <c r="Q639" s="18">
        <v>56738</v>
      </c>
      <c r="R639" s="19">
        <v>5</v>
      </c>
      <c r="S639" s="14">
        <v>3.4</v>
      </c>
      <c r="T639" s="7">
        <v>60</v>
      </c>
      <c r="U639" s="15">
        <v>15</v>
      </c>
      <c r="V639" s="15">
        <v>39</v>
      </c>
      <c r="W639" s="15">
        <v>48</v>
      </c>
      <c r="X639" t="s">
        <v>39</v>
      </c>
      <c r="Y639" t="s">
        <v>40</v>
      </c>
      <c r="Z639" s="14">
        <v>3.3</v>
      </c>
      <c r="AA639" s="12">
        <f>YEAR(Table1[Hire_Date])</f>
        <v>2023</v>
      </c>
      <c r="AB63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640" spans="1:28" x14ac:dyDescent="0.25">
      <c r="A640" t="s">
        <v>2707</v>
      </c>
      <c r="B640" s="16" t="s">
        <v>2708</v>
      </c>
      <c r="C640" s="16" t="s">
        <v>2709</v>
      </c>
      <c r="D640" t="s">
        <v>29</v>
      </c>
      <c r="E640" s="15">
        <v>60</v>
      </c>
      <c r="F640" s="16" t="s">
        <v>90</v>
      </c>
      <c r="G640" s="16" t="s">
        <v>13</v>
      </c>
      <c r="H640" s="16" t="s">
        <v>47</v>
      </c>
      <c r="I640" s="16" t="s">
        <v>57</v>
      </c>
      <c r="J640" s="16" t="s">
        <v>49</v>
      </c>
      <c r="K640" s="17" t="s">
        <v>2710</v>
      </c>
      <c r="M640" t="s">
        <v>36</v>
      </c>
      <c r="N640" t="s">
        <v>691</v>
      </c>
      <c r="O640" t="s">
        <v>60</v>
      </c>
      <c r="P640" s="15">
        <v>23</v>
      </c>
      <c r="Q640" s="18">
        <v>144767</v>
      </c>
      <c r="R640" s="19">
        <v>18</v>
      </c>
      <c r="S640" s="14">
        <v>4.2</v>
      </c>
      <c r="T640" s="7">
        <v>57</v>
      </c>
      <c r="U640" s="15">
        <v>10</v>
      </c>
      <c r="V640" s="15">
        <v>43</v>
      </c>
      <c r="W640" s="15">
        <v>69</v>
      </c>
      <c r="X640" t="s">
        <v>39</v>
      </c>
      <c r="Y640" t="s">
        <v>40</v>
      </c>
      <c r="Z640" s="14">
        <v>9.6999999999999993</v>
      </c>
      <c r="AA640" s="12">
        <f>YEAR(Table1[Hire_Date])</f>
        <v>2016</v>
      </c>
      <c r="AB64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641" spans="1:28" x14ac:dyDescent="0.25">
      <c r="A641" t="s">
        <v>2711</v>
      </c>
      <c r="B641" s="16" t="s">
        <v>2712</v>
      </c>
      <c r="C641" s="16" t="s">
        <v>2713</v>
      </c>
      <c r="D641" t="s">
        <v>29</v>
      </c>
      <c r="E641" s="15">
        <v>44</v>
      </c>
      <c r="F641" s="16" t="s">
        <v>90</v>
      </c>
      <c r="G641" s="16" t="s">
        <v>281</v>
      </c>
      <c r="H641" s="16" t="s">
        <v>56</v>
      </c>
      <c r="I641" s="16" t="s">
        <v>33</v>
      </c>
      <c r="J641" s="16" t="s">
        <v>34</v>
      </c>
      <c r="K641" s="17" t="s">
        <v>2714</v>
      </c>
      <c r="M641" t="s">
        <v>36</v>
      </c>
      <c r="N641" t="s">
        <v>224</v>
      </c>
      <c r="O641" t="s">
        <v>60</v>
      </c>
      <c r="P641" s="15">
        <v>2</v>
      </c>
      <c r="Q641" s="18">
        <v>139570</v>
      </c>
      <c r="R641" s="19">
        <v>21</v>
      </c>
      <c r="S641" s="14">
        <v>3.6</v>
      </c>
      <c r="T641" s="7">
        <v>84</v>
      </c>
      <c r="U641" s="15">
        <v>0</v>
      </c>
      <c r="V641" s="15">
        <v>24</v>
      </c>
      <c r="W641" s="15">
        <v>33</v>
      </c>
      <c r="X641" t="s">
        <v>39</v>
      </c>
      <c r="Y641" t="s">
        <v>40</v>
      </c>
      <c r="Z641" s="14">
        <v>10.3</v>
      </c>
      <c r="AA641" s="12">
        <f>YEAR(Table1[Hire_Date])</f>
        <v>2016</v>
      </c>
      <c r="AB64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642" spans="1:28" x14ac:dyDescent="0.25">
      <c r="A642" t="s">
        <v>2715</v>
      </c>
      <c r="B642" s="16" t="s">
        <v>2716</v>
      </c>
      <c r="C642" s="16" t="s">
        <v>2717</v>
      </c>
      <c r="D642" t="s">
        <v>44</v>
      </c>
      <c r="E642" s="15">
        <v>40</v>
      </c>
      <c r="F642" s="16" t="s">
        <v>124</v>
      </c>
      <c r="G642" s="16" t="s">
        <v>13</v>
      </c>
      <c r="H642" s="16" t="s">
        <v>66</v>
      </c>
      <c r="I642" s="16" t="s">
        <v>57</v>
      </c>
      <c r="J642" s="16" t="s">
        <v>49</v>
      </c>
      <c r="K642" s="17" t="s">
        <v>2718</v>
      </c>
      <c r="L642" s="17" t="s">
        <v>2719</v>
      </c>
      <c r="M642" t="s">
        <v>76</v>
      </c>
      <c r="N642" t="s">
        <v>106</v>
      </c>
      <c r="O642" t="s">
        <v>38</v>
      </c>
      <c r="P642" s="15">
        <v>21</v>
      </c>
      <c r="Q642" s="18">
        <v>68742</v>
      </c>
      <c r="R642" s="19">
        <v>17</v>
      </c>
      <c r="S642" s="14">
        <v>3.4</v>
      </c>
      <c r="T642" s="7">
        <v>81</v>
      </c>
      <c r="U642" s="15">
        <v>14</v>
      </c>
      <c r="V642" s="15">
        <v>4</v>
      </c>
      <c r="W642" s="15">
        <v>74</v>
      </c>
      <c r="X642" t="s">
        <v>61</v>
      </c>
      <c r="Y642" t="s">
        <v>78</v>
      </c>
      <c r="Z642" s="14">
        <v>8.3000000000000007</v>
      </c>
      <c r="AA642" s="12">
        <f>YEAR(Table1[Hire_Date])</f>
        <v>2018</v>
      </c>
      <c r="AB64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643" spans="1:28" x14ac:dyDescent="0.25">
      <c r="A643" t="s">
        <v>2720</v>
      </c>
      <c r="B643" s="16" t="s">
        <v>2721</v>
      </c>
      <c r="C643" s="16" t="s">
        <v>2722</v>
      </c>
      <c r="D643" t="s">
        <v>44</v>
      </c>
      <c r="E643" s="15">
        <v>46</v>
      </c>
      <c r="F643" s="16" t="s">
        <v>72</v>
      </c>
      <c r="G643" s="16" t="s">
        <v>135</v>
      </c>
      <c r="H643" s="16" t="s">
        <v>56</v>
      </c>
      <c r="I643" s="16" t="s">
        <v>33</v>
      </c>
      <c r="J643" s="16" t="s">
        <v>49</v>
      </c>
      <c r="K643" s="17" t="s">
        <v>2723</v>
      </c>
      <c r="M643" t="s">
        <v>36</v>
      </c>
      <c r="N643" t="s">
        <v>333</v>
      </c>
      <c r="O643" t="s">
        <v>52</v>
      </c>
      <c r="P643" s="15">
        <v>8</v>
      </c>
      <c r="Q643" s="18">
        <v>142859</v>
      </c>
      <c r="R643" s="19">
        <v>9</v>
      </c>
      <c r="S643" s="14">
        <v>2.7</v>
      </c>
      <c r="T643" s="7">
        <v>99</v>
      </c>
      <c r="U643" s="15">
        <v>15</v>
      </c>
      <c r="V643" s="15">
        <v>17</v>
      </c>
      <c r="W643" s="15">
        <v>14</v>
      </c>
      <c r="X643" t="s">
        <v>61</v>
      </c>
      <c r="Y643" t="s">
        <v>40</v>
      </c>
      <c r="Z643" s="14">
        <v>3.2</v>
      </c>
      <c r="AA643" s="12">
        <f>YEAR(Table1[Hire_Date])</f>
        <v>2023</v>
      </c>
      <c r="AB64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644" spans="1:28" x14ac:dyDescent="0.25">
      <c r="A644" t="s">
        <v>2724</v>
      </c>
      <c r="B644" s="16" t="s">
        <v>2725</v>
      </c>
      <c r="C644" s="16" t="s">
        <v>2726</v>
      </c>
      <c r="D644" t="s">
        <v>29</v>
      </c>
      <c r="E644" s="15">
        <v>58</v>
      </c>
      <c r="F644" s="16" t="s">
        <v>90</v>
      </c>
      <c r="G644" s="16" t="s">
        <v>281</v>
      </c>
      <c r="H644" s="16" t="s">
        <v>47</v>
      </c>
      <c r="I644" s="16" t="s">
        <v>33</v>
      </c>
      <c r="J644" s="16" t="s">
        <v>34</v>
      </c>
      <c r="K644" s="17" t="s">
        <v>2727</v>
      </c>
      <c r="M644" t="s">
        <v>36</v>
      </c>
      <c r="N644" t="s">
        <v>309</v>
      </c>
      <c r="O644" t="s">
        <v>60</v>
      </c>
      <c r="P644" s="15">
        <v>11</v>
      </c>
      <c r="Q644" s="18">
        <v>49408</v>
      </c>
      <c r="R644" s="19">
        <v>6</v>
      </c>
      <c r="S644" s="14">
        <v>3</v>
      </c>
      <c r="T644" s="7">
        <v>94</v>
      </c>
      <c r="U644" s="15">
        <v>0</v>
      </c>
      <c r="V644" s="15">
        <v>50</v>
      </c>
      <c r="W644" s="15">
        <v>4</v>
      </c>
      <c r="X644" t="s">
        <v>39</v>
      </c>
      <c r="Y644" t="s">
        <v>40</v>
      </c>
      <c r="Z644" s="14">
        <v>0.2</v>
      </c>
      <c r="AA644" s="12">
        <f>YEAR(Table1[Hire_Date])</f>
        <v>2026</v>
      </c>
      <c r="AB64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645" spans="1:28" x14ac:dyDescent="0.25">
      <c r="A645" t="s">
        <v>2728</v>
      </c>
      <c r="B645" s="16" t="s">
        <v>2729</v>
      </c>
      <c r="C645" s="16" t="s">
        <v>2730</v>
      </c>
      <c r="D645" t="s">
        <v>29</v>
      </c>
      <c r="E645" s="15">
        <v>44</v>
      </c>
      <c r="F645" s="16" t="s">
        <v>72</v>
      </c>
      <c r="G645" s="16" t="s">
        <v>73</v>
      </c>
      <c r="H645" s="16" t="s">
        <v>56</v>
      </c>
      <c r="I645" s="16" t="s">
        <v>33</v>
      </c>
      <c r="J645" s="16" t="s">
        <v>34</v>
      </c>
      <c r="K645" s="17" t="s">
        <v>169</v>
      </c>
      <c r="L645" s="17" t="s">
        <v>2731</v>
      </c>
      <c r="M645" t="s">
        <v>76</v>
      </c>
      <c r="N645" t="s">
        <v>588</v>
      </c>
      <c r="O645" t="s">
        <v>38</v>
      </c>
      <c r="P645" s="15">
        <v>7</v>
      </c>
      <c r="Q645" s="18">
        <v>151555</v>
      </c>
      <c r="R645" s="19">
        <v>11</v>
      </c>
      <c r="S645" s="14">
        <v>3.5</v>
      </c>
      <c r="T645" s="7">
        <v>98</v>
      </c>
      <c r="U645" s="15">
        <v>18</v>
      </c>
      <c r="V645" s="15">
        <v>14</v>
      </c>
      <c r="W645" s="15">
        <v>45</v>
      </c>
      <c r="X645" t="s">
        <v>39</v>
      </c>
      <c r="Y645" t="s">
        <v>40</v>
      </c>
      <c r="Z645" s="14">
        <v>1.8</v>
      </c>
      <c r="AA645" s="12">
        <f>YEAR(Table1[Hire_Date])</f>
        <v>2024</v>
      </c>
      <c r="AB64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646" spans="1:28" x14ac:dyDescent="0.25">
      <c r="A646" t="s">
        <v>2732</v>
      </c>
      <c r="B646" s="16" t="s">
        <v>2733</v>
      </c>
      <c r="C646" s="16" t="s">
        <v>2734</v>
      </c>
      <c r="D646" t="s">
        <v>29</v>
      </c>
      <c r="E646" s="15">
        <v>42</v>
      </c>
      <c r="F646" s="16" t="s">
        <v>72</v>
      </c>
      <c r="G646" s="16" t="s">
        <v>73</v>
      </c>
      <c r="H646" s="16" t="s">
        <v>32</v>
      </c>
      <c r="I646" s="16" t="s">
        <v>57</v>
      </c>
      <c r="J646" s="16" t="s">
        <v>49</v>
      </c>
      <c r="K646" s="17" t="s">
        <v>2735</v>
      </c>
      <c r="M646" t="s">
        <v>36</v>
      </c>
      <c r="N646" t="s">
        <v>295</v>
      </c>
      <c r="O646" t="s">
        <v>60</v>
      </c>
      <c r="P646" s="15">
        <v>4</v>
      </c>
      <c r="Q646" s="18">
        <v>146136</v>
      </c>
      <c r="R646" s="19">
        <v>5</v>
      </c>
      <c r="S646" s="14">
        <v>3.3</v>
      </c>
      <c r="T646" s="7">
        <v>66</v>
      </c>
      <c r="U646" s="15">
        <v>0</v>
      </c>
      <c r="V646" s="15">
        <v>30</v>
      </c>
      <c r="W646" s="15">
        <v>64</v>
      </c>
      <c r="X646" t="s">
        <v>61</v>
      </c>
      <c r="Y646" t="s">
        <v>78</v>
      </c>
      <c r="Z646" s="14">
        <v>7.7</v>
      </c>
      <c r="AA646" s="12">
        <f>YEAR(Table1[Hire_Date])</f>
        <v>2018</v>
      </c>
      <c r="AB64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647" spans="1:28" x14ac:dyDescent="0.25">
      <c r="A647" t="s">
        <v>2736</v>
      </c>
      <c r="B647" s="16" t="s">
        <v>2737</v>
      </c>
      <c r="C647" s="16" t="s">
        <v>2738</v>
      </c>
      <c r="D647" t="s">
        <v>44</v>
      </c>
      <c r="E647" s="15">
        <v>60</v>
      </c>
      <c r="F647" s="16" t="s">
        <v>45</v>
      </c>
      <c r="G647" s="16" t="s">
        <v>82</v>
      </c>
      <c r="H647" s="16" t="s">
        <v>56</v>
      </c>
      <c r="I647" s="16" t="s">
        <v>33</v>
      </c>
      <c r="J647" s="16" t="s">
        <v>49</v>
      </c>
      <c r="K647" s="17" t="s">
        <v>2739</v>
      </c>
      <c r="M647" t="s">
        <v>36</v>
      </c>
      <c r="N647" t="s">
        <v>527</v>
      </c>
      <c r="O647" t="s">
        <v>60</v>
      </c>
      <c r="P647" s="15">
        <v>34</v>
      </c>
      <c r="Q647" s="18">
        <v>126831</v>
      </c>
      <c r="R647" s="19">
        <v>8</v>
      </c>
      <c r="S647" s="14">
        <v>3.9</v>
      </c>
      <c r="T647" s="7">
        <v>90</v>
      </c>
      <c r="U647" s="15">
        <v>8</v>
      </c>
      <c r="V647" s="15">
        <v>8</v>
      </c>
      <c r="W647" s="15">
        <v>24</v>
      </c>
      <c r="X647" t="s">
        <v>39</v>
      </c>
      <c r="Y647" t="s">
        <v>62</v>
      </c>
      <c r="Z647" s="14">
        <v>6.4</v>
      </c>
      <c r="AA647" s="12">
        <f>YEAR(Table1[Hire_Date])</f>
        <v>2020</v>
      </c>
      <c r="AB64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648" spans="1:28" x14ac:dyDescent="0.25">
      <c r="A648" t="s">
        <v>2740</v>
      </c>
      <c r="B648" s="16" t="s">
        <v>2741</v>
      </c>
      <c r="C648" s="16" t="s">
        <v>2742</v>
      </c>
      <c r="D648" t="s">
        <v>29</v>
      </c>
      <c r="E648" s="15">
        <v>21</v>
      </c>
      <c r="F648" s="16" t="s">
        <v>72</v>
      </c>
      <c r="G648" s="16" t="s">
        <v>73</v>
      </c>
      <c r="H648" s="16" t="s">
        <v>66</v>
      </c>
      <c r="I648" s="16" t="s">
        <v>48</v>
      </c>
      <c r="J648" s="16" t="s">
        <v>34</v>
      </c>
      <c r="K648" s="17" t="s">
        <v>2743</v>
      </c>
      <c r="M648" t="s">
        <v>36</v>
      </c>
      <c r="N648" t="s">
        <v>111</v>
      </c>
      <c r="O648" t="s">
        <v>52</v>
      </c>
      <c r="P648" s="15">
        <v>21</v>
      </c>
      <c r="Q648" s="18">
        <v>175468</v>
      </c>
      <c r="R648" s="19">
        <v>19</v>
      </c>
      <c r="S648" s="14">
        <v>2.8</v>
      </c>
      <c r="T648" s="7">
        <v>59</v>
      </c>
      <c r="U648" s="15">
        <v>11</v>
      </c>
      <c r="V648" s="15">
        <v>2</v>
      </c>
      <c r="W648" s="15">
        <v>75</v>
      </c>
      <c r="X648" t="s">
        <v>61</v>
      </c>
      <c r="Y648" t="s">
        <v>40</v>
      </c>
      <c r="Z648" s="14">
        <v>0.2</v>
      </c>
      <c r="AA648" s="12">
        <f>YEAR(Table1[Hire_Date])</f>
        <v>2026</v>
      </c>
      <c r="AB64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649" spans="1:28" x14ac:dyDescent="0.25">
      <c r="A649" t="s">
        <v>2744</v>
      </c>
      <c r="B649" s="16" t="s">
        <v>2745</v>
      </c>
      <c r="C649" s="16" t="s">
        <v>2746</v>
      </c>
      <c r="D649" t="s">
        <v>44</v>
      </c>
      <c r="E649" s="15">
        <v>38</v>
      </c>
      <c r="F649" s="16" t="s">
        <v>45</v>
      </c>
      <c r="G649" s="16" t="s">
        <v>82</v>
      </c>
      <c r="H649" s="16" t="s">
        <v>83</v>
      </c>
      <c r="I649" s="16" t="s">
        <v>33</v>
      </c>
      <c r="J649" s="16" t="s">
        <v>49</v>
      </c>
      <c r="K649" s="17" t="s">
        <v>2747</v>
      </c>
      <c r="M649" t="s">
        <v>36</v>
      </c>
      <c r="N649" t="s">
        <v>214</v>
      </c>
      <c r="O649" t="s">
        <v>52</v>
      </c>
      <c r="P649" s="15">
        <v>26</v>
      </c>
      <c r="Q649" s="18">
        <v>112889</v>
      </c>
      <c r="R649" s="19">
        <v>6</v>
      </c>
      <c r="S649" s="14">
        <v>2.6</v>
      </c>
      <c r="T649" s="7">
        <v>55</v>
      </c>
      <c r="U649" s="15">
        <v>14</v>
      </c>
      <c r="V649" s="15">
        <v>43</v>
      </c>
      <c r="W649" s="15">
        <v>0</v>
      </c>
      <c r="X649" t="s">
        <v>39</v>
      </c>
      <c r="Y649" t="s">
        <v>62</v>
      </c>
      <c r="Z649" s="14">
        <v>10.3</v>
      </c>
      <c r="AA649" s="12">
        <f>YEAR(Table1[Hire_Date])</f>
        <v>2016</v>
      </c>
      <c r="AB64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650" spans="1:28" x14ac:dyDescent="0.25">
      <c r="A650" t="s">
        <v>2748</v>
      </c>
      <c r="B650" s="16" t="s">
        <v>2749</v>
      </c>
      <c r="C650" s="16" t="s">
        <v>2750</v>
      </c>
      <c r="D650" t="s">
        <v>44</v>
      </c>
      <c r="E650" s="15">
        <v>34</v>
      </c>
      <c r="F650" s="16" t="s">
        <v>30</v>
      </c>
      <c r="G650" s="16" t="s">
        <v>31</v>
      </c>
      <c r="H650" s="16" t="s">
        <v>66</v>
      </c>
      <c r="I650" s="16" t="s">
        <v>57</v>
      </c>
      <c r="J650" s="16" t="s">
        <v>34</v>
      </c>
      <c r="K650" s="17" t="s">
        <v>1645</v>
      </c>
      <c r="M650" t="s">
        <v>36</v>
      </c>
      <c r="N650" t="s">
        <v>59</v>
      </c>
      <c r="O650" t="s">
        <v>52</v>
      </c>
      <c r="P650" s="15">
        <v>33</v>
      </c>
      <c r="Q650" s="18">
        <v>45602</v>
      </c>
      <c r="R650" s="19">
        <v>14</v>
      </c>
      <c r="S650" s="14">
        <v>4.3</v>
      </c>
      <c r="T650" s="7">
        <v>75</v>
      </c>
      <c r="U650" s="15">
        <v>3</v>
      </c>
      <c r="V650" s="15">
        <v>23</v>
      </c>
      <c r="W650" s="15">
        <v>78</v>
      </c>
      <c r="X650" t="s">
        <v>39</v>
      </c>
      <c r="Y650" t="s">
        <v>62</v>
      </c>
      <c r="Z650" s="14">
        <v>2.9</v>
      </c>
      <c r="AA650" s="12">
        <f>YEAR(Table1[Hire_Date])</f>
        <v>2023</v>
      </c>
      <c r="AB65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651" spans="1:28" x14ac:dyDescent="0.25">
      <c r="A651" t="s">
        <v>2751</v>
      </c>
      <c r="B651" s="16" t="s">
        <v>2752</v>
      </c>
      <c r="C651" s="16" t="s">
        <v>2753</v>
      </c>
      <c r="D651" t="s">
        <v>44</v>
      </c>
      <c r="E651" s="15">
        <v>45</v>
      </c>
      <c r="F651" s="16" t="s">
        <v>45</v>
      </c>
      <c r="G651" s="16" t="s">
        <v>46</v>
      </c>
      <c r="H651" s="16" t="s">
        <v>47</v>
      </c>
      <c r="I651" s="16" t="s">
        <v>33</v>
      </c>
      <c r="J651" s="16" t="s">
        <v>34</v>
      </c>
      <c r="K651" s="17" t="s">
        <v>2108</v>
      </c>
      <c r="M651" t="s">
        <v>36</v>
      </c>
      <c r="N651" t="s">
        <v>111</v>
      </c>
      <c r="O651" t="s">
        <v>52</v>
      </c>
      <c r="P651" s="15">
        <v>10</v>
      </c>
      <c r="Q651" s="18">
        <v>64165</v>
      </c>
      <c r="R651" s="19">
        <v>22</v>
      </c>
      <c r="S651" s="14">
        <v>4.8</v>
      </c>
      <c r="T651" s="7">
        <v>54</v>
      </c>
      <c r="U651" s="15">
        <v>4</v>
      </c>
      <c r="V651" s="15">
        <v>24</v>
      </c>
      <c r="W651" s="15">
        <v>36</v>
      </c>
      <c r="X651" t="s">
        <v>39</v>
      </c>
      <c r="Y651" t="s">
        <v>78</v>
      </c>
      <c r="Z651" s="14">
        <v>6.5</v>
      </c>
      <c r="AA651" s="12">
        <f>YEAR(Table1[Hire_Date])</f>
        <v>2020</v>
      </c>
      <c r="AB65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652" spans="1:28" x14ac:dyDescent="0.25">
      <c r="A652" t="s">
        <v>2754</v>
      </c>
      <c r="B652" s="16" t="s">
        <v>2755</v>
      </c>
      <c r="C652" s="16" t="s">
        <v>2756</v>
      </c>
      <c r="D652" t="s">
        <v>44</v>
      </c>
      <c r="E652" s="15">
        <v>52</v>
      </c>
      <c r="F652" s="16" t="s">
        <v>45</v>
      </c>
      <c r="G652" s="16" t="s">
        <v>82</v>
      </c>
      <c r="H652" s="16" t="s">
        <v>56</v>
      </c>
      <c r="I652" s="16" t="s">
        <v>57</v>
      </c>
      <c r="J652" s="16" t="s">
        <v>49</v>
      </c>
      <c r="K652" s="17" t="s">
        <v>2757</v>
      </c>
      <c r="M652" t="s">
        <v>36</v>
      </c>
      <c r="N652" t="s">
        <v>155</v>
      </c>
      <c r="O652" t="s">
        <v>60</v>
      </c>
      <c r="P652" s="15">
        <v>33</v>
      </c>
      <c r="Q652" s="18">
        <v>90681</v>
      </c>
      <c r="R652" s="19">
        <v>23</v>
      </c>
      <c r="S652" s="14">
        <v>3.9</v>
      </c>
      <c r="T652" s="7">
        <v>95</v>
      </c>
      <c r="U652" s="15">
        <v>1</v>
      </c>
      <c r="V652" s="15">
        <v>2</v>
      </c>
      <c r="W652" s="15">
        <v>68</v>
      </c>
      <c r="X652" t="s">
        <v>39</v>
      </c>
      <c r="Y652" t="s">
        <v>40</v>
      </c>
      <c r="Z652" s="14">
        <v>8.5</v>
      </c>
      <c r="AA652" s="12">
        <f>YEAR(Table1[Hire_Date])</f>
        <v>2018</v>
      </c>
      <c r="AB65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653" spans="1:28" x14ac:dyDescent="0.25">
      <c r="A653" t="s">
        <v>2758</v>
      </c>
      <c r="B653" s="16" t="s">
        <v>2759</v>
      </c>
      <c r="C653" s="16" t="s">
        <v>2760</v>
      </c>
      <c r="D653" t="s">
        <v>44</v>
      </c>
      <c r="E653" s="15">
        <v>22</v>
      </c>
      <c r="F653" s="16" t="s">
        <v>30</v>
      </c>
      <c r="G653" s="16" t="s">
        <v>31</v>
      </c>
      <c r="H653" s="16" t="s">
        <v>56</v>
      </c>
      <c r="I653" s="16" t="s">
        <v>33</v>
      </c>
      <c r="J653" s="16" t="s">
        <v>34</v>
      </c>
      <c r="K653" s="17" t="s">
        <v>2761</v>
      </c>
      <c r="M653" t="s">
        <v>36</v>
      </c>
      <c r="N653" t="s">
        <v>258</v>
      </c>
      <c r="O653" t="s">
        <v>52</v>
      </c>
      <c r="P653" s="15">
        <v>29</v>
      </c>
      <c r="Q653" s="18">
        <v>129943</v>
      </c>
      <c r="R653" s="19">
        <v>12</v>
      </c>
      <c r="S653" s="14">
        <v>3</v>
      </c>
      <c r="T653" s="7">
        <v>66</v>
      </c>
      <c r="U653" s="15">
        <v>2</v>
      </c>
      <c r="V653" s="15">
        <v>39</v>
      </c>
      <c r="W653" s="15">
        <v>45</v>
      </c>
      <c r="X653" t="s">
        <v>61</v>
      </c>
      <c r="Y653" t="s">
        <v>78</v>
      </c>
      <c r="Z653" s="14">
        <v>5.7</v>
      </c>
      <c r="AA653" s="12">
        <f>YEAR(Table1[Hire_Date])</f>
        <v>2020</v>
      </c>
      <c r="AB65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654" spans="1:28" x14ac:dyDescent="0.25">
      <c r="A654" t="s">
        <v>2762</v>
      </c>
      <c r="B654" s="16" t="s">
        <v>2763</v>
      </c>
      <c r="C654" s="16" t="s">
        <v>2764</v>
      </c>
      <c r="D654" t="s">
        <v>44</v>
      </c>
      <c r="E654" s="15">
        <v>33</v>
      </c>
      <c r="F654" s="16" t="s">
        <v>90</v>
      </c>
      <c r="G654" s="16" t="s">
        <v>281</v>
      </c>
      <c r="H654" s="16" t="s">
        <v>83</v>
      </c>
      <c r="I654" s="16" t="s">
        <v>57</v>
      </c>
      <c r="J654" s="16" t="s">
        <v>34</v>
      </c>
      <c r="K654" s="17" t="s">
        <v>2765</v>
      </c>
      <c r="M654" t="s">
        <v>36</v>
      </c>
      <c r="N654" t="s">
        <v>659</v>
      </c>
      <c r="O654" t="s">
        <v>60</v>
      </c>
      <c r="P654" s="15">
        <v>25</v>
      </c>
      <c r="Q654" s="18">
        <v>141304</v>
      </c>
      <c r="R654" s="19">
        <v>18</v>
      </c>
      <c r="S654" s="14">
        <v>3</v>
      </c>
      <c r="T654" s="7">
        <v>87</v>
      </c>
      <c r="U654" s="15">
        <v>18</v>
      </c>
      <c r="V654" s="15">
        <v>45</v>
      </c>
      <c r="W654" s="15">
        <v>32</v>
      </c>
      <c r="X654" t="s">
        <v>39</v>
      </c>
      <c r="Y654" t="s">
        <v>62</v>
      </c>
      <c r="Z654" s="14">
        <v>10</v>
      </c>
      <c r="AA654" s="12">
        <f>YEAR(Table1[Hire_Date])</f>
        <v>2016</v>
      </c>
      <c r="AB65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655" spans="1:28" x14ac:dyDescent="0.25">
      <c r="A655" t="s">
        <v>2766</v>
      </c>
      <c r="B655" s="16" t="s">
        <v>2767</v>
      </c>
      <c r="C655" s="16" t="s">
        <v>2768</v>
      </c>
      <c r="D655" t="s">
        <v>29</v>
      </c>
      <c r="E655" s="15">
        <v>27</v>
      </c>
      <c r="F655" s="16" t="s">
        <v>103</v>
      </c>
      <c r="G655" s="16" t="s">
        <v>13</v>
      </c>
      <c r="H655" s="16" t="s">
        <v>83</v>
      </c>
      <c r="I655" s="16" t="s">
        <v>33</v>
      </c>
      <c r="J655" s="16" t="s">
        <v>34</v>
      </c>
      <c r="K655" s="17" t="s">
        <v>2714</v>
      </c>
      <c r="M655" t="s">
        <v>36</v>
      </c>
      <c r="N655" t="s">
        <v>149</v>
      </c>
      <c r="O655" t="s">
        <v>52</v>
      </c>
      <c r="P655" s="15">
        <v>17</v>
      </c>
      <c r="Q655" s="18">
        <v>178671</v>
      </c>
      <c r="R655" s="19">
        <v>11</v>
      </c>
      <c r="S655" s="14">
        <v>2.9</v>
      </c>
      <c r="T655" s="7">
        <v>55</v>
      </c>
      <c r="U655" s="15">
        <v>6</v>
      </c>
      <c r="V655" s="15">
        <v>35</v>
      </c>
      <c r="W655" s="15">
        <v>66</v>
      </c>
      <c r="X655" t="s">
        <v>61</v>
      </c>
      <c r="Y655" t="s">
        <v>78</v>
      </c>
      <c r="Z655" s="14">
        <v>10.3</v>
      </c>
      <c r="AA655" s="12">
        <f>YEAR(Table1[Hire_Date])</f>
        <v>2016</v>
      </c>
      <c r="AB65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656" spans="1:28" x14ac:dyDescent="0.25">
      <c r="A656" t="s">
        <v>2769</v>
      </c>
      <c r="B656" s="16" t="s">
        <v>2770</v>
      </c>
      <c r="C656" s="16" t="s">
        <v>2771</v>
      </c>
      <c r="D656" t="s">
        <v>29</v>
      </c>
      <c r="E656" s="15">
        <v>38</v>
      </c>
      <c r="F656" s="16" t="s">
        <v>45</v>
      </c>
      <c r="G656" s="16" t="s">
        <v>46</v>
      </c>
      <c r="H656" s="16" t="s">
        <v>47</v>
      </c>
      <c r="I656" s="16" t="s">
        <v>33</v>
      </c>
      <c r="J656" s="16" t="s">
        <v>49</v>
      </c>
      <c r="K656" s="17" t="s">
        <v>2772</v>
      </c>
      <c r="M656" t="s">
        <v>36</v>
      </c>
      <c r="N656" t="s">
        <v>59</v>
      </c>
      <c r="O656" t="s">
        <v>52</v>
      </c>
      <c r="P656" s="15">
        <v>10</v>
      </c>
      <c r="Q656" s="18">
        <v>148055</v>
      </c>
      <c r="R656" s="19">
        <v>13</v>
      </c>
      <c r="S656" s="14">
        <v>3.2</v>
      </c>
      <c r="T656" s="7">
        <v>98</v>
      </c>
      <c r="U656" s="15">
        <v>6</v>
      </c>
      <c r="V656" s="15">
        <v>4</v>
      </c>
      <c r="W656" s="15">
        <v>68</v>
      </c>
      <c r="X656" t="s">
        <v>39</v>
      </c>
      <c r="Y656" t="s">
        <v>78</v>
      </c>
      <c r="Z656" s="14">
        <v>8.1999999999999993</v>
      </c>
      <c r="AA656" s="12">
        <f>YEAR(Table1[Hire_Date])</f>
        <v>2018</v>
      </c>
      <c r="AB65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657" spans="1:28" x14ac:dyDescent="0.25">
      <c r="A657" t="s">
        <v>2773</v>
      </c>
      <c r="B657" s="16" t="s">
        <v>2774</v>
      </c>
      <c r="C657" s="16" t="s">
        <v>2775</v>
      </c>
      <c r="D657" t="s">
        <v>44</v>
      </c>
      <c r="E657" s="15">
        <v>58</v>
      </c>
      <c r="F657" s="16" t="s">
        <v>72</v>
      </c>
      <c r="G657" s="16" t="s">
        <v>97</v>
      </c>
      <c r="H657" s="16" t="s">
        <v>83</v>
      </c>
      <c r="I657" s="16" t="s">
        <v>48</v>
      </c>
      <c r="J657" s="16" t="s">
        <v>34</v>
      </c>
      <c r="K657" s="17" t="s">
        <v>2776</v>
      </c>
      <c r="M657" t="s">
        <v>36</v>
      </c>
      <c r="N657" t="s">
        <v>111</v>
      </c>
      <c r="O657" t="s">
        <v>38</v>
      </c>
      <c r="P657" s="15">
        <v>18</v>
      </c>
      <c r="Q657" s="18">
        <v>125265</v>
      </c>
      <c r="R657" s="19">
        <v>5</v>
      </c>
      <c r="S657" s="14">
        <v>4.5999999999999996</v>
      </c>
      <c r="T657" s="7">
        <v>70</v>
      </c>
      <c r="U657" s="15">
        <v>9</v>
      </c>
      <c r="V657" s="15">
        <v>13</v>
      </c>
      <c r="W657" s="15">
        <v>16</v>
      </c>
      <c r="X657" t="s">
        <v>61</v>
      </c>
      <c r="Y657" t="s">
        <v>78</v>
      </c>
      <c r="Z657" s="14">
        <v>10.6</v>
      </c>
      <c r="AA657" s="12">
        <f>YEAR(Table1[Hire_Date])</f>
        <v>2016</v>
      </c>
      <c r="AB65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658" spans="1:28" x14ac:dyDescent="0.25">
      <c r="A658" t="s">
        <v>2777</v>
      </c>
      <c r="B658" s="16" t="s">
        <v>2778</v>
      </c>
      <c r="C658" s="16" t="s">
        <v>2779</v>
      </c>
      <c r="D658" t="s">
        <v>29</v>
      </c>
      <c r="E658" s="15">
        <v>41</v>
      </c>
      <c r="F658" s="16" t="s">
        <v>45</v>
      </c>
      <c r="G658" s="16" t="s">
        <v>46</v>
      </c>
      <c r="H658" s="16" t="s">
        <v>66</v>
      </c>
      <c r="I658" s="16" t="s">
        <v>33</v>
      </c>
      <c r="J658" s="16" t="s">
        <v>49</v>
      </c>
      <c r="K658" s="17" t="s">
        <v>2780</v>
      </c>
      <c r="M658" t="s">
        <v>36</v>
      </c>
      <c r="N658" t="s">
        <v>204</v>
      </c>
      <c r="O658" t="s">
        <v>38</v>
      </c>
      <c r="P658" s="15">
        <v>6</v>
      </c>
      <c r="Q658" s="18">
        <v>55747</v>
      </c>
      <c r="R658" s="19">
        <v>12</v>
      </c>
      <c r="S658" s="14">
        <v>4.8</v>
      </c>
      <c r="T658" s="7">
        <v>70</v>
      </c>
      <c r="U658" s="15">
        <v>15</v>
      </c>
      <c r="V658" s="15">
        <v>37</v>
      </c>
      <c r="W658" s="15">
        <v>22</v>
      </c>
      <c r="X658" t="s">
        <v>39</v>
      </c>
      <c r="Y658" t="s">
        <v>62</v>
      </c>
      <c r="Z658" s="14">
        <v>4.3</v>
      </c>
      <c r="AA658" s="12">
        <f>YEAR(Table1[Hire_Date])</f>
        <v>2022</v>
      </c>
      <c r="AB65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659" spans="1:28" x14ac:dyDescent="0.25">
      <c r="A659" t="s">
        <v>2781</v>
      </c>
      <c r="B659" s="16" t="s">
        <v>2782</v>
      </c>
      <c r="C659" s="16" t="s">
        <v>2783</v>
      </c>
      <c r="D659" t="s">
        <v>29</v>
      </c>
      <c r="E659" s="15">
        <v>39</v>
      </c>
      <c r="F659" s="16" t="s">
        <v>103</v>
      </c>
      <c r="G659" s="16" t="s">
        <v>104</v>
      </c>
      <c r="H659" s="16" t="s">
        <v>56</v>
      </c>
      <c r="I659" s="16" t="s">
        <v>33</v>
      </c>
      <c r="J659" s="16" t="s">
        <v>49</v>
      </c>
      <c r="K659" s="17" t="s">
        <v>2784</v>
      </c>
      <c r="M659" t="s">
        <v>36</v>
      </c>
      <c r="N659" t="s">
        <v>631</v>
      </c>
      <c r="O659" t="s">
        <v>52</v>
      </c>
      <c r="P659" s="15">
        <v>35</v>
      </c>
      <c r="Q659" s="18">
        <v>79695</v>
      </c>
      <c r="R659" s="19">
        <v>7</v>
      </c>
      <c r="S659" s="14">
        <v>3.1</v>
      </c>
      <c r="T659" s="7">
        <v>87</v>
      </c>
      <c r="U659" s="15">
        <v>20</v>
      </c>
      <c r="V659" s="15">
        <v>7</v>
      </c>
      <c r="W659" s="15">
        <v>60</v>
      </c>
      <c r="X659" t="s">
        <v>61</v>
      </c>
      <c r="Y659" t="s">
        <v>40</v>
      </c>
      <c r="Z659" s="14">
        <v>2.9</v>
      </c>
      <c r="AA659" s="12">
        <f>YEAR(Table1[Hire_Date])</f>
        <v>2023</v>
      </c>
      <c r="AB65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660" spans="1:28" x14ac:dyDescent="0.25">
      <c r="A660" t="s">
        <v>2785</v>
      </c>
      <c r="B660" s="16" t="s">
        <v>2786</v>
      </c>
      <c r="C660" s="16" t="s">
        <v>2787</v>
      </c>
      <c r="D660" t="s">
        <v>29</v>
      </c>
      <c r="E660" s="15">
        <v>45</v>
      </c>
      <c r="F660" s="16" t="s">
        <v>90</v>
      </c>
      <c r="G660" s="16" t="s">
        <v>13</v>
      </c>
      <c r="H660" s="16" t="s">
        <v>83</v>
      </c>
      <c r="I660" s="16" t="s">
        <v>48</v>
      </c>
      <c r="J660" s="16" t="s">
        <v>34</v>
      </c>
      <c r="K660" s="17" t="s">
        <v>2788</v>
      </c>
      <c r="M660" t="s">
        <v>36</v>
      </c>
      <c r="N660" t="s">
        <v>1297</v>
      </c>
      <c r="O660" t="s">
        <v>60</v>
      </c>
      <c r="P660" s="15">
        <v>27</v>
      </c>
      <c r="Q660" s="18">
        <v>118280</v>
      </c>
      <c r="R660" s="19">
        <v>17</v>
      </c>
      <c r="S660" s="14">
        <v>3.1</v>
      </c>
      <c r="T660" s="7">
        <v>72</v>
      </c>
      <c r="U660" s="15">
        <v>4</v>
      </c>
      <c r="V660" s="15">
        <v>25</v>
      </c>
      <c r="W660" s="15">
        <v>62</v>
      </c>
      <c r="X660" t="s">
        <v>39</v>
      </c>
      <c r="Y660" t="s">
        <v>40</v>
      </c>
      <c r="Z660" s="14">
        <v>1.6</v>
      </c>
      <c r="AA660" s="12">
        <f>YEAR(Table1[Hire_Date])</f>
        <v>2024</v>
      </c>
      <c r="AB66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661" spans="1:28" x14ac:dyDescent="0.25">
      <c r="A661" t="s">
        <v>2789</v>
      </c>
      <c r="B661" s="16" t="s">
        <v>2790</v>
      </c>
      <c r="C661" s="16" t="s">
        <v>2791</v>
      </c>
      <c r="D661" t="s">
        <v>44</v>
      </c>
      <c r="E661" s="15">
        <v>44</v>
      </c>
      <c r="F661" s="16" t="s">
        <v>30</v>
      </c>
      <c r="G661" s="16" t="s">
        <v>13</v>
      </c>
      <c r="H661" s="16" t="s">
        <v>83</v>
      </c>
      <c r="I661" s="16" t="s">
        <v>57</v>
      </c>
      <c r="J661" s="16" t="s">
        <v>34</v>
      </c>
      <c r="K661" s="17" t="s">
        <v>2792</v>
      </c>
      <c r="M661" t="s">
        <v>36</v>
      </c>
      <c r="N661" t="s">
        <v>219</v>
      </c>
      <c r="O661" t="s">
        <v>52</v>
      </c>
      <c r="P661" s="15">
        <v>8</v>
      </c>
      <c r="Q661" s="18">
        <v>178047</v>
      </c>
      <c r="R661" s="19">
        <v>12</v>
      </c>
      <c r="S661" s="14">
        <v>2.5</v>
      </c>
      <c r="T661" s="7">
        <v>74</v>
      </c>
      <c r="U661" s="15">
        <v>5</v>
      </c>
      <c r="V661" s="15">
        <v>28</v>
      </c>
      <c r="W661" s="15">
        <v>68</v>
      </c>
      <c r="X661" t="s">
        <v>61</v>
      </c>
      <c r="Y661" t="s">
        <v>78</v>
      </c>
      <c r="Z661" s="14">
        <v>4.5999999999999996</v>
      </c>
      <c r="AA661" s="12">
        <f>YEAR(Table1[Hire_Date])</f>
        <v>2021</v>
      </c>
      <c r="AB66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662" spans="1:28" x14ac:dyDescent="0.25">
      <c r="A662" t="s">
        <v>2793</v>
      </c>
      <c r="B662" s="16" t="s">
        <v>2794</v>
      </c>
      <c r="C662" s="16" t="s">
        <v>2795</v>
      </c>
      <c r="D662" t="s">
        <v>29</v>
      </c>
      <c r="E662" s="15">
        <v>58</v>
      </c>
      <c r="F662" s="16" t="s">
        <v>90</v>
      </c>
      <c r="G662" s="16" t="s">
        <v>13</v>
      </c>
      <c r="H662" s="16" t="s">
        <v>66</v>
      </c>
      <c r="I662" s="16" t="s">
        <v>33</v>
      </c>
      <c r="J662" s="16" t="s">
        <v>34</v>
      </c>
      <c r="K662" s="17" t="s">
        <v>1585</v>
      </c>
      <c r="L662" s="17" t="s">
        <v>2796</v>
      </c>
      <c r="M662" t="s">
        <v>76</v>
      </c>
      <c r="N662" t="s">
        <v>143</v>
      </c>
      <c r="O662" t="s">
        <v>38</v>
      </c>
      <c r="P662" s="15">
        <v>35</v>
      </c>
      <c r="Q662" s="18">
        <v>160739</v>
      </c>
      <c r="R662" s="19">
        <v>14</v>
      </c>
      <c r="S662" s="14">
        <v>4.3</v>
      </c>
      <c r="T662" s="7">
        <v>63</v>
      </c>
      <c r="U662" s="15">
        <v>20</v>
      </c>
      <c r="V662" s="15">
        <v>30</v>
      </c>
      <c r="W662" s="15">
        <v>61</v>
      </c>
      <c r="X662" t="s">
        <v>39</v>
      </c>
      <c r="Y662" t="s">
        <v>40</v>
      </c>
      <c r="Z662" s="14">
        <v>4.4000000000000004</v>
      </c>
      <c r="AA662" s="12">
        <f>YEAR(Table1[Hire_Date])</f>
        <v>2022</v>
      </c>
      <c r="AB66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663" spans="1:28" x14ac:dyDescent="0.25">
      <c r="A663" t="s">
        <v>2797</v>
      </c>
      <c r="B663" s="16" t="s">
        <v>2798</v>
      </c>
      <c r="C663" s="16" t="s">
        <v>2799</v>
      </c>
      <c r="D663" t="s">
        <v>29</v>
      </c>
      <c r="E663" s="15">
        <v>32</v>
      </c>
      <c r="F663" s="16" t="s">
        <v>30</v>
      </c>
      <c r="G663" s="16" t="s">
        <v>13</v>
      </c>
      <c r="H663" s="16" t="s">
        <v>56</v>
      </c>
      <c r="I663" s="16" t="s">
        <v>33</v>
      </c>
      <c r="J663" s="16" t="s">
        <v>49</v>
      </c>
      <c r="K663" s="17" t="s">
        <v>2800</v>
      </c>
      <c r="M663" t="s">
        <v>36</v>
      </c>
      <c r="N663" t="s">
        <v>323</v>
      </c>
      <c r="O663" t="s">
        <v>52</v>
      </c>
      <c r="P663" s="15">
        <v>4</v>
      </c>
      <c r="Q663" s="18">
        <v>132615</v>
      </c>
      <c r="R663" s="19">
        <v>20</v>
      </c>
      <c r="S663" s="14">
        <v>3.6</v>
      </c>
      <c r="T663" s="7">
        <v>93</v>
      </c>
      <c r="U663" s="15">
        <v>1</v>
      </c>
      <c r="V663" s="15">
        <v>9</v>
      </c>
      <c r="W663" s="15">
        <v>40</v>
      </c>
      <c r="X663" t="s">
        <v>39</v>
      </c>
      <c r="Y663" t="s">
        <v>78</v>
      </c>
      <c r="Z663" s="14">
        <v>9</v>
      </c>
      <c r="AA663" s="12">
        <f>YEAR(Table1[Hire_Date])</f>
        <v>2017</v>
      </c>
      <c r="AB66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664" spans="1:28" x14ac:dyDescent="0.25">
      <c r="A664" t="s">
        <v>2801</v>
      </c>
      <c r="B664" s="16" t="s">
        <v>2802</v>
      </c>
      <c r="C664" s="16" t="s">
        <v>2803</v>
      </c>
      <c r="D664" t="s">
        <v>29</v>
      </c>
      <c r="E664" s="15">
        <v>34</v>
      </c>
      <c r="F664" s="16" t="s">
        <v>103</v>
      </c>
      <c r="G664" s="16" t="s">
        <v>147</v>
      </c>
      <c r="H664" s="16" t="s">
        <v>66</v>
      </c>
      <c r="I664" s="16" t="s">
        <v>33</v>
      </c>
      <c r="J664" s="16" t="s">
        <v>34</v>
      </c>
      <c r="K664" s="17" t="s">
        <v>2804</v>
      </c>
      <c r="M664" t="s">
        <v>36</v>
      </c>
      <c r="N664" t="s">
        <v>253</v>
      </c>
      <c r="O664" t="s">
        <v>38</v>
      </c>
      <c r="P664" s="15">
        <v>19</v>
      </c>
      <c r="Q664" s="18">
        <v>100429</v>
      </c>
      <c r="R664" s="19">
        <v>24</v>
      </c>
      <c r="S664" s="14">
        <v>2.7</v>
      </c>
      <c r="T664" s="7">
        <v>78</v>
      </c>
      <c r="U664" s="15">
        <v>14</v>
      </c>
      <c r="V664" s="15">
        <v>42</v>
      </c>
      <c r="W664" s="15">
        <v>39</v>
      </c>
      <c r="X664" t="s">
        <v>39</v>
      </c>
      <c r="Y664" t="s">
        <v>78</v>
      </c>
      <c r="Z664" s="14">
        <v>5.2</v>
      </c>
      <c r="AA664" s="12">
        <f>YEAR(Table1[Hire_Date])</f>
        <v>2021</v>
      </c>
      <c r="AB66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665" spans="1:28" x14ac:dyDescent="0.25">
      <c r="A665" t="s">
        <v>2805</v>
      </c>
      <c r="B665" s="16" t="s">
        <v>2806</v>
      </c>
      <c r="C665" s="16" t="s">
        <v>2807</v>
      </c>
      <c r="D665" t="s">
        <v>44</v>
      </c>
      <c r="E665" s="15">
        <v>21</v>
      </c>
      <c r="F665" s="16" t="s">
        <v>124</v>
      </c>
      <c r="G665" s="16" t="s">
        <v>141</v>
      </c>
      <c r="H665" s="16" t="s">
        <v>66</v>
      </c>
      <c r="I665" s="16" t="s">
        <v>57</v>
      </c>
      <c r="J665" s="16" t="s">
        <v>49</v>
      </c>
      <c r="K665" s="17" t="s">
        <v>2808</v>
      </c>
      <c r="M665" t="s">
        <v>36</v>
      </c>
      <c r="N665" t="s">
        <v>419</v>
      </c>
      <c r="O665" t="s">
        <v>60</v>
      </c>
      <c r="P665" s="15">
        <v>15</v>
      </c>
      <c r="Q665" s="18">
        <v>169320</v>
      </c>
      <c r="R665" s="19">
        <v>18</v>
      </c>
      <c r="S665" s="14">
        <v>4.9000000000000004</v>
      </c>
      <c r="T665" s="7">
        <v>97</v>
      </c>
      <c r="U665" s="15">
        <v>8</v>
      </c>
      <c r="V665" s="15">
        <v>21</v>
      </c>
      <c r="W665" s="15">
        <v>61</v>
      </c>
      <c r="X665" t="s">
        <v>61</v>
      </c>
      <c r="Y665" t="s">
        <v>62</v>
      </c>
      <c r="Z665" s="14">
        <v>9.6999999999999993</v>
      </c>
      <c r="AA665" s="12">
        <f>YEAR(Table1[Hire_Date])</f>
        <v>2016</v>
      </c>
      <c r="AB66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666" spans="1:28" x14ac:dyDescent="0.25">
      <c r="A666" t="s">
        <v>2809</v>
      </c>
      <c r="B666" s="16" t="s">
        <v>2810</v>
      </c>
      <c r="C666" s="16" t="s">
        <v>2811</v>
      </c>
      <c r="D666" t="s">
        <v>44</v>
      </c>
      <c r="E666" s="15">
        <v>26</v>
      </c>
      <c r="F666" s="16" t="s">
        <v>103</v>
      </c>
      <c r="G666" s="16" t="s">
        <v>147</v>
      </c>
      <c r="H666" s="16" t="s">
        <v>83</v>
      </c>
      <c r="I666" s="16" t="s">
        <v>57</v>
      </c>
      <c r="J666" s="16" t="s">
        <v>34</v>
      </c>
      <c r="K666" s="17" t="s">
        <v>2812</v>
      </c>
      <c r="M666" t="s">
        <v>36</v>
      </c>
      <c r="N666" t="s">
        <v>59</v>
      </c>
      <c r="O666" t="s">
        <v>38</v>
      </c>
      <c r="P666" s="15">
        <v>23</v>
      </c>
      <c r="Q666" s="18">
        <v>148866</v>
      </c>
      <c r="R666" s="19">
        <v>21</v>
      </c>
      <c r="S666" s="14">
        <v>4.3</v>
      </c>
      <c r="T666" s="7">
        <v>86</v>
      </c>
      <c r="U666" s="15">
        <v>10</v>
      </c>
      <c r="V666" s="15">
        <v>47</v>
      </c>
      <c r="W666" s="15">
        <v>73</v>
      </c>
      <c r="X666" t="s">
        <v>39</v>
      </c>
      <c r="Y666" t="s">
        <v>62</v>
      </c>
      <c r="Z666" s="14">
        <v>3.4</v>
      </c>
      <c r="AA666" s="12">
        <f>YEAR(Table1[Hire_Date])</f>
        <v>2023</v>
      </c>
      <c r="AB66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667" spans="1:28" x14ac:dyDescent="0.25">
      <c r="A667" t="s">
        <v>2813</v>
      </c>
      <c r="B667" s="16" t="s">
        <v>2814</v>
      </c>
      <c r="C667" s="16" t="s">
        <v>2815</v>
      </c>
      <c r="D667" t="s">
        <v>44</v>
      </c>
      <c r="E667" s="15">
        <v>23</v>
      </c>
      <c r="F667" s="16" t="s">
        <v>45</v>
      </c>
      <c r="G667" s="16" t="s">
        <v>82</v>
      </c>
      <c r="H667" s="16" t="s">
        <v>56</v>
      </c>
      <c r="I667" s="16" t="s">
        <v>57</v>
      </c>
      <c r="J667" s="16" t="s">
        <v>49</v>
      </c>
      <c r="K667" s="17" t="s">
        <v>2816</v>
      </c>
      <c r="M667" t="s">
        <v>36</v>
      </c>
      <c r="N667" t="s">
        <v>419</v>
      </c>
      <c r="O667" t="s">
        <v>38</v>
      </c>
      <c r="P667" s="15">
        <v>17</v>
      </c>
      <c r="Q667" s="18">
        <v>106180</v>
      </c>
      <c r="R667" s="19">
        <v>21</v>
      </c>
      <c r="S667" s="14">
        <v>4.4000000000000004</v>
      </c>
      <c r="T667" s="7">
        <v>73</v>
      </c>
      <c r="U667" s="15">
        <v>8</v>
      </c>
      <c r="V667" s="15">
        <v>42</v>
      </c>
      <c r="W667" s="15">
        <v>61</v>
      </c>
      <c r="X667" t="s">
        <v>61</v>
      </c>
      <c r="Y667" t="s">
        <v>40</v>
      </c>
      <c r="Z667" s="14">
        <v>1.4</v>
      </c>
      <c r="AA667" s="12">
        <f>YEAR(Table1[Hire_Date])</f>
        <v>2025</v>
      </c>
      <c r="AB66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668" spans="1:28" x14ac:dyDescent="0.25">
      <c r="A668" t="s">
        <v>2817</v>
      </c>
      <c r="B668" s="16" t="s">
        <v>2818</v>
      </c>
      <c r="C668" s="16" t="s">
        <v>2819</v>
      </c>
      <c r="D668" t="s">
        <v>44</v>
      </c>
      <c r="E668" s="15">
        <v>26</v>
      </c>
      <c r="F668" s="16" t="s">
        <v>124</v>
      </c>
      <c r="G668" s="16" t="s">
        <v>104</v>
      </c>
      <c r="H668" s="16" t="s">
        <v>66</v>
      </c>
      <c r="I668" s="16" t="s">
        <v>57</v>
      </c>
      <c r="J668" s="16" t="s">
        <v>49</v>
      </c>
      <c r="K668" s="17" t="s">
        <v>2820</v>
      </c>
      <c r="M668" t="s">
        <v>36</v>
      </c>
      <c r="N668" t="s">
        <v>605</v>
      </c>
      <c r="O668" t="s">
        <v>38</v>
      </c>
      <c r="P668" s="15">
        <v>30</v>
      </c>
      <c r="Q668" s="18">
        <v>103387</v>
      </c>
      <c r="R668" s="19">
        <v>20</v>
      </c>
      <c r="S668" s="14">
        <v>3.5</v>
      </c>
      <c r="T668" s="7">
        <v>96</v>
      </c>
      <c r="U668" s="15">
        <v>10</v>
      </c>
      <c r="V668" s="15">
        <v>19</v>
      </c>
      <c r="W668" s="15">
        <v>14</v>
      </c>
      <c r="X668" t="s">
        <v>39</v>
      </c>
      <c r="Y668" t="s">
        <v>40</v>
      </c>
      <c r="Z668" s="14">
        <v>1.1000000000000001</v>
      </c>
      <c r="AA668" s="12">
        <f>YEAR(Table1[Hire_Date])</f>
        <v>2025</v>
      </c>
      <c r="AB66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669" spans="1:28" x14ac:dyDescent="0.25">
      <c r="A669" t="s">
        <v>2821</v>
      </c>
      <c r="B669" s="16" t="s">
        <v>2822</v>
      </c>
      <c r="C669" s="16" t="s">
        <v>2823</v>
      </c>
      <c r="D669" t="s">
        <v>44</v>
      </c>
      <c r="E669" s="15">
        <v>34</v>
      </c>
      <c r="F669" s="16" t="s">
        <v>90</v>
      </c>
      <c r="G669" s="16" t="s">
        <v>13</v>
      </c>
      <c r="H669" s="16" t="s">
        <v>83</v>
      </c>
      <c r="I669" s="16" t="s">
        <v>33</v>
      </c>
      <c r="J669" s="16" t="s">
        <v>34</v>
      </c>
      <c r="K669" s="17" t="s">
        <v>2824</v>
      </c>
      <c r="M669" t="s">
        <v>36</v>
      </c>
      <c r="N669" t="s">
        <v>263</v>
      </c>
      <c r="O669" t="s">
        <v>38</v>
      </c>
      <c r="P669" s="15">
        <v>14</v>
      </c>
      <c r="Q669" s="18">
        <v>70062</v>
      </c>
      <c r="R669" s="19">
        <v>18</v>
      </c>
      <c r="S669" s="14">
        <v>4.8</v>
      </c>
      <c r="T669" s="7">
        <v>50</v>
      </c>
      <c r="U669" s="15">
        <v>11</v>
      </c>
      <c r="V669" s="15">
        <v>13</v>
      </c>
      <c r="W669" s="15">
        <v>10</v>
      </c>
      <c r="X669" t="s">
        <v>39</v>
      </c>
      <c r="Y669" t="s">
        <v>62</v>
      </c>
      <c r="Z669" s="14">
        <v>9.5</v>
      </c>
      <c r="AA669" s="12">
        <f>YEAR(Table1[Hire_Date])</f>
        <v>2017</v>
      </c>
      <c r="AB66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670" spans="1:28" x14ac:dyDescent="0.25">
      <c r="A670" t="s">
        <v>2825</v>
      </c>
      <c r="B670" s="16" t="s">
        <v>2826</v>
      </c>
      <c r="C670" s="16" t="s">
        <v>2827</v>
      </c>
      <c r="D670" t="s">
        <v>29</v>
      </c>
      <c r="E670" s="15">
        <v>23</v>
      </c>
      <c r="F670" s="16" t="s">
        <v>90</v>
      </c>
      <c r="G670" s="16" t="s">
        <v>13</v>
      </c>
      <c r="H670" s="16" t="s">
        <v>56</v>
      </c>
      <c r="I670" s="16" t="s">
        <v>57</v>
      </c>
      <c r="J670" s="16" t="s">
        <v>49</v>
      </c>
      <c r="K670" s="17" t="s">
        <v>2828</v>
      </c>
      <c r="M670" t="s">
        <v>36</v>
      </c>
      <c r="N670" t="s">
        <v>550</v>
      </c>
      <c r="O670" t="s">
        <v>38</v>
      </c>
      <c r="P670" s="15">
        <v>22</v>
      </c>
      <c r="Q670" s="18">
        <v>61332</v>
      </c>
      <c r="R670" s="19">
        <v>23</v>
      </c>
      <c r="S670" s="14">
        <v>3.8</v>
      </c>
      <c r="T670" s="7">
        <v>63</v>
      </c>
      <c r="U670" s="15">
        <v>0</v>
      </c>
      <c r="V670" s="15">
        <v>34</v>
      </c>
      <c r="W670" s="15">
        <v>63</v>
      </c>
      <c r="X670" t="s">
        <v>61</v>
      </c>
      <c r="Y670" t="s">
        <v>62</v>
      </c>
      <c r="Z670" s="14">
        <v>10.3</v>
      </c>
      <c r="AA670" s="12">
        <f>YEAR(Table1[Hire_Date])</f>
        <v>2016</v>
      </c>
      <c r="AB67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671" spans="1:28" x14ac:dyDescent="0.25">
      <c r="A671" t="s">
        <v>2829</v>
      </c>
      <c r="B671" s="16" t="s">
        <v>2830</v>
      </c>
      <c r="C671" s="16" t="s">
        <v>2831</v>
      </c>
      <c r="D671" t="s">
        <v>29</v>
      </c>
      <c r="E671" s="15">
        <v>30</v>
      </c>
      <c r="F671" s="16" t="s">
        <v>103</v>
      </c>
      <c r="G671" s="16" t="s">
        <v>104</v>
      </c>
      <c r="H671" s="16" t="s">
        <v>56</v>
      </c>
      <c r="I671" s="16" t="s">
        <v>48</v>
      </c>
      <c r="J671" s="16" t="s">
        <v>49</v>
      </c>
      <c r="K671" s="17" t="s">
        <v>193</v>
      </c>
      <c r="M671" t="s">
        <v>36</v>
      </c>
      <c r="N671" t="s">
        <v>111</v>
      </c>
      <c r="O671" t="s">
        <v>52</v>
      </c>
      <c r="P671" s="15">
        <v>14</v>
      </c>
      <c r="Q671" s="18">
        <v>62233</v>
      </c>
      <c r="R671" s="19">
        <v>9</v>
      </c>
      <c r="S671" s="14">
        <v>2.8</v>
      </c>
      <c r="T671" s="7">
        <v>57</v>
      </c>
      <c r="U671" s="15">
        <v>20</v>
      </c>
      <c r="V671" s="15">
        <v>44</v>
      </c>
      <c r="W671" s="15">
        <v>23</v>
      </c>
      <c r="X671" t="s">
        <v>39</v>
      </c>
      <c r="Y671" t="s">
        <v>40</v>
      </c>
      <c r="Z671" s="14">
        <v>8.9</v>
      </c>
      <c r="AA671" s="12">
        <f>YEAR(Table1[Hire_Date])</f>
        <v>2017</v>
      </c>
      <c r="AB67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672" spans="1:28" x14ac:dyDescent="0.25">
      <c r="A672" t="s">
        <v>2832</v>
      </c>
      <c r="B672" s="16" t="s">
        <v>2833</v>
      </c>
      <c r="C672" s="16" t="s">
        <v>2834</v>
      </c>
      <c r="D672" t="s">
        <v>44</v>
      </c>
      <c r="E672" s="15">
        <v>55</v>
      </c>
      <c r="F672" s="16" t="s">
        <v>103</v>
      </c>
      <c r="G672" s="16" t="s">
        <v>13</v>
      </c>
      <c r="H672" s="16" t="s">
        <v>66</v>
      </c>
      <c r="I672" s="16" t="s">
        <v>57</v>
      </c>
      <c r="J672" s="16" t="s">
        <v>49</v>
      </c>
      <c r="K672" s="17" t="s">
        <v>1886</v>
      </c>
      <c r="M672" t="s">
        <v>36</v>
      </c>
      <c r="N672" t="s">
        <v>209</v>
      </c>
      <c r="O672" t="s">
        <v>52</v>
      </c>
      <c r="P672" s="15">
        <v>27</v>
      </c>
      <c r="Q672" s="18">
        <v>136930</v>
      </c>
      <c r="R672" s="19">
        <v>24</v>
      </c>
      <c r="S672" s="14">
        <v>3.2</v>
      </c>
      <c r="T672" s="7">
        <v>89</v>
      </c>
      <c r="U672" s="15">
        <v>7</v>
      </c>
      <c r="V672" s="15">
        <v>30</v>
      </c>
      <c r="W672" s="15">
        <v>43</v>
      </c>
      <c r="X672" t="s">
        <v>39</v>
      </c>
      <c r="Y672" t="s">
        <v>62</v>
      </c>
      <c r="Z672" s="14">
        <v>3.9</v>
      </c>
      <c r="AA672" s="12">
        <f>YEAR(Table1[Hire_Date])</f>
        <v>2022</v>
      </c>
      <c r="AB67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673" spans="1:28" x14ac:dyDescent="0.25">
      <c r="A673" t="s">
        <v>2835</v>
      </c>
      <c r="B673" s="16" t="s">
        <v>2836</v>
      </c>
      <c r="C673" s="16" t="s">
        <v>2837</v>
      </c>
      <c r="D673" t="s">
        <v>44</v>
      </c>
      <c r="E673" s="15">
        <v>29</v>
      </c>
      <c r="F673" s="16" t="s">
        <v>45</v>
      </c>
      <c r="G673" s="16" t="s">
        <v>82</v>
      </c>
      <c r="H673" s="16" t="s">
        <v>66</v>
      </c>
      <c r="I673" s="16" t="s">
        <v>57</v>
      </c>
      <c r="J673" s="16" t="s">
        <v>34</v>
      </c>
      <c r="K673" s="17" t="s">
        <v>2838</v>
      </c>
      <c r="M673" t="s">
        <v>36</v>
      </c>
      <c r="N673" t="s">
        <v>654</v>
      </c>
      <c r="O673" t="s">
        <v>52</v>
      </c>
      <c r="P673" s="15">
        <v>18</v>
      </c>
      <c r="Q673" s="18">
        <v>122986</v>
      </c>
      <c r="R673" s="19">
        <v>9</v>
      </c>
      <c r="S673" s="14">
        <v>4.2</v>
      </c>
      <c r="T673" s="7">
        <v>83</v>
      </c>
      <c r="U673" s="15">
        <v>18</v>
      </c>
      <c r="V673" s="15">
        <v>5</v>
      </c>
      <c r="W673" s="15">
        <v>44</v>
      </c>
      <c r="X673" t="s">
        <v>39</v>
      </c>
      <c r="Y673" t="s">
        <v>62</v>
      </c>
      <c r="Z673" s="14">
        <v>6.6</v>
      </c>
      <c r="AA673" s="12">
        <f>YEAR(Table1[Hire_Date])</f>
        <v>2019</v>
      </c>
      <c r="AB67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674" spans="1:28" x14ac:dyDescent="0.25">
      <c r="A674" t="s">
        <v>2839</v>
      </c>
      <c r="B674" s="16" t="s">
        <v>2840</v>
      </c>
      <c r="C674" s="16" t="s">
        <v>2841</v>
      </c>
      <c r="D674" t="s">
        <v>44</v>
      </c>
      <c r="E674" s="15">
        <v>23</v>
      </c>
      <c r="F674" s="16" t="s">
        <v>45</v>
      </c>
      <c r="G674" s="16" t="s">
        <v>82</v>
      </c>
      <c r="H674" s="16" t="s">
        <v>47</v>
      </c>
      <c r="I674" s="16" t="s">
        <v>48</v>
      </c>
      <c r="J674" s="16" t="s">
        <v>34</v>
      </c>
      <c r="K674" s="17" t="s">
        <v>2842</v>
      </c>
      <c r="M674" t="s">
        <v>36</v>
      </c>
      <c r="N674" t="s">
        <v>194</v>
      </c>
      <c r="O674" t="s">
        <v>38</v>
      </c>
      <c r="P674" s="15">
        <v>7</v>
      </c>
      <c r="Q674" s="18">
        <v>77495</v>
      </c>
      <c r="R674" s="19">
        <v>23</v>
      </c>
      <c r="S674" s="14">
        <v>3.7</v>
      </c>
      <c r="T674" s="7">
        <v>86</v>
      </c>
      <c r="U674" s="15">
        <v>13</v>
      </c>
      <c r="V674" s="15">
        <v>60</v>
      </c>
      <c r="W674" s="15">
        <v>26</v>
      </c>
      <c r="X674" t="s">
        <v>61</v>
      </c>
      <c r="Y674" t="s">
        <v>62</v>
      </c>
      <c r="Z674" s="14">
        <v>3.4</v>
      </c>
      <c r="AA674" s="12">
        <f>YEAR(Table1[Hire_Date])</f>
        <v>2023</v>
      </c>
      <c r="AB67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675" spans="1:28" x14ac:dyDescent="0.25">
      <c r="A675" t="s">
        <v>2843</v>
      </c>
      <c r="B675" s="16" t="s">
        <v>2844</v>
      </c>
      <c r="C675" s="16" t="s">
        <v>2845</v>
      </c>
      <c r="D675" t="s">
        <v>44</v>
      </c>
      <c r="E675" s="15">
        <v>23</v>
      </c>
      <c r="F675" s="16" t="s">
        <v>90</v>
      </c>
      <c r="G675" s="16" t="s">
        <v>281</v>
      </c>
      <c r="H675" s="16" t="s">
        <v>83</v>
      </c>
      <c r="I675" s="16" t="s">
        <v>48</v>
      </c>
      <c r="J675" s="16" t="s">
        <v>49</v>
      </c>
      <c r="K675" s="17" t="s">
        <v>849</v>
      </c>
      <c r="M675" t="s">
        <v>36</v>
      </c>
      <c r="N675" t="s">
        <v>588</v>
      </c>
      <c r="O675" t="s">
        <v>38</v>
      </c>
      <c r="P675" s="15">
        <v>11</v>
      </c>
      <c r="Q675" s="18">
        <v>47150</v>
      </c>
      <c r="R675" s="19">
        <v>9</v>
      </c>
      <c r="S675" s="14">
        <v>2.5</v>
      </c>
      <c r="T675" s="7">
        <v>87</v>
      </c>
      <c r="U675" s="15">
        <v>6</v>
      </c>
      <c r="V675" s="15">
        <v>40</v>
      </c>
      <c r="W675" s="15">
        <v>15</v>
      </c>
      <c r="X675" t="s">
        <v>61</v>
      </c>
      <c r="Y675" t="s">
        <v>78</v>
      </c>
      <c r="Z675" s="14">
        <v>0.9</v>
      </c>
      <c r="AA675" s="12">
        <f>YEAR(Table1[Hire_Date])</f>
        <v>2025</v>
      </c>
      <c r="AB67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676" spans="1:28" x14ac:dyDescent="0.25">
      <c r="A676" t="s">
        <v>2846</v>
      </c>
      <c r="B676" s="16" t="s">
        <v>2847</v>
      </c>
      <c r="C676" s="16" t="s">
        <v>2848</v>
      </c>
      <c r="D676" t="s">
        <v>29</v>
      </c>
      <c r="E676" s="15">
        <v>28</v>
      </c>
      <c r="F676" s="16" t="s">
        <v>72</v>
      </c>
      <c r="G676" s="16" t="s">
        <v>73</v>
      </c>
      <c r="H676" s="16" t="s">
        <v>32</v>
      </c>
      <c r="I676" s="16" t="s">
        <v>57</v>
      </c>
      <c r="J676" s="16" t="s">
        <v>49</v>
      </c>
      <c r="K676" s="17" t="s">
        <v>2849</v>
      </c>
      <c r="M676" t="s">
        <v>36</v>
      </c>
      <c r="N676" t="s">
        <v>527</v>
      </c>
      <c r="O676" t="s">
        <v>52</v>
      </c>
      <c r="P676" s="15">
        <v>32</v>
      </c>
      <c r="Q676" s="18">
        <v>44819</v>
      </c>
      <c r="R676" s="19">
        <v>13</v>
      </c>
      <c r="S676" s="14">
        <v>4.0999999999999996</v>
      </c>
      <c r="T676" s="7">
        <v>57</v>
      </c>
      <c r="U676" s="15">
        <v>1</v>
      </c>
      <c r="V676" s="15">
        <v>41</v>
      </c>
      <c r="W676" s="15">
        <v>28</v>
      </c>
      <c r="X676" t="s">
        <v>39</v>
      </c>
      <c r="Y676" t="s">
        <v>62</v>
      </c>
      <c r="Z676" s="14">
        <v>3.5</v>
      </c>
      <c r="AA676" s="12">
        <f>YEAR(Table1[Hire_Date])</f>
        <v>2023</v>
      </c>
      <c r="AB67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677" spans="1:28" x14ac:dyDescent="0.25">
      <c r="A677" t="s">
        <v>2850</v>
      </c>
      <c r="B677" s="16" t="s">
        <v>2851</v>
      </c>
      <c r="C677" s="16" t="s">
        <v>2852</v>
      </c>
      <c r="D677" t="s">
        <v>44</v>
      </c>
      <c r="E677" s="15">
        <v>48</v>
      </c>
      <c r="F677" s="16" t="s">
        <v>103</v>
      </c>
      <c r="G677" s="16" t="s">
        <v>13</v>
      </c>
      <c r="H677" s="16" t="s">
        <v>83</v>
      </c>
      <c r="I677" s="16" t="s">
        <v>57</v>
      </c>
      <c r="J677" s="16" t="s">
        <v>34</v>
      </c>
      <c r="K677" s="17" t="s">
        <v>2853</v>
      </c>
      <c r="M677" t="s">
        <v>36</v>
      </c>
      <c r="N677" t="s">
        <v>155</v>
      </c>
      <c r="O677" t="s">
        <v>52</v>
      </c>
      <c r="P677" s="15">
        <v>28</v>
      </c>
      <c r="Q677" s="18">
        <v>123668</v>
      </c>
      <c r="R677" s="19">
        <v>20</v>
      </c>
      <c r="S677" s="14">
        <v>4.5</v>
      </c>
      <c r="T677" s="7">
        <v>96</v>
      </c>
      <c r="U677" s="15">
        <v>12</v>
      </c>
      <c r="V677" s="15">
        <v>53</v>
      </c>
      <c r="W677" s="15">
        <v>36</v>
      </c>
      <c r="X677" t="s">
        <v>39</v>
      </c>
      <c r="Y677" t="s">
        <v>62</v>
      </c>
      <c r="Z677" s="14">
        <v>6.1</v>
      </c>
      <c r="AA677" s="12">
        <f>YEAR(Table1[Hire_Date])</f>
        <v>2020</v>
      </c>
      <c r="AB67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678" spans="1:28" x14ac:dyDescent="0.25">
      <c r="A678" t="s">
        <v>2854</v>
      </c>
      <c r="B678" s="16" t="s">
        <v>2855</v>
      </c>
      <c r="C678" s="16" t="s">
        <v>2856</v>
      </c>
      <c r="D678" t="s">
        <v>29</v>
      </c>
      <c r="E678" s="15">
        <v>35</v>
      </c>
      <c r="F678" s="16" t="s">
        <v>45</v>
      </c>
      <c r="G678" s="16" t="s">
        <v>46</v>
      </c>
      <c r="H678" s="16" t="s">
        <v>66</v>
      </c>
      <c r="I678" s="16" t="s">
        <v>48</v>
      </c>
      <c r="J678" s="16" t="s">
        <v>49</v>
      </c>
      <c r="K678" s="17" t="s">
        <v>2857</v>
      </c>
      <c r="M678" t="s">
        <v>36</v>
      </c>
      <c r="N678" t="s">
        <v>731</v>
      </c>
      <c r="O678" t="s">
        <v>52</v>
      </c>
      <c r="P678" s="15">
        <v>21</v>
      </c>
      <c r="Q678" s="18">
        <v>44496</v>
      </c>
      <c r="R678" s="19">
        <v>18</v>
      </c>
      <c r="S678" s="14">
        <v>3.5</v>
      </c>
      <c r="T678" s="7">
        <v>64</v>
      </c>
      <c r="U678" s="15">
        <v>15</v>
      </c>
      <c r="V678" s="15">
        <v>49</v>
      </c>
      <c r="W678" s="15">
        <v>44</v>
      </c>
      <c r="X678" t="s">
        <v>39</v>
      </c>
      <c r="Y678" t="s">
        <v>78</v>
      </c>
      <c r="Z678" s="14">
        <v>7.8</v>
      </c>
      <c r="AA678" s="12">
        <f>YEAR(Table1[Hire_Date])</f>
        <v>2018</v>
      </c>
      <c r="AB67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679" spans="1:28" x14ac:dyDescent="0.25">
      <c r="A679" t="s">
        <v>2858</v>
      </c>
      <c r="B679" s="16" t="s">
        <v>2859</v>
      </c>
      <c r="C679" s="16" t="s">
        <v>2860</v>
      </c>
      <c r="D679" t="s">
        <v>44</v>
      </c>
      <c r="E679" s="15">
        <v>57</v>
      </c>
      <c r="F679" s="16" t="s">
        <v>124</v>
      </c>
      <c r="G679" s="16" t="s">
        <v>13</v>
      </c>
      <c r="H679" s="16" t="s">
        <v>83</v>
      </c>
      <c r="I679" s="16" t="s">
        <v>48</v>
      </c>
      <c r="J679" s="16" t="s">
        <v>34</v>
      </c>
      <c r="K679" s="17" t="s">
        <v>2861</v>
      </c>
      <c r="M679" t="s">
        <v>36</v>
      </c>
      <c r="N679" t="s">
        <v>469</v>
      </c>
      <c r="O679" t="s">
        <v>52</v>
      </c>
      <c r="P679" s="15">
        <v>11</v>
      </c>
      <c r="Q679" s="18">
        <v>179353</v>
      </c>
      <c r="R679" s="19">
        <v>5</v>
      </c>
      <c r="S679" s="14">
        <v>4.0999999999999996</v>
      </c>
      <c r="T679" s="7">
        <v>90</v>
      </c>
      <c r="U679" s="15">
        <v>0</v>
      </c>
      <c r="V679" s="15">
        <v>30</v>
      </c>
      <c r="W679" s="15">
        <v>18</v>
      </c>
      <c r="X679" t="s">
        <v>61</v>
      </c>
      <c r="Y679" t="s">
        <v>78</v>
      </c>
      <c r="Z679" s="14">
        <v>2.4</v>
      </c>
      <c r="AA679" s="12">
        <f>YEAR(Table1[Hire_Date])</f>
        <v>2024</v>
      </c>
      <c r="AB67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680" spans="1:28" x14ac:dyDescent="0.25">
      <c r="A680" t="s">
        <v>2862</v>
      </c>
      <c r="B680" s="16" t="s">
        <v>2863</v>
      </c>
      <c r="C680" s="16" t="s">
        <v>2864</v>
      </c>
      <c r="D680" t="s">
        <v>44</v>
      </c>
      <c r="E680" s="15">
        <v>24</v>
      </c>
      <c r="F680" s="16" t="s">
        <v>124</v>
      </c>
      <c r="G680" s="16" t="s">
        <v>13</v>
      </c>
      <c r="H680" s="16" t="s">
        <v>56</v>
      </c>
      <c r="I680" s="16" t="s">
        <v>33</v>
      </c>
      <c r="J680" s="16" t="s">
        <v>49</v>
      </c>
      <c r="K680" s="17" t="s">
        <v>2865</v>
      </c>
      <c r="M680" t="s">
        <v>36</v>
      </c>
      <c r="N680" t="s">
        <v>170</v>
      </c>
      <c r="O680" t="s">
        <v>38</v>
      </c>
      <c r="P680" s="15">
        <v>35</v>
      </c>
      <c r="Q680" s="18">
        <v>116216</v>
      </c>
      <c r="R680" s="19">
        <v>17</v>
      </c>
      <c r="S680" s="14">
        <v>4.2</v>
      </c>
      <c r="T680" s="7">
        <v>78</v>
      </c>
      <c r="U680" s="15">
        <v>6</v>
      </c>
      <c r="V680" s="15">
        <v>46</v>
      </c>
      <c r="W680" s="15">
        <v>12</v>
      </c>
      <c r="X680" t="s">
        <v>61</v>
      </c>
      <c r="Y680" t="s">
        <v>40</v>
      </c>
      <c r="Z680" s="14">
        <v>8.1</v>
      </c>
      <c r="AA680" s="12">
        <f>YEAR(Table1[Hire_Date])</f>
        <v>2018</v>
      </c>
      <c r="AB68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681" spans="1:28" x14ac:dyDescent="0.25">
      <c r="A681" t="s">
        <v>2866</v>
      </c>
      <c r="B681" s="16" t="s">
        <v>2867</v>
      </c>
      <c r="C681" s="16" t="s">
        <v>2868</v>
      </c>
      <c r="D681" t="s">
        <v>29</v>
      </c>
      <c r="E681" s="15">
        <v>41</v>
      </c>
      <c r="F681" s="16" t="s">
        <v>124</v>
      </c>
      <c r="G681" s="16" t="s">
        <v>13</v>
      </c>
      <c r="H681" s="16" t="s">
        <v>66</v>
      </c>
      <c r="I681" s="16" t="s">
        <v>33</v>
      </c>
      <c r="J681" s="16" t="s">
        <v>49</v>
      </c>
      <c r="K681" s="17" t="s">
        <v>2869</v>
      </c>
      <c r="M681" t="s">
        <v>36</v>
      </c>
      <c r="N681" t="s">
        <v>131</v>
      </c>
      <c r="O681" t="s">
        <v>38</v>
      </c>
      <c r="P681" s="15">
        <v>30</v>
      </c>
      <c r="Q681" s="18">
        <v>69001</v>
      </c>
      <c r="R681" s="19">
        <v>11</v>
      </c>
      <c r="S681" s="14">
        <v>3.3</v>
      </c>
      <c r="T681" s="7">
        <v>60</v>
      </c>
      <c r="U681" s="15">
        <v>3</v>
      </c>
      <c r="V681" s="15">
        <v>33</v>
      </c>
      <c r="W681" s="15">
        <v>53</v>
      </c>
      <c r="X681" t="s">
        <v>39</v>
      </c>
      <c r="Y681" t="s">
        <v>78</v>
      </c>
      <c r="Z681" s="14">
        <v>2</v>
      </c>
      <c r="AA681" s="12">
        <f>YEAR(Table1[Hire_Date])</f>
        <v>2024</v>
      </c>
      <c r="AB68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682" spans="1:28" x14ac:dyDescent="0.25">
      <c r="A682" t="s">
        <v>2870</v>
      </c>
      <c r="B682" s="16" t="s">
        <v>2871</v>
      </c>
      <c r="C682" s="16" t="s">
        <v>2872</v>
      </c>
      <c r="D682" t="s">
        <v>44</v>
      </c>
      <c r="E682" s="15">
        <v>42</v>
      </c>
      <c r="F682" s="16" t="s">
        <v>45</v>
      </c>
      <c r="G682" s="16" t="s">
        <v>46</v>
      </c>
      <c r="H682" s="16" t="s">
        <v>66</v>
      </c>
      <c r="I682" s="16" t="s">
        <v>33</v>
      </c>
      <c r="J682" s="16" t="s">
        <v>49</v>
      </c>
      <c r="K682" s="17" t="s">
        <v>2873</v>
      </c>
      <c r="M682" t="s">
        <v>36</v>
      </c>
      <c r="N682" t="s">
        <v>189</v>
      </c>
      <c r="O682" t="s">
        <v>52</v>
      </c>
      <c r="P682" s="15">
        <v>24</v>
      </c>
      <c r="Q682" s="18">
        <v>58058</v>
      </c>
      <c r="R682" s="19">
        <v>11</v>
      </c>
      <c r="S682" s="14">
        <v>3.8</v>
      </c>
      <c r="T682" s="7">
        <v>81</v>
      </c>
      <c r="U682" s="15">
        <v>11</v>
      </c>
      <c r="V682" s="15">
        <v>7</v>
      </c>
      <c r="W682" s="15">
        <v>25</v>
      </c>
      <c r="X682" t="s">
        <v>39</v>
      </c>
      <c r="Y682" t="s">
        <v>78</v>
      </c>
      <c r="Z682" s="14">
        <v>1.1000000000000001</v>
      </c>
      <c r="AA682" s="12">
        <f>YEAR(Table1[Hire_Date])</f>
        <v>2025</v>
      </c>
      <c r="AB68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683" spans="1:28" x14ac:dyDescent="0.25">
      <c r="A683" t="s">
        <v>2874</v>
      </c>
      <c r="B683" s="16" t="s">
        <v>2875</v>
      </c>
      <c r="C683" s="16" t="s">
        <v>2876</v>
      </c>
      <c r="D683" t="s">
        <v>44</v>
      </c>
      <c r="E683" s="15">
        <v>26</v>
      </c>
      <c r="F683" s="16" t="s">
        <v>124</v>
      </c>
      <c r="G683" s="16" t="s">
        <v>104</v>
      </c>
      <c r="H683" s="16" t="s">
        <v>83</v>
      </c>
      <c r="I683" s="16" t="s">
        <v>57</v>
      </c>
      <c r="J683" s="16" t="s">
        <v>34</v>
      </c>
      <c r="K683" s="17" t="s">
        <v>2877</v>
      </c>
      <c r="M683" t="s">
        <v>36</v>
      </c>
      <c r="N683" t="s">
        <v>342</v>
      </c>
      <c r="O683" t="s">
        <v>52</v>
      </c>
      <c r="P683" s="15">
        <v>22</v>
      </c>
      <c r="Q683" s="18">
        <v>52739</v>
      </c>
      <c r="R683" s="19">
        <v>12</v>
      </c>
      <c r="S683" s="14">
        <v>2.8</v>
      </c>
      <c r="T683" s="7">
        <v>53</v>
      </c>
      <c r="U683" s="15">
        <v>15</v>
      </c>
      <c r="V683" s="15">
        <v>48</v>
      </c>
      <c r="W683" s="15">
        <v>34</v>
      </c>
      <c r="X683" t="s">
        <v>61</v>
      </c>
      <c r="Y683" t="s">
        <v>62</v>
      </c>
      <c r="Z683" s="14">
        <v>1.3</v>
      </c>
      <c r="AA683" s="12">
        <f>YEAR(Table1[Hire_Date])</f>
        <v>2025</v>
      </c>
      <c r="AB68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684" spans="1:28" x14ac:dyDescent="0.25">
      <c r="A684" t="s">
        <v>2878</v>
      </c>
      <c r="B684" s="16" t="s">
        <v>2879</v>
      </c>
      <c r="C684" s="16" t="s">
        <v>2880</v>
      </c>
      <c r="D684" t="s">
        <v>44</v>
      </c>
      <c r="E684" s="15">
        <v>29</v>
      </c>
      <c r="F684" s="16" t="s">
        <v>72</v>
      </c>
      <c r="G684" s="16" t="s">
        <v>73</v>
      </c>
      <c r="H684" s="16" t="s">
        <v>56</v>
      </c>
      <c r="I684" s="16" t="s">
        <v>57</v>
      </c>
      <c r="J684" s="16" t="s">
        <v>34</v>
      </c>
      <c r="K684" s="17" t="s">
        <v>2881</v>
      </c>
      <c r="M684" t="s">
        <v>36</v>
      </c>
      <c r="N684" t="s">
        <v>258</v>
      </c>
      <c r="O684" t="s">
        <v>52</v>
      </c>
      <c r="P684" s="15">
        <v>28</v>
      </c>
      <c r="Q684" s="18">
        <v>89929</v>
      </c>
      <c r="R684" s="19">
        <v>10</v>
      </c>
      <c r="S684" s="14">
        <v>4.9000000000000004</v>
      </c>
      <c r="T684" s="7">
        <v>92</v>
      </c>
      <c r="U684" s="15">
        <v>15</v>
      </c>
      <c r="V684" s="15">
        <v>51</v>
      </c>
      <c r="W684" s="15">
        <v>37</v>
      </c>
      <c r="X684" t="s">
        <v>39</v>
      </c>
      <c r="Y684" t="s">
        <v>40</v>
      </c>
      <c r="Z684" s="14">
        <v>8</v>
      </c>
      <c r="AA684" s="12">
        <f>YEAR(Table1[Hire_Date])</f>
        <v>2018</v>
      </c>
      <c r="AB68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685" spans="1:28" x14ac:dyDescent="0.25">
      <c r="A685" t="s">
        <v>2882</v>
      </c>
      <c r="B685" s="16" t="s">
        <v>2883</v>
      </c>
      <c r="C685" s="16" t="s">
        <v>2884</v>
      </c>
      <c r="D685" t="s">
        <v>44</v>
      </c>
      <c r="E685" s="15">
        <v>48</v>
      </c>
      <c r="F685" s="16" t="s">
        <v>30</v>
      </c>
      <c r="G685" s="16" t="s">
        <v>13</v>
      </c>
      <c r="H685" s="16" t="s">
        <v>47</v>
      </c>
      <c r="I685" s="16" t="s">
        <v>57</v>
      </c>
      <c r="J685" s="16" t="s">
        <v>34</v>
      </c>
      <c r="K685" s="17" t="s">
        <v>2885</v>
      </c>
      <c r="M685" t="s">
        <v>36</v>
      </c>
      <c r="N685" t="s">
        <v>131</v>
      </c>
      <c r="O685" t="s">
        <v>60</v>
      </c>
      <c r="P685" s="15">
        <v>6</v>
      </c>
      <c r="Q685" s="18">
        <v>40601</v>
      </c>
      <c r="R685" s="19">
        <v>20</v>
      </c>
      <c r="S685" s="14">
        <v>4.7</v>
      </c>
      <c r="T685" s="7">
        <v>89</v>
      </c>
      <c r="U685" s="15">
        <v>14</v>
      </c>
      <c r="V685" s="15">
        <v>26</v>
      </c>
      <c r="W685" s="15">
        <v>16</v>
      </c>
      <c r="X685" t="s">
        <v>61</v>
      </c>
      <c r="Y685" t="s">
        <v>62</v>
      </c>
      <c r="Z685" s="14">
        <v>2.8</v>
      </c>
      <c r="AA685" s="12">
        <f>YEAR(Table1[Hire_Date])</f>
        <v>2023</v>
      </c>
      <c r="AB68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686" spans="1:28" x14ac:dyDescent="0.25">
      <c r="A686" t="s">
        <v>2886</v>
      </c>
      <c r="B686" s="16" t="s">
        <v>2887</v>
      </c>
      <c r="C686" s="16" t="s">
        <v>2888</v>
      </c>
      <c r="D686" t="s">
        <v>44</v>
      </c>
      <c r="E686" s="15">
        <v>32</v>
      </c>
      <c r="F686" s="16" t="s">
        <v>30</v>
      </c>
      <c r="G686" s="16" t="s">
        <v>13</v>
      </c>
      <c r="H686" s="16" t="s">
        <v>56</v>
      </c>
      <c r="I686" s="16" t="s">
        <v>57</v>
      </c>
      <c r="J686" s="16" t="s">
        <v>49</v>
      </c>
      <c r="K686" s="17" t="s">
        <v>2889</v>
      </c>
      <c r="M686" t="s">
        <v>36</v>
      </c>
      <c r="N686" t="s">
        <v>131</v>
      </c>
      <c r="O686" t="s">
        <v>38</v>
      </c>
      <c r="P686" s="15">
        <v>34</v>
      </c>
      <c r="Q686" s="18">
        <v>162884</v>
      </c>
      <c r="R686" s="19">
        <v>22</v>
      </c>
      <c r="S686" s="14">
        <v>4.5999999999999996</v>
      </c>
      <c r="T686" s="7">
        <v>95</v>
      </c>
      <c r="U686" s="15">
        <v>12</v>
      </c>
      <c r="V686" s="15">
        <v>42</v>
      </c>
      <c r="W686" s="15">
        <v>12</v>
      </c>
      <c r="X686" t="s">
        <v>61</v>
      </c>
      <c r="Y686" t="s">
        <v>62</v>
      </c>
      <c r="Z686" s="14">
        <v>7.4</v>
      </c>
      <c r="AA686" s="12">
        <f>YEAR(Table1[Hire_Date])</f>
        <v>2019</v>
      </c>
      <c r="AB68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687" spans="1:28" x14ac:dyDescent="0.25">
      <c r="A687" t="s">
        <v>2890</v>
      </c>
      <c r="B687" s="16" t="s">
        <v>2891</v>
      </c>
      <c r="C687" s="16" t="s">
        <v>2892</v>
      </c>
      <c r="D687" t="s">
        <v>29</v>
      </c>
      <c r="E687" s="15">
        <v>28</v>
      </c>
      <c r="F687" s="16" t="s">
        <v>124</v>
      </c>
      <c r="G687" s="16" t="s">
        <v>104</v>
      </c>
      <c r="H687" s="16" t="s">
        <v>66</v>
      </c>
      <c r="I687" s="16" t="s">
        <v>48</v>
      </c>
      <c r="J687" s="16" t="s">
        <v>34</v>
      </c>
      <c r="K687" s="17" t="s">
        <v>2893</v>
      </c>
      <c r="M687" t="s">
        <v>36</v>
      </c>
      <c r="N687" t="s">
        <v>229</v>
      </c>
      <c r="O687" t="s">
        <v>52</v>
      </c>
      <c r="P687" s="15">
        <v>7</v>
      </c>
      <c r="Q687" s="18">
        <v>157504</v>
      </c>
      <c r="R687" s="19">
        <v>21</v>
      </c>
      <c r="S687" s="14">
        <v>3</v>
      </c>
      <c r="T687" s="7">
        <v>66</v>
      </c>
      <c r="U687" s="15">
        <v>7</v>
      </c>
      <c r="V687" s="15">
        <v>52</v>
      </c>
      <c r="W687" s="15">
        <v>31</v>
      </c>
      <c r="X687" t="s">
        <v>61</v>
      </c>
      <c r="Y687" t="s">
        <v>40</v>
      </c>
      <c r="Z687" s="14">
        <v>1.1000000000000001</v>
      </c>
      <c r="AA687" s="12">
        <f>YEAR(Table1[Hire_Date])</f>
        <v>2025</v>
      </c>
      <c r="AB68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688" spans="1:28" x14ac:dyDescent="0.25">
      <c r="A688" t="s">
        <v>2894</v>
      </c>
      <c r="B688" s="16" t="s">
        <v>2895</v>
      </c>
      <c r="C688" s="16" t="s">
        <v>2896</v>
      </c>
      <c r="D688" t="s">
        <v>44</v>
      </c>
      <c r="E688" s="15">
        <v>29</v>
      </c>
      <c r="F688" s="16" t="s">
        <v>30</v>
      </c>
      <c r="G688" s="16" t="s">
        <v>31</v>
      </c>
      <c r="H688" s="16" t="s">
        <v>66</v>
      </c>
      <c r="I688" s="16" t="s">
        <v>57</v>
      </c>
      <c r="J688" s="16" t="s">
        <v>34</v>
      </c>
      <c r="K688" s="17" t="s">
        <v>2897</v>
      </c>
      <c r="M688" t="s">
        <v>36</v>
      </c>
      <c r="N688" t="s">
        <v>323</v>
      </c>
      <c r="O688" t="s">
        <v>38</v>
      </c>
      <c r="P688" s="15">
        <v>24</v>
      </c>
      <c r="Q688" s="18">
        <v>51515</v>
      </c>
      <c r="R688" s="19">
        <v>25</v>
      </c>
      <c r="S688" s="14">
        <v>2.8</v>
      </c>
      <c r="T688" s="7">
        <v>81</v>
      </c>
      <c r="U688" s="15">
        <v>2</v>
      </c>
      <c r="V688" s="15">
        <v>4</v>
      </c>
      <c r="W688" s="15">
        <v>10</v>
      </c>
      <c r="X688" t="s">
        <v>61</v>
      </c>
      <c r="Y688" t="s">
        <v>62</v>
      </c>
      <c r="Z688" s="14">
        <v>8.6</v>
      </c>
      <c r="AA688" s="12">
        <f>YEAR(Table1[Hire_Date])</f>
        <v>2018</v>
      </c>
      <c r="AB68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689" spans="1:28" x14ac:dyDescent="0.25">
      <c r="A689" t="s">
        <v>2898</v>
      </c>
      <c r="B689" s="16" t="s">
        <v>2899</v>
      </c>
      <c r="C689" s="16" t="s">
        <v>2900</v>
      </c>
      <c r="D689" t="s">
        <v>29</v>
      </c>
      <c r="E689" s="15">
        <v>29</v>
      </c>
      <c r="F689" s="16" t="s">
        <v>90</v>
      </c>
      <c r="G689" s="16" t="s">
        <v>13</v>
      </c>
      <c r="H689" s="16" t="s">
        <v>83</v>
      </c>
      <c r="I689" s="16" t="s">
        <v>48</v>
      </c>
      <c r="J689" s="16" t="s">
        <v>49</v>
      </c>
      <c r="K689" s="17" t="s">
        <v>2901</v>
      </c>
      <c r="M689" t="s">
        <v>36</v>
      </c>
      <c r="N689" t="s">
        <v>165</v>
      </c>
      <c r="O689" t="s">
        <v>38</v>
      </c>
      <c r="P689" s="15">
        <v>5</v>
      </c>
      <c r="Q689" s="18">
        <v>83238</v>
      </c>
      <c r="R689" s="19">
        <v>6</v>
      </c>
      <c r="S689" s="14">
        <v>4.7</v>
      </c>
      <c r="T689" s="7">
        <v>54</v>
      </c>
      <c r="U689" s="15">
        <v>7</v>
      </c>
      <c r="V689" s="15">
        <v>20</v>
      </c>
      <c r="W689" s="15">
        <v>8</v>
      </c>
      <c r="X689" t="s">
        <v>39</v>
      </c>
      <c r="Y689" t="s">
        <v>78</v>
      </c>
      <c r="Z689" s="14">
        <v>6.7</v>
      </c>
      <c r="AA689" s="12">
        <f>YEAR(Table1[Hire_Date])</f>
        <v>2019</v>
      </c>
      <c r="AB68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690" spans="1:28" x14ac:dyDescent="0.25">
      <c r="A690" t="s">
        <v>2902</v>
      </c>
      <c r="B690" s="16" t="s">
        <v>2903</v>
      </c>
      <c r="C690" s="16" t="s">
        <v>2904</v>
      </c>
      <c r="D690" t="s">
        <v>44</v>
      </c>
      <c r="E690" s="15">
        <v>45</v>
      </c>
      <c r="F690" s="16" t="s">
        <v>90</v>
      </c>
      <c r="G690" s="16" t="s">
        <v>13</v>
      </c>
      <c r="H690" s="16" t="s">
        <v>56</v>
      </c>
      <c r="I690" s="16" t="s">
        <v>48</v>
      </c>
      <c r="J690" s="16" t="s">
        <v>34</v>
      </c>
      <c r="K690" s="17" t="s">
        <v>2905</v>
      </c>
      <c r="M690" t="s">
        <v>36</v>
      </c>
      <c r="N690" t="s">
        <v>277</v>
      </c>
      <c r="O690" t="s">
        <v>52</v>
      </c>
      <c r="P690" s="15">
        <v>30</v>
      </c>
      <c r="Q690" s="18">
        <v>156657</v>
      </c>
      <c r="R690" s="19">
        <v>23</v>
      </c>
      <c r="S690" s="14">
        <v>3.9</v>
      </c>
      <c r="T690" s="7">
        <v>76</v>
      </c>
      <c r="U690" s="15">
        <v>15</v>
      </c>
      <c r="V690" s="15">
        <v>3</v>
      </c>
      <c r="W690" s="15">
        <v>60</v>
      </c>
      <c r="X690" t="s">
        <v>39</v>
      </c>
      <c r="Y690" t="s">
        <v>40</v>
      </c>
      <c r="Z690" s="14">
        <v>1.7</v>
      </c>
      <c r="AA690" s="12">
        <f>YEAR(Table1[Hire_Date])</f>
        <v>2024</v>
      </c>
      <c r="AB69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691" spans="1:28" x14ac:dyDescent="0.25">
      <c r="A691" t="s">
        <v>2906</v>
      </c>
      <c r="B691" s="16" t="s">
        <v>2907</v>
      </c>
      <c r="C691" s="16" t="s">
        <v>2908</v>
      </c>
      <c r="D691" t="s">
        <v>29</v>
      </c>
      <c r="E691" s="15">
        <v>48</v>
      </c>
      <c r="F691" s="16" t="s">
        <v>72</v>
      </c>
      <c r="G691" s="16" t="s">
        <v>73</v>
      </c>
      <c r="H691" s="16" t="s">
        <v>47</v>
      </c>
      <c r="I691" s="16" t="s">
        <v>33</v>
      </c>
      <c r="J691" s="16" t="s">
        <v>34</v>
      </c>
      <c r="K691" s="17" t="s">
        <v>2909</v>
      </c>
      <c r="L691" s="17" t="s">
        <v>2910</v>
      </c>
      <c r="M691" t="s">
        <v>76</v>
      </c>
      <c r="N691" t="s">
        <v>170</v>
      </c>
      <c r="O691" t="s">
        <v>38</v>
      </c>
      <c r="P691" s="15">
        <v>30</v>
      </c>
      <c r="Q691" s="18">
        <v>176269</v>
      </c>
      <c r="R691" s="19">
        <v>19</v>
      </c>
      <c r="S691" s="14">
        <v>2.9</v>
      </c>
      <c r="T691" s="7">
        <v>80</v>
      </c>
      <c r="U691" s="15">
        <v>13</v>
      </c>
      <c r="V691" s="15">
        <v>53</v>
      </c>
      <c r="W691" s="15">
        <v>8</v>
      </c>
      <c r="X691" t="s">
        <v>61</v>
      </c>
      <c r="Y691" t="s">
        <v>62</v>
      </c>
      <c r="Z691" s="14">
        <v>1.8</v>
      </c>
      <c r="AA691" s="12">
        <f>YEAR(Table1[Hire_Date])</f>
        <v>2024</v>
      </c>
      <c r="AB69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692" spans="1:28" x14ac:dyDescent="0.25">
      <c r="A692" t="s">
        <v>2911</v>
      </c>
      <c r="B692" s="16" t="s">
        <v>2912</v>
      </c>
      <c r="C692" s="16" t="s">
        <v>2913</v>
      </c>
      <c r="D692" t="s">
        <v>29</v>
      </c>
      <c r="E692" s="15">
        <v>26</v>
      </c>
      <c r="F692" s="16" t="s">
        <v>72</v>
      </c>
      <c r="G692" s="16" t="s">
        <v>73</v>
      </c>
      <c r="H692" s="16" t="s">
        <v>32</v>
      </c>
      <c r="I692" s="16" t="s">
        <v>33</v>
      </c>
      <c r="J692" s="16" t="s">
        <v>34</v>
      </c>
      <c r="K692" s="17" t="s">
        <v>2914</v>
      </c>
      <c r="M692" t="s">
        <v>36</v>
      </c>
      <c r="N692" t="s">
        <v>385</v>
      </c>
      <c r="O692" t="s">
        <v>60</v>
      </c>
      <c r="P692" s="15">
        <v>8</v>
      </c>
      <c r="Q692" s="18">
        <v>177346</v>
      </c>
      <c r="R692" s="19">
        <v>13</v>
      </c>
      <c r="S692" s="14">
        <v>3.4</v>
      </c>
      <c r="T692" s="7">
        <v>93</v>
      </c>
      <c r="U692" s="15">
        <v>7</v>
      </c>
      <c r="V692" s="15">
        <v>27</v>
      </c>
      <c r="W692" s="15">
        <v>77</v>
      </c>
      <c r="X692" t="s">
        <v>61</v>
      </c>
      <c r="Y692" t="s">
        <v>78</v>
      </c>
      <c r="Z692" s="14">
        <v>6.4</v>
      </c>
      <c r="AA692" s="12">
        <f>YEAR(Table1[Hire_Date])</f>
        <v>2020</v>
      </c>
      <c r="AB69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693" spans="1:28" x14ac:dyDescent="0.25">
      <c r="A693" t="s">
        <v>2915</v>
      </c>
      <c r="B693" s="16" t="s">
        <v>2916</v>
      </c>
      <c r="C693" s="16" t="s">
        <v>2917</v>
      </c>
      <c r="D693" t="s">
        <v>44</v>
      </c>
      <c r="E693" s="15">
        <v>59</v>
      </c>
      <c r="F693" s="16" t="s">
        <v>45</v>
      </c>
      <c r="G693" s="16" t="s">
        <v>46</v>
      </c>
      <c r="H693" s="16" t="s">
        <v>56</v>
      </c>
      <c r="I693" s="16" t="s">
        <v>48</v>
      </c>
      <c r="J693" s="16" t="s">
        <v>34</v>
      </c>
      <c r="K693" s="17" t="s">
        <v>2918</v>
      </c>
      <c r="M693" t="s">
        <v>36</v>
      </c>
      <c r="N693" t="s">
        <v>214</v>
      </c>
      <c r="O693" t="s">
        <v>52</v>
      </c>
      <c r="P693" s="15">
        <v>27</v>
      </c>
      <c r="Q693" s="18">
        <v>100769</v>
      </c>
      <c r="R693" s="19">
        <v>8</v>
      </c>
      <c r="S693" s="14">
        <v>3.1</v>
      </c>
      <c r="T693" s="7">
        <v>88</v>
      </c>
      <c r="U693" s="15">
        <v>13</v>
      </c>
      <c r="V693" s="15">
        <v>55</v>
      </c>
      <c r="W693" s="15">
        <v>59</v>
      </c>
      <c r="X693" t="s">
        <v>61</v>
      </c>
      <c r="Y693" t="s">
        <v>62</v>
      </c>
      <c r="Z693" s="14">
        <v>9.6999999999999993</v>
      </c>
      <c r="AA693" s="12">
        <f>YEAR(Table1[Hire_Date])</f>
        <v>2016</v>
      </c>
      <c r="AB69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694" spans="1:28" x14ac:dyDescent="0.25">
      <c r="A694" t="s">
        <v>2919</v>
      </c>
      <c r="B694" s="16" t="s">
        <v>2920</v>
      </c>
      <c r="C694" s="16" t="s">
        <v>2921</v>
      </c>
      <c r="D694" t="s">
        <v>44</v>
      </c>
      <c r="E694" s="15">
        <v>51</v>
      </c>
      <c r="F694" s="16" t="s">
        <v>103</v>
      </c>
      <c r="G694" s="16" t="s">
        <v>13</v>
      </c>
      <c r="H694" s="16" t="s">
        <v>32</v>
      </c>
      <c r="I694" s="16" t="s">
        <v>57</v>
      </c>
      <c r="J694" s="16" t="s">
        <v>49</v>
      </c>
      <c r="K694" s="17" t="s">
        <v>2922</v>
      </c>
      <c r="M694" t="s">
        <v>36</v>
      </c>
      <c r="N694" t="s">
        <v>175</v>
      </c>
      <c r="O694" t="s">
        <v>60</v>
      </c>
      <c r="P694" s="15">
        <v>0</v>
      </c>
      <c r="Q694" s="18">
        <v>161745</v>
      </c>
      <c r="R694" s="19">
        <v>8</v>
      </c>
      <c r="S694" s="14">
        <v>3.3</v>
      </c>
      <c r="T694" s="7">
        <v>71</v>
      </c>
      <c r="U694" s="15">
        <v>18</v>
      </c>
      <c r="V694" s="15">
        <v>19</v>
      </c>
      <c r="W694" s="15">
        <v>1</v>
      </c>
      <c r="X694" t="s">
        <v>39</v>
      </c>
      <c r="Y694" t="s">
        <v>40</v>
      </c>
      <c r="Z694" s="14">
        <v>9.5</v>
      </c>
      <c r="AA694" s="12">
        <f>YEAR(Table1[Hire_Date])</f>
        <v>2017</v>
      </c>
      <c r="AB69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695" spans="1:28" x14ac:dyDescent="0.25">
      <c r="A695" t="s">
        <v>2923</v>
      </c>
      <c r="B695" s="16" t="s">
        <v>2924</v>
      </c>
      <c r="C695" s="16" t="s">
        <v>2925</v>
      </c>
      <c r="D695" t="s">
        <v>29</v>
      </c>
      <c r="E695" s="15">
        <v>50</v>
      </c>
      <c r="F695" s="16" t="s">
        <v>90</v>
      </c>
      <c r="G695" s="16" t="s">
        <v>281</v>
      </c>
      <c r="H695" s="16" t="s">
        <v>66</v>
      </c>
      <c r="I695" s="16" t="s">
        <v>48</v>
      </c>
      <c r="J695" s="16" t="s">
        <v>34</v>
      </c>
      <c r="K695" s="17" t="s">
        <v>2926</v>
      </c>
      <c r="M695" t="s">
        <v>36</v>
      </c>
      <c r="N695" t="s">
        <v>258</v>
      </c>
      <c r="O695" t="s">
        <v>38</v>
      </c>
      <c r="P695" s="15">
        <v>11</v>
      </c>
      <c r="Q695" s="18">
        <v>135846</v>
      </c>
      <c r="R695" s="19">
        <v>5</v>
      </c>
      <c r="S695" s="14">
        <v>3.4</v>
      </c>
      <c r="T695" s="7">
        <v>65</v>
      </c>
      <c r="U695" s="15">
        <v>14</v>
      </c>
      <c r="V695" s="15">
        <v>59</v>
      </c>
      <c r="W695" s="15">
        <v>0</v>
      </c>
      <c r="X695" t="s">
        <v>39</v>
      </c>
      <c r="Y695" t="s">
        <v>62</v>
      </c>
      <c r="Z695" s="14">
        <v>7.1</v>
      </c>
      <c r="AA695" s="12">
        <f>YEAR(Table1[Hire_Date])</f>
        <v>2019</v>
      </c>
      <c r="AB69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696" spans="1:28" x14ac:dyDescent="0.25">
      <c r="A696" t="s">
        <v>2927</v>
      </c>
      <c r="B696" s="16" t="s">
        <v>2928</v>
      </c>
      <c r="C696" s="16" t="s">
        <v>2929</v>
      </c>
      <c r="D696" t="s">
        <v>29</v>
      </c>
      <c r="E696" s="15">
        <v>32</v>
      </c>
      <c r="F696" s="16" t="s">
        <v>124</v>
      </c>
      <c r="G696" s="16" t="s">
        <v>13</v>
      </c>
      <c r="H696" s="16" t="s">
        <v>56</v>
      </c>
      <c r="I696" s="16" t="s">
        <v>33</v>
      </c>
      <c r="J696" s="16" t="s">
        <v>34</v>
      </c>
      <c r="K696" s="17" t="s">
        <v>2930</v>
      </c>
      <c r="M696" t="s">
        <v>36</v>
      </c>
      <c r="N696" t="s">
        <v>149</v>
      </c>
      <c r="O696" t="s">
        <v>60</v>
      </c>
      <c r="P696" s="15">
        <v>35</v>
      </c>
      <c r="Q696" s="18">
        <v>108680</v>
      </c>
      <c r="R696" s="19">
        <v>17</v>
      </c>
      <c r="S696" s="14">
        <v>4.2</v>
      </c>
      <c r="T696" s="7">
        <v>87</v>
      </c>
      <c r="U696" s="15">
        <v>11</v>
      </c>
      <c r="V696" s="15">
        <v>4</v>
      </c>
      <c r="W696" s="15">
        <v>34</v>
      </c>
      <c r="X696" t="s">
        <v>39</v>
      </c>
      <c r="Y696" t="s">
        <v>40</v>
      </c>
      <c r="Z696" s="14">
        <v>8.6</v>
      </c>
      <c r="AA696" s="12">
        <f>YEAR(Table1[Hire_Date])</f>
        <v>2018</v>
      </c>
      <c r="AB69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697" spans="1:28" x14ac:dyDescent="0.25">
      <c r="A697" t="s">
        <v>2931</v>
      </c>
      <c r="B697" s="16" t="s">
        <v>2932</v>
      </c>
      <c r="C697" s="16" t="s">
        <v>2933</v>
      </c>
      <c r="D697" t="s">
        <v>44</v>
      </c>
      <c r="E697" s="15">
        <v>51</v>
      </c>
      <c r="F697" s="16" t="s">
        <v>90</v>
      </c>
      <c r="G697" s="16" t="s">
        <v>13</v>
      </c>
      <c r="H697" s="16" t="s">
        <v>32</v>
      </c>
      <c r="I697" s="16" t="s">
        <v>33</v>
      </c>
      <c r="J697" s="16" t="s">
        <v>34</v>
      </c>
      <c r="K697" s="17" t="s">
        <v>2934</v>
      </c>
      <c r="M697" t="s">
        <v>36</v>
      </c>
      <c r="N697" t="s">
        <v>137</v>
      </c>
      <c r="O697" t="s">
        <v>38</v>
      </c>
      <c r="P697" s="15">
        <v>12</v>
      </c>
      <c r="Q697" s="18">
        <v>88116</v>
      </c>
      <c r="R697" s="19">
        <v>5</v>
      </c>
      <c r="S697" s="14">
        <v>3.4</v>
      </c>
      <c r="T697" s="7">
        <v>99</v>
      </c>
      <c r="U697" s="15">
        <v>8</v>
      </c>
      <c r="V697" s="15">
        <v>30</v>
      </c>
      <c r="W697" s="15">
        <v>19</v>
      </c>
      <c r="X697" t="s">
        <v>61</v>
      </c>
      <c r="Y697" t="s">
        <v>62</v>
      </c>
      <c r="Z697" s="14">
        <v>4</v>
      </c>
      <c r="AA697" s="12">
        <f>YEAR(Table1[Hire_Date])</f>
        <v>2022</v>
      </c>
      <c r="AB69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698" spans="1:28" x14ac:dyDescent="0.25">
      <c r="A698" t="s">
        <v>2935</v>
      </c>
      <c r="B698" s="16" t="s">
        <v>2936</v>
      </c>
      <c r="C698" s="16" t="s">
        <v>2937</v>
      </c>
      <c r="D698" t="s">
        <v>44</v>
      </c>
      <c r="E698" s="15">
        <v>33</v>
      </c>
      <c r="F698" s="16" t="s">
        <v>45</v>
      </c>
      <c r="G698" s="16" t="s">
        <v>46</v>
      </c>
      <c r="H698" s="16" t="s">
        <v>56</v>
      </c>
      <c r="I698" s="16" t="s">
        <v>33</v>
      </c>
      <c r="J698" s="16" t="s">
        <v>34</v>
      </c>
      <c r="K698" s="17" t="s">
        <v>2467</v>
      </c>
      <c r="M698" t="s">
        <v>36</v>
      </c>
      <c r="N698" t="s">
        <v>253</v>
      </c>
      <c r="O698" t="s">
        <v>52</v>
      </c>
      <c r="P698" s="15">
        <v>30</v>
      </c>
      <c r="Q698" s="18">
        <v>144770</v>
      </c>
      <c r="R698" s="19">
        <v>6</v>
      </c>
      <c r="S698" s="14">
        <v>3.9</v>
      </c>
      <c r="T698" s="7">
        <v>50</v>
      </c>
      <c r="U698" s="15">
        <v>8</v>
      </c>
      <c r="V698" s="15">
        <v>13</v>
      </c>
      <c r="W698" s="15">
        <v>42</v>
      </c>
      <c r="X698" t="s">
        <v>61</v>
      </c>
      <c r="Y698" t="s">
        <v>62</v>
      </c>
      <c r="Z698" s="14">
        <v>2.5</v>
      </c>
      <c r="AA698" s="12">
        <f>YEAR(Table1[Hire_Date])</f>
        <v>2024</v>
      </c>
      <c r="AB69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699" spans="1:28" x14ac:dyDescent="0.25">
      <c r="A699" t="s">
        <v>2938</v>
      </c>
      <c r="B699" s="16" t="s">
        <v>2939</v>
      </c>
      <c r="C699" s="16" t="s">
        <v>2940</v>
      </c>
      <c r="D699" t="s">
        <v>44</v>
      </c>
      <c r="E699" s="15">
        <v>42</v>
      </c>
      <c r="F699" s="16" t="s">
        <v>124</v>
      </c>
      <c r="G699" s="16" t="s">
        <v>141</v>
      </c>
      <c r="H699" s="16" t="s">
        <v>83</v>
      </c>
      <c r="I699" s="16" t="s">
        <v>48</v>
      </c>
      <c r="J699" s="16" t="s">
        <v>34</v>
      </c>
      <c r="K699" s="17" t="s">
        <v>2941</v>
      </c>
      <c r="M699" t="s">
        <v>36</v>
      </c>
      <c r="N699" t="s">
        <v>510</v>
      </c>
      <c r="O699" t="s">
        <v>38</v>
      </c>
      <c r="P699" s="15">
        <v>34</v>
      </c>
      <c r="Q699" s="18">
        <v>150960</v>
      </c>
      <c r="R699" s="19">
        <v>17</v>
      </c>
      <c r="S699" s="14">
        <v>3.7</v>
      </c>
      <c r="T699" s="7">
        <v>51</v>
      </c>
      <c r="U699" s="15">
        <v>7</v>
      </c>
      <c r="V699" s="15">
        <v>58</v>
      </c>
      <c r="W699" s="15">
        <v>60</v>
      </c>
      <c r="X699" t="s">
        <v>39</v>
      </c>
      <c r="Y699" t="s">
        <v>40</v>
      </c>
      <c r="Z699" s="14">
        <v>5.0999999999999996</v>
      </c>
      <c r="AA699" s="12">
        <f>YEAR(Table1[Hire_Date])</f>
        <v>2021</v>
      </c>
      <c r="AB69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700" spans="1:28" x14ac:dyDescent="0.25">
      <c r="A700" t="s">
        <v>2942</v>
      </c>
      <c r="B700" s="16" t="s">
        <v>2943</v>
      </c>
      <c r="C700" s="16" t="s">
        <v>2944</v>
      </c>
      <c r="D700" t="s">
        <v>44</v>
      </c>
      <c r="E700" s="15">
        <v>58</v>
      </c>
      <c r="F700" s="16" t="s">
        <v>30</v>
      </c>
      <c r="G700" s="16" t="s">
        <v>13</v>
      </c>
      <c r="H700" s="16" t="s">
        <v>83</v>
      </c>
      <c r="I700" s="16" t="s">
        <v>48</v>
      </c>
      <c r="J700" s="16" t="s">
        <v>49</v>
      </c>
      <c r="K700" s="17" t="s">
        <v>2116</v>
      </c>
      <c r="M700" t="s">
        <v>36</v>
      </c>
      <c r="N700" t="s">
        <v>395</v>
      </c>
      <c r="O700" t="s">
        <v>38</v>
      </c>
      <c r="P700" s="15">
        <v>29</v>
      </c>
      <c r="Q700" s="18">
        <v>161729</v>
      </c>
      <c r="R700" s="19">
        <v>16</v>
      </c>
      <c r="S700" s="14">
        <v>4.3</v>
      </c>
      <c r="T700" s="7">
        <v>75</v>
      </c>
      <c r="U700" s="15">
        <v>19</v>
      </c>
      <c r="V700" s="15">
        <v>3</v>
      </c>
      <c r="W700" s="15">
        <v>11</v>
      </c>
      <c r="X700" t="s">
        <v>39</v>
      </c>
      <c r="Y700" t="s">
        <v>62</v>
      </c>
      <c r="Z700" s="14">
        <v>4.5999999999999996</v>
      </c>
      <c r="AA700" s="12">
        <f>YEAR(Table1[Hire_Date])</f>
        <v>2021</v>
      </c>
      <c r="AB70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701" spans="1:28" x14ac:dyDescent="0.25">
      <c r="A701" t="s">
        <v>2945</v>
      </c>
      <c r="B701" s="16" t="s">
        <v>2946</v>
      </c>
      <c r="C701" s="16" t="s">
        <v>2947</v>
      </c>
      <c r="D701" t="s">
        <v>29</v>
      </c>
      <c r="E701" s="15">
        <v>45</v>
      </c>
      <c r="F701" s="16" t="s">
        <v>30</v>
      </c>
      <c r="G701" s="16" t="s">
        <v>13</v>
      </c>
      <c r="H701" s="16" t="s">
        <v>47</v>
      </c>
      <c r="I701" s="16" t="s">
        <v>57</v>
      </c>
      <c r="J701" s="16" t="s">
        <v>49</v>
      </c>
      <c r="K701" s="17" t="s">
        <v>2948</v>
      </c>
      <c r="M701" t="s">
        <v>36</v>
      </c>
      <c r="N701" t="s">
        <v>268</v>
      </c>
      <c r="O701" t="s">
        <v>60</v>
      </c>
      <c r="P701" s="15">
        <v>35</v>
      </c>
      <c r="Q701" s="18">
        <v>78833</v>
      </c>
      <c r="R701" s="19">
        <v>13</v>
      </c>
      <c r="S701" s="14">
        <v>3.2</v>
      </c>
      <c r="T701" s="7">
        <v>64</v>
      </c>
      <c r="U701" s="15">
        <v>15</v>
      </c>
      <c r="V701" s="15">
        <v>21</v>
      </c>
      <c r="W701" s="15">
        <v>75</v>
      </c>
      <c r="X701" t="s">
        <v>61</v>
      </c>
      <c r="Y701" t="s">
        <v>62</v>
      </c>
      <c r="Z701" s="14">
        <v>1.2</v>
      </c>
      <c r="AA701" s="12">
        <f>YEAR(Table1[Hire_Date])</f>
        <v>2025</v>
      </c>
      <c r="AB70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702" spans="1:28" x14ac:dyDescent="0.25">
      <c r="A702" t="s">
        <v>2949</v>
      </c>
      <c r="B702" s="16" t="s">
        <v>2950</v>
      </c>
      <c r="C702" s="16" t="s">
        <v>2951</v>
      </c>
      <c r="D702" t="s">
        <v>44</v>
      </c>
      <c r="E702" s="15">
        <v>38</v>
      </c>
      <c r="F702" s="16" t="s">
        <v>72</v>
      </c>
      <c r="G702" s="16" t="s">
        <v>135</v>
      </c>
      <c r="H702" s="16" t="s">
        <v>32</v>
      </c>
      <c r="I702" s="16" t="s">
        <v>48</v>
      </c>
      <c r="J702" s="16" t="s">
        <v>34</v>
      </c>
      <c r="K702" s="17" t="s">
        <v>2952</v>
      </c>
      <c r="M702" t="s">
        <v>36</v>
      </c>
      <c r="N702" t="s">
        <v>358</v>
      </c>
      <c r="O702" t="s">
        <v>52</v>
      </c>
      <c r="P702" s="15">
        <v>16</v>
      </c>
      <c r="Q702" s="18">
        <v>50053</v>
      </c>
      <c r="R702" s="19">
        <v>15</v>
      </c>
      <c r="S702" s="14">
        <v>3.3</v>
      </c>
      <c r="T702" s="7">
        <v>90</v>
      </c>
      <c r="U702" s="15">
        <v>8</v>
      </c>
      <c r="V702" s="15">
        <v>1</v>
      </c>
      <c r="W702" s="15">
        <v>1</v>
      </c>
      <c r="X702" t="s">
        <v>61</v>
      </c>
      <c r="Y702" t="s">
        <v>78</v>
      </c>
      <c r="Z702" s="14">
        <v>4.8</v>
      </c>
      <c r="AA702" s="12">
        <f>YEAR(Table1[Hire_Date])</f>
        <v>2021</v>
      </c>
      <c r="AB70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703" spans="1:28" x14ac:dyDescent="0.25">
      <c r="A703" t="s">
        <v>2953</v>
      </c>
      <c r="B703" s="16" t="s">
        <v>2954</v>
      </c>
      <c r="C703" s="16" t="s">
        <v>2955</v>
      </c>
      <c r="D703" t="s">
        <v>44</v>
      </c>
      <c r="E703" s="15">
        <v>46</v>
      </c>
      <c r="F703" s="16" t="s">
        <v>72</v>
      </c>
      <c r="G703" s="16" t="s">
        <v>97</v>
      </c>
      <c r="H703" s="16" t="s">
        <v>32</v>
      </c>
      <c r="I703" s="16" t="s">
        <v>48</v>
      </c>
      <c r="J703" s="16" t="s">
        <v>34</v>
      </c>
      <c r="K703" s="17" t="s">
        <v>2952</v>
      </c>
      <c r="M703" t="s">
        <v>36</v>
      </c>
      <c r="N703" t="s">
        <v>1069</v>
      </c>
      <c r="O703" t="s">
        <v>60</v>
      </c>
      <c r="P703" s="15">
        <v>32</v>
      </c>
      <c r="Q703" s="18">
        <v>148825</v>
      </c>
      <c r="R703" s="19">
        <v>8</v>
      </c>
      <c r="S703" s="14">
        <v>4.8</v>
      </c>
      <c r="T703" s="7">
        <v>52</v>
      </c>
      <c r="U703" s="15">
        <v>17</v>
      </c>
      <c r="V703" s="15">
        <v>45</v>
      </c>
      <c r="W703" s="15">
        <v>78</v>
      </c>
      <c r="X703" t="s">
        <v>61</v>
      </c>
      <c r="Y703" t="s">
        <v>78</v>
      </c>
      <c r="Z703" s="14">
        <v>4.8</v>
      </c>
      <c r="AA703" s="12">
        <f>YEAR(Table1[Hire_Date])</f>
        <v>2021</v>
      </c>
      <c r="AB70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704" spans="1:28" x14ac:dyDescent="0.25">
      <c r="A704" t="s">
        <v>2956</v>
      </c>
      <c r="B704" s="16" t="s">
        <v>2957</v>
      </c>
      <c r="C704" s="16" t="s">
        <v>2958</v>
      </c>
      <c r="D704" t="s">
        <v>44</v>
      </c>
      <c r="E704" s="15">
        <v>52</v>
      </c>
      <c r="F704" s="16" t="s">
        <v>30</v>
      </c>
      <c r="G704" s="16" t="s">
        <v>31</v>
      </c>
      <c r="H704" s="16" t="s">
        <v>56</v>
      </c>
      <c r="I704" s="16" t="s">
        <v>33</v>
      </c>
      <c r="J704" s="16" t="s">
        <v>49</v>
      </c>
      <c r="K704" s="17" t="s">
        <v>2959</v>
      </c>
      <c r="M704" t="s">
        <v>36</v>
      </c>
      <c r="N704" t="s">
        <v>214</v>
      </c>
      <c r="O704" t="s">
        <v>38</v>
      </c>
      <c r="P704" s="15">
        <v>15</v>
      </c>
      <c r="Q704" s="18">
        <v>149614</v>
      </c>
      <c r="R704" s="19">
        <v>16</v>
      </c>
      <c r="S704" s="14">
        <v>4.3</v>
      </c>
      <c r="T704" s="7">
        <v>87</v>
      </c>
      <c r="U704" s="15">
        <v>13</v>
      </c>
      <c r="V704" s="15">
        <v>29</v>
      </c>
      <c r="W704" s="15">
        <v>11</v>
      </c>
      <c r="X704" t="s">
        <v>39</v>
      </c>
      <c r="Y704" t="s">
        <v>62</v>
      </c>
      <c r="Z704" s="14">
        <v>10</v>
      </c>
      <c r="AA704" s="12">
        <f>YEAR(Table1[Hire_Date])</f>
        <v>2016</v>
      </c>
      <c r="AB70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705" spans="1:28" x14ac:dyDescent="0.25">
      <c r="A705" t="s">
        <v>2960</v>
      </c>
      <c r="B705" s="16" t="s">
        <v>2961</v>
      </c>
      <c r="C705" s="16" t="s">
        <v>2962</v>
      </c>
      <c r="D705" t="s">
        <v>29</v>
      </c>
      <c r="E705" s="15">
        <v>46</v>
      </c>
      <c r="F705" s="16" t="s">
        <v>90</v>
      </c>
      <c r="G705" s="16" t="s">
        <v>13</v>
      </c>
      <c r="H705" s="16" t="s">
        <v>83</v>
      </c>
      <c r="I705" s="16" t="s">
        <v>57</v>
      </c>
      <c r="J705" s="16" t="s">
        <v>49</v>
      </c>
      <c r="K705" s="17" t="s">
        <v>2963</v>
      </c>
      <c r="M705" t="s">
        <v>36</v>
      </c>
      <c r="N705" t="s">
        <v>731</v>
      </c>
      <c r="O705" t="s">
        <v>52</v>
      </c>
      <c r="P705" s="15">
        <v>14</v>
      </c>
      <c r="Q705" s="18">
        <v>159952</v>
      </c>
      <c r="R705" s="19">
        <v>12</v>
      </c>
      <c r="S705" s="14">
        <v>3.8</v>
      </c>
      <c r="T705" s="7">
        <v>61</v>
      </c>
      <c r="U705" s="15">
        <v>0</v>
      </c>
      <c r="V705" s="15">
        <v>18</v>
      </c>
      <c r="W705" s="15">
        <v>52</v>
      </c>
      <c r="X705" t="s">
        <v>39</v>
      </c>
      <c r="Y705" t="s">
        <v>62</v>
      </c>
      <c r="Z705" s="14">
        <v>6.7</v>
      </c>
      <c r="AA705" s="12">
        <f>YEAR(Table1[Hire_Date])</f>
        <v>2019</v>
      </c>
      <c r="AB70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706" spans="1:28" x14ac:dyDescent="0.25">
      <c r="A706" t="s">
        <v>2964</v>
      </c>
      <c r="B706" s="16" t="s">
        <v>2965</v>
      </c>
      <c r="C706" s="16" t="s">
        <v>2966</v>
      </c>
      <c r="D706" t="s">
        <v>44</v>
      </c>
      <c r="E706" s="15">
        <v>41</v>
      </c>
      <c r="F706" s="16" t="s">
        <v>90</v>
      </c>
      <c r="G706" s="16" t="s">
        <v>281</v>
      </c>
      <c r="H706" s="16" t="s">
        <v>66</v>
      </c>
      <c r="I706" s="16" t="s">
        <v>48</v>
      </c>
      <c r="J706" s="16" t="s">
        <v>34</v>
      </c>
      <c r="K706" s="17" t="s">
        <v>1048</v>
      </c>
      <c r="M706" t="s">
        <v>36</v>
      </c>
      <c r="N706" t="s">
        <v>126</v>
      </c>
      <c r="O706" t="s">
        <v>60</v>
      </c>
      <c r="P706" s="15">
        <v>21</v>
      </c>
      <c r="Q706" s="18">
        <v>142779</v>
      </c>
      <c r="R706" s="19">
        <v>19</v>
      </c>
      <c r="S706" s="14">
        <v>2.7</v>
      </c>
      <c r="T706" s="7">
        <v>61</v>
      </c>
      <c r="U706" s="15">
        <v>16</v>
      </c>
      <c r="V706" s="15">
        <v>35</v>
      </c>
      <c r="W706" s="15">
        <v>63</v>
      </c>
      <c r="X706" t="s">
        <v>61</v>
      </c>
      <c r="Y706" t="s">
        <v>78</v>
      </c>
      <c r="Z706" s="14">
        <v>9.6999999999999993</v>
      </c>
      <c r="AA706" s="12">
        <f>YEAR(Table1[Hire_Date])</f>
        <v>2016</v>
      </c>
      <c r="AB70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707" spans="1:28" x14ac:dyDescent="0.25">
      <c r="A707" t="s">
        <v>2967</v>
      </c>
      <c r="B707" s="16" t="s">
        <v>2968</v>
      </c>
      <c r="C707" s="16" t="s">
        <v>2969</v>
      </c>
      <c r="D707" t="s">
        <v>29</v>
      </c>
      <c r="E707" s="15">
        <v>58</v>
      </c>
      <c r="F707" s="16" t="s">
        <v>45</v>
      </c>
      <c r="G707" s="16" t="s">
        <v>46</v>
      </c>
      <c r="H707" s="16" t="s">
        <v>83</v>
      </c>
      <c r="I707" s="16" t="s">
        <v>57</v>
      </c>
      <c r="J707" s="16" t="s">
        <v>49</v>
      </c>
      <c r="K707" s="17" t="s">
        <v>2970</v>
      </c>
      <c r="M707" t="s">
        <v>36</v>
      </c>
      <c r="N707" t="s">
        <v>180</v>
      </c>
      <c r="O707" t="s">
        <v>60</v>
      </c>
      <c r="P707" s="15">
        <v>18</v>
      </c>
      <c r="Q707" s="18">
        <v>98284</v>
      </c>
      <c r="R707" s="19">
        <v>10</v>
      </c>
      <c r="S707" s="14">
        <v>4</v>
      </c>
      <c r="T707" s="7">
        <v>95</v>
      </c>
      <c r="U707" s="15">
        <v>16</v>
      </c>
      <c r="V707" s="15">
        <v>11</v>
      </c>
      <c r="W707" s="15">
        <v>35</v>
      </c>
      <c r="X707" t="s">
        <v>39</v>
      </c>
      <c r="Y707" t="s">
        <v>78</v>
      </c>
      <c r="Z707" s="14">
        <v>3.8</v>
      </c>
      <c r="AA707" s="12">
        <f>YEAR(Table1[Hire_Date])</f>
        <v>2022</v>
      </c>
      <c r="AB70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708" spans="1:28" x14ac:dyDescent="0.25">
      <c r="A708" t="s">
        <v>2971</v>
      </c>
      <c r="B708" s="16" t="s">
        <v>2972</v>
      </c>
      <c r="C708" s="16" t="s">
        <v>2973</v>
      </c>
      <c r="D708" t="s">
        <v>44</v>
      </c>
      <c r="E708" s="15">
        <v>33</v>
      </c>
      <c r="F708" s="16" t="s">
        <v>30</v>
      </c>
      <c r="G708" s="16" t="s">
        <v>13</v>
      </c>
      <c r="H708" s="16" t="s">
        <v>66</v>
      </c>
      <c r="I708" s="16" t="s">
        <v>57</v>
      </c>
      <c r="J708" s="16" t="s">
        <v>34</v>
      </c>
      <c r="K708" s="17" t="s">
        <v>2974</v>
      </c>
      <c r="M708" t="s">
        <v>36</v>
      </c>
      <c r="N708" t="s">
        <v>380</v>
      </c>
      <c r="O708" t="s">
        <v>60</v>
      </c>
      <c r="P708" s="15">
        <v>30</v>
      </c>
      <c r="Q708" s="18">
        <v>90335</v>
      </c>
      <c r="R708" s="19">
        <v>14</v>
      </c>
      <c r="S708" s="14">
        <v>2.8</v>
      </c>
      <c r="T708" s="7">
        <v>63</v>
      </c>
      <c r="U708" s="15">
        <v>18</v>
      </c>
      <c r="V708" s="15">
        <v>48</v>
      </c>
      <c r="W708" s="15">
        <v>53</v>
      </c>
      <c r="X708" t="s">
        <v>61</v>
      </c>
      <c r="Y708" t="s">
        <v>40</v>
      </c>
      <c r="Z708" s="14">
        <v>3.5</v>
      </c>
      <c r="AA708" s="12">
        <f>YEAR(Table1[Hire_Date])</f>
        <v>2023</v>
      </c>
      <c r="AB70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709" spans="1:28" x14ac:dyDescent="0.25">
      <c r="A709" t="s">
        <v>2975</v>
      </c>
      <c r="B709" s="16" t="s">
        <v>2976</v>
      </c>
      <c r="C709" s="16" t="s">
        <v>2977</v>
      </c>
      <c r="D709" t="s">
        <v>29</v>
      </c>
      <c r="E709" s="15">
        <v>23</v>
      </c>
      <c r="F709" s="16" t="s">
        <v>124</v>
      </c>
      <c r="G709" s="16" t="s">
        <v>13</v>
      </c>
      <c r="H709" s="16" t="s">
        <v>47</v>
      </c>
      <c r="I709" s="16" t="s">
        <v>33</v>
      </c>
      <c r="J709" s="16" t="s">
        <v>49</v>
      </c>
      <c r="K709" s="17" t="s">
        <v>2978</v>
      </c>
      <c r="M709" t="s">
        <v>36</v>
      </c>
      <c r="N709" t="s">
        <v>669</v>
      </c>
      <c r="O709" t="s">
        <v>52</v>
      </c>
      <c r="P709" s="15">
        <v>17</v>
      </c>
      <c r="Q709" s="18">
        <v>149761</v>
      </c>
      <c r="R709" s="19">
        <v>16</v>
      </c>
      <c r="S709" s="14">
        <v>3.8</v>
      </c>
      <c r="T709" s="7">
        <v>80</v>
      </c>
      <c r="U709" s="15">
        <v>12</v>
      </c>
      <c r="V709" s="15">
        <v>5</v>
      </c>
      <c r="W709" s="15">
        <v>15</v>
      </c>
      <c r="X709" t="s">
        <v>39</v>
      </c>
      <c r="Y709" t="s">
        <v>78</v>
      </c>
      <c r="Z709" s="14">
        <v>1.6</v>
      </c>
      <c r="AA709" s="12">
        <f>YEAR(Table1[Hire_Date])</f>
        <v>2024</v>
      </c>
      <c r="AB70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710" spans="1:28" x14ac:dyDescent="0.25">
      <c r="A710" t="s">
        <v>2979</v>
      </c>
      <c r="B710" s="16" t="s">
        <v>2980</v>
      </c>
      <c r="C710" s="16" t="s">
        <v>2981</v>
      </c>
      <c r="D710" t="s">
        <v>44</v>
      </c>
      <c r="E710" s="15">
        <v>31</v>
      </c>
      <c r="F710" s="16" t="s">
        <v>72</v>
      </c>
      <c r="G710" s="16" t="s">
        <v>73</v>
      </c>
      <c r="H710" s="16" t="s">
        <v>47</v>
      </c>
      <c r="I710" s="16" t="s">
        <v>48</v>
      </c>
      <c r="J710" s="16" t="s">
        <v>34</v>
      </c>
      <c r="K710" s="17" t="s">
        <v>451</v>
      </c>
      <c r="M710" t="s">
        <v>36</v>
      </c>
      <c r="N710" t="s">
        <v>358</v>
      </c>
      <c r="O710" t="s">
        <v>60</v>
      </c>
      <c r="P710" s="15">
        <v>32</v>
      </c>
      <c r="Q710" s="18">
        <v>142447</v>
      </c>
      <c r="R710" s="19">
        <v>5</v>
      </c>
      <c r="S710" s="14">
        <v>2.6</v>
      </c>
      <c r="T710" s="7">
        <v>65</v>
      </c>
      <c r="U710" s="15">
        <v>13</v>
      </c>
      <c r="V710" s="15">
        <v>33</v>
      </c>
      <c r="W710" s="15">
        <v>68</v>
      </c>
      <c r="X710" t="s">
        <v>61</v>
      </c>
      <c r="Y710" t="s">
        <v>62</v>
      </c>
      <c r="Z710" s="14">
        <v>5.4</v>
      </c>
      <c r="AA710" s="12">
        <f>YEAR(Table1[Hire_Date])</f>
        <v>2021</v>
      </c>
      <c r="AB71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711" spans="1:28" x14ac:dyDescent="0.25">
      <c r="A711" t="s">
        <v>2982</v>
      </c>
      <c r="B711" s="16" t="s">
        <v>2983</v>
      </c>
      <c r="C711" s="16" t="s">
        <v>2984</v>
      </c>
      <c r="D711" t="s">
        <v>44</v>
      </c>
      <c r="E711" s="15">
        <v>45</v>
      </c>
      <c r="F711" s="16" t="s">
        <v>45</v>
      </c>
      <c r="G711" s="16" t="s">
        <v>82</v>
      </c>
      <c r="H711" s="16" t="s">
        <v>66</v>
      </c>
      <c r="I711" s="16" t="s">
        <v>57</v>
      </c>
      <c r="J711" s="16" t="s">
        <v>49</v>
      </c>
      <c r="K711" s="17" t="s">
        <v>2985</v>
      </c>
      <c r="M711" t="s">
        <v>36</v>
      </c>
      <c r="N711" t="s">
        <v>358</v>
      </c>
      <c r="O711" t="s">
        <v>52</v>
      </c>
      <c r="P711" s="15">
        <v>11</v>
      </c>
      <c r="Q711" s="18">
        <v>45684</v>
      </c>
      <c r="R711" s="19">
        <v>15</v>
      </c>
      <c r="S711" s="14">
        <v>2.5</v>
      </c>
      <c r="T711" s="7">
        <v>99</v>
      </c>
      <c r="U711" s="15">
        <v>18</v>
      </c>
      <c r="V711" s="15">
        <v>7</v>
      </c>
      <c r="W711" s="15">
        <v>32</v>
      </c>
      <c r="X711" t="s">
        <v>61</v>
      </c>
      <c r="Y711" t="s">
        <v>78</v>
      </c>
      <c r="Z711" s="14">
        <v>1.4</v>
      </c>
      <c r="AA711" s="12">
        <f>YEAR(Table1[Hire_Date])</f>
        <v>2025</v>
      </c>
      <c r="AB71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712" spans="1:28" x14ac:dyDescent="0.25">
      <c r="A712" t="s">
        <v>2986</v>
      </c>
      <c r="B712" s="16" t="s">
        <v>2987</v>
      </c>
      <c r="C712" s="16" t="s">
        <v>2988</v>
      </c>
      <c r="D712" t="s">
        <v>29</v>
      </c>
      <c r="E712" s="15">
        <v>26</v>
      </c>
      <c r="F712" s="16" t="s">
        <v>90</v>
      </c>
      <c r="G712" s="16" t="s">
        <v>281</v>
      </c>
      <c r="H712" s="16" t="s">
        <v>47</v>
      </c>
      <c r="I712" s="16" t="s">
        <v>48</v>
      </c>
      <c r="J712" s="16" t="s">
        <v>49</v>
      </c>
      <c r="K712" s="17" t="s">
        <v>2989</v>
      </c>
      <c r="M712" t="s">
        <v>36</v>
      </c>
      <c r="N712" t="s">
        <v>194</v>
      </c>
      <c r="O712" t="s">
        <v>38</v>
      </c>
      <c r="P712" s="15">
        <v>3</v>
      </c>
      <c r="Q712" s="18">
        <v>88691</v>
      </c>
      <c r="R712" s="19">
        <v>7</v>
      </c>
      <c r="S712" s="14">
        <v>3.3</v>
      </c>
      <c r="T712" s="7">
        <v>62</v>
      </c>
      <c r="U712" s="15">
        <v>2</v>
      </c>
      <c r="V712" s="15">
        <v>16</v>
      </c>
      <c r="W712" s="15">
        <v>77</v>
      </c>
      <c r="X712" t="s">
        <v>61</v>
      </c>
      <c r="Y712" t="s">
        <v>62</v>
      </c>
      <c r="Z712" s="14">
        <v>2.9</v>
      </c>
      <c r="AA712" s="12">
        <f>YEAR(Table1[Hire_Date])</f>
        <v>2023</v>
      </c>
      <c r="AB71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713" spans="1:28" x14ac:dyDescent="0.25">
      <c r="A713" t="s">
        <v>2990</v>
      </c>
      <c r="B713" s="16" t="s">
        <v>2991</v>
      </c>
      <c r="C713" s="16" t="s">
        <v>2992</v>
      </c>
      <c r="D713" t="s">
        <v>29</v>
      </c>
      <c r="E713" s="15">
        <v>33</v>
      </c>
      <c r="F713" s="16" t="s">
        <v>103</v>
      </c>
      <c r="G713" s="16" t="s">
        <v>13</v>
      </c>
      <c r="H713" s="16" t="s">
        <v>47</v>
      </c>
      <c r="I713" s="16" t="s">
        <v>57</v>
      </c>
      <c r="J713" s="16" t="s">
        <v>34</v>
      </c>
      <c r="K713" s="17" t="s">
        <v>2993</v>
      </c>
      <c r="M713" t="s">
        <v>36</v>
      </c>
      <c r="N713" t="s">
        <v>143</v>
      </c>
      <c r="O713" t="s">
        <v>60</v>
      </c>
      <c r="P713" s="15">
        <v>3</v>
      </c>
      <c r="Q713" s="18">
        <v>77521</v>
      </c>
      <c r="R713" s="19">
        <v>12</v>
      </c>
      <c r="S713" s="14">
        <v>2.6</v>
      </c>
      <c r="T713" s="7">
        <v>74</v>
      </c>
      <c r="U713" s="15">
        <v>16</v>
      </c>
      <c r="V713" s="15">
        <v>4</v>
      </c>
      <c r="W713" s="15">
        <v>7</v>
      </c>
      <c r="X713" t="s">
        <v>39</v>
      </c>
      <c r="Y713" t="s">
        <v>40</v>
      </c>
      <c r="Z713" s="14">
        <v>4</v>
      </c>
      <c r="AA713" s="12">
        <f>YEAR(Table1[Hire_Date])</f>
        <v>2022</v>
      </c>
      <c r="AB71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714" spans="1:28" x14ac:dyDescent="0.25">
      <c r="A714" t="s">
        <v>2994</v>
      </c>
      <c r="B714" s="16" t="s">
        <v>2995</v>
      </c>
      <c r="C714" s="16" t="s">
        <v>2996</v>
      </c>
      <c r="D714" t="s">
        <v>29</v>
      </c>
      <c r="E714" s="15">
        <v>49</v>
      </c>
      <c r="F714" s="16" t="s">
        <v>124</v>
      </c>
      <c r="G714" s="16" t="s">
        <v>104</v>
      </c>
      <c r="H714" s="16" t="s">
        <v>47</v>
      </c>
      <c r="I714" s="16" t="s">
        <v>57</v>
      </c>
      <c r="J714" s="16" t="s">
        <v>49</v>
      </c>
      <c r="K714" s="17" t="s">
        <v>622</v>
      </c>
      <c r="M714" t="s">
        <v>36</v>
      </c>
      <c r="N714" t="s">
        <v>342</v>
      </c>
      <c r="O714" t="s">
        <v>38</v>
      </c>
      <c r="P714" s="15">
        <v>0</v>
      </c>
      <c r="Q714" s="18">
        <v>75321</v>
      </c>
      <c r="R714" s="19">
        <v>19</v>
      </c>
      <c r="S714" s="14">
        <v>3.4</v>
      </c>
      <c r="T714" s="7">
        <v>83</v>
      </c>
      <c r="U714" s="15">
        <v>1</v>
      </c>
      <c r="V714" s="15">
        <v>60</v>
      </c>
      <c r="W714" s="15">
        <v>20</v>
      </c>
      <c r="X714" t="s">
        <v>61</v>
      </c>
      <c r="Y714" t="s">
        <v>40</v>
      </c>
      <c r="Z714" s="14">
        <v>5.0999999999999996</v>
      </c>
      <c r="AA714" s="12">
        <f>YEAR(Table1[Hire_Date])</f>
        <v>2021</v>
      </c>
      <c r="AB71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715" spans="1:28" x14ac:dyDescent="0.25">
      <c r="A715" t="s">
        <v>2997</v>
      </c>
      <c r="B715" s="16" t="s">
        <v>2998</v>
      </c>
      <c r="C715" s="16" t="s">
        <v>2999</v>
      </c>
      <c r="D715" t="s">
        <v>44</v>
      </c>
      <c r="E715" s="15">
        <v>21</v>
      </c>
      <c r="F715" s="16" t="s">
        <v>103</v>
      </c>
      <c r="G715" s="16" t="s">
        <v>104</v>
      </c>
      <c r="H715" s="16" t="s">
        <v>83</v>
      </c>
      <c r="I715" s="16" t="s">
        <v>33</v>
      </c>
      <c r="J715" s="16" t="s">
        <v>34</v>
      </c>
      <c r="K715" s="17" t="s">
        <v>3000</v>
      </c>
      <c r="M715" t="s">
        <v>36</v>
      </c>
      <c r="N715" t="s">
        <v>170</v>
      </c>
      <c r="O715" t="s">
        <v>38</v>
      </c>
      <c r="P715" s="15">
        <v>0</v>
      </c>
      <c r="Q715" s="18">
        <v>120749</v>
      </c>
      <c r="R715" s="19">
        <v>12</v>
      </c>
      <c r="S715" s="14">
        <v>2.7</v>
      </c>
      <c r="T715" s="7">
        <v>61</v>
      </c>
      <c r="U715" s="15">
        <v>17</v>
      </c>
      <c r="V715" s="15">
        <v>35</v>
      </c>
      <c r="W715" s="15">
        <v>69</v>
      </c>
      <c r="X715" t="s">
        <v>39</v>
      </c>
      <c r="Y715" t="s">
        <v>40</v>
      </c>
      <c r="Z715" s="14">
        <v>6.6</v>
      </c>
      <c r="AA715" s="12">
        <f>YEAR(Table1[Hire_Date])</f>
        <v>2019</v>
      </c>
      <c r="AB71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716" spans="1:28" x14ac:dyDescent="0.25">
      <c r="A716" t="s">
        <v>3001</v>
      </c>
      <c r="B716" s="16" t="s">
        <v>3002</v>
      </c>
      <c r="C716" s="16" t="s">
        <v>3003</v>
      </c>
      <c r="D716" t="s">
        <v>44</v>
      </c>
      <c r="E716" s="15">
        <v>40</v>
      </c>
      <c r="F716" s="16" t="s">
        <v>30</v>
      </c>
      <c r="G716" s="16" t="s">
        <v>13</v>
      </c>
      <c r="H716" s="16" t="s">
        <v>47</v>
      </c>
      <c r="I716" s="16" t="s">
        <v>48</v>
      </c>
      <c r="J716" s="16" t="s">
        <v>49</v>
      </c>
      <c r="K716" s="17" t="s">
        <v>3004</v>
      </c>
      <c r="M716" t="s">
        <v>36</v>
      </c>
      <c r="N716" t="s">
        <v>99</v>
      </c>
      <c r="O716" t="s">
        <v>38</v>
      </c>
      <c r="P716" s="15">
        <v>35</v>
      </c>
      <c r="Q716" s="18">
        <v>155273</v>
      </c>
      <c r="R716" s="19">
        <v>9</v>
      </c>
      <c r="S716" s="14">
        <v>2.7</v>
      </c>
      <c r="T716" s="7">
        <v>73</v>
      </c>
      <c r="U716" s="15">
        <v>19</v>
      </c>
      <c r="V716" s="15">
        <v>50</v>
      </c>
      <c r="W716" s="15">
        <v>40</v>
      </c>
      <c r="X716" t="s">
        <v>39</v>
      </c>
      <c r="Y716" t="s">
        <v>40</v>
      </c>
      <c r="Z716" s="14">
        <v>4.2</v>
      </c>
      <c r="AA716" s="12">
        <f>YEAR(Table1[Hire_Date])</f>
        <v>2022</v>
      </c>
      <c r="AB71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717" spans="1:28" x14ac:dyDescent="0.25">
      <c r="A717" t="s">
        <v>3005</v>
      </c>
      <c r="B717" s="16" t="s">
        <v>3006</v>
      </c>
      <c r="C717" s="16" t="s">
        <v>3007</v>
      </c>
      <c r="D717" t="s">
        <v>29</v>
      </c>
      <c r="E717" s="15">
        <v>31</v>
      </c>
      <c r="F717" s="16" t="s">
        <v>45</v>
      </c>
      <c r="G717" s="16" t="s">
        <v>46</v>
      </c>
      <c r="H717" s="16" t="s">
        <v>66</v>
      </c>
      <c r="I717" s="16" t="s">
        <v>57</v>
      </c>
      <c r="J717" s="16" t="s">
        <v>34</v>
      </c>
      <c r="K717" s="17" t="s">
        <v>2530</v>
      </c>
      <c r="M717" t="s">
        <v>36</v>
      </c>
      <c r="N717" t="s">
        <v>605</v>
      </c>
      <c r="O717" t="s">
        <v>60</v>
      </c>
      <c r="P717" s="15">
        <v>19</v>
      </c>
      <c r="Q717" s="18">
        <v>77623</v>
      </c>
      <c r="R717" s="19">
        <v>16</v>
      </c>
      <c r="S717" s="14">
        <v>2.7</v>
      </c>
      <c r="T717" s="7">
        <v>93</v>
      </c>
      <c r="U717" s="15">
        <v>12</v>
      </c>
      <c r="V717" s="15">
        <v>31</v>
      </c>
      <c r="W717" s="15">
        <v>79</v>
      </c>
      <c r="X717" t="s">
        <v>39</v>
      </c>
      <c r="Y717" t="s">
        <v>62</v>
      </c>
      <c r="Z717" s="14">
        <v>1.4</v>
      </c>
      <c r="AA717" s="12">
        <f>YEAR(Table1[Hire_Date])</f>
        <v>2025</v>
      </c>
      <c r="AB71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718" spans="1:28" x14ac:dyDescent="0.25">
      <c r="A718" t="s">
        <v>3008</v>
      </c>
      <c r="B718" s="16" t="s">
        <v>3009</v>
      </c>
      <c r="C718" s="16" t="s">
        <v>3010</v>
      </c>
      <c r="D718" t="s">
        <v>29</v>
      </c>
      <c r="E718" s="15">
        <v>55</v>
      </c>
      <c r="F718" s="16" t="s">
        <v>103</v>
      </c>
      <c r="G718" s="16" t="s">
        <v>147</v>
      </c>
      <c r="H718" s="16" t="s">
        <v>83</v>
      </c>
      <c r="I718" s="16" t="s">
        <v>48</v>
      </c>
      <c r="J718" s="16" t="s">
        <v>34</v>
      </c>
      <c r="K718" s="17" t="s">
        <v>3011</v>
      </c>
      <c r="M718" t="s">
        <v>36</v>
      </c>
      <c r="N718" t="s">
        <v>469</v>
      </c>
      <c r="O718" t="s">
        <v>38</v>
      </c>
      <c r="P718" s="15">
        <v>15</v>
      </c>
      <c r="Q718" s="18">
        <v>100046</v>
      </c>
      <c r="R718" s="19">
        <v>7</v>
      </c>
      <c r="S718" s="14">
        <v>4</v>
      </c>
      <c r="T718" s="7">
        <v>77</v>
      </c>
      <c r="U718" s="15">
        <v>11</v>
      </c>
      <c r="V718" s="15">
        <v>5</v>
      </c>
      <c r="W718" s="15">
        <v>59</v>
      </c>
      <c r="X718" t="s">
        <v>61</v>
      </c>
      <c r="Y718" t="s">
        <v>40</v>
      </c>
      <c r="Z718" s="14">
        <v>1.7</v>
      </c>
      <c r="AA718" s="12">
        <f>YEAR(Table1[Hire_Date])</f>
        <v>2024</v>
      </c>
      <c r="AB71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719" spans="1:28" x14ac:dyDescent="0.25">
      <c r="A719" t="s">
        <v>3012</v>
      </c>
      <c r="B719" s="16" t="s">
        <v>3013</v>
      </c>
      <c r="C719" s="16" t="s">
        <v>3014</v>
      </c>
      <c r="D719" t="s">
        <v>44</v>
      </c>
      <c r="E719" s="15">
        <v>46</v>
      </c>
      <c r="F719" s="16" t="s">
        <v>72</v>
      </c>
      <c r="G719" s="16" t="s">
        <v>135</v>
      </c>
      <c r="H719" s="16" t="s">
        <v>56</v>
      </c>
      <c r="I719" s="16" t="s">
        <v>33</v>
      </c>
      <c r="J719" s="16" t="s">
        <v>34</v>
      </c>
      <c r="K719" s="17" t="s">
        <v>3015</v>
      </c>
      <c r="M719" t="s">
        <v>36</v>
      </c>
      <c r="N719" t="s">
        <v>68</v>
      </c>
      <c r="O719" t="s">
        <v>52</v>
      </c>
      <c r="P719" s="15">
        <v>32</v>
      </c>
      <c r="Q719" s="18">
        <v>140740</v>
      </c>
      <c r="R719" s="19">
        <v>11</v>
      </c>
      <c r="S719" s="14">
        <v>4.8</v>
      </c>
      <c r="T719" s="7">
        <v>52</v>
      </c>
      <c r="U719" s="15">
        <v>20</v>
      </c>
      <c r="V719" s="15">
        <v>17</v>
      </c>
      <c r="W719" s="15">
        <v>25</v>
      </c>
      <c r="X719" t="s">
        <v>61</v>
      </c>
      <c r="Y719" t="s">
        <v>40</v>
      </c>
      <c r="Z719" s="14">
        <v>7.9</v>
      </c>
      <c r="AA719" s="12">
        <f>YEAR(Table1[Hire_Date])</f>
        <v>2018</v>
      </c>
      <c r="AB71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720" spans="1:28" x14ac:dyDescent="0.25">
      <c r="A720" t="s">
        <v>3016</v>
      </c>
      <c r="B720" s="16" t="s">
        <v>3017</v>
      </c>
      <c r="C720" s="16" t="s">
        <v>3018</v>
      </c>
      <c r="D720" t="s">
        <v>29</v>
      </c>
      <c r="E720" s="15">
        <v>33</v>
      </c>
      <c r="F720" s="16" t="s">
        <v>45</v>
      </c>
      <c r="G720" s="16" t="s">
        <v>46</v>
      </c>
      <c r="H720" s="16" t="s">
        <v>56</v>
      </c>
      <c r="I720" s="16" t="s">
        <v>33</v>
      </c>
      <c r="J720" s="16" t="s">
        <v>34</v>
      </c>
      <c r="K720" s="17" t="s">
        <v>3019</v>
      </c>
      <c r="M720" t="s">
        <v>36</v>
      </c>
      <c r="N720" t="s">
        <v>1791</v>
      </c>
      <c r="O720" t="s">
        <v>38</v>
      </c>
      <c r="P720" s="15">
        <v>0</v>
      </c>
      <c r="Q720" s="18">
        <v>173174</v>
      </c>
      <c r="R720" s="19">
        <v>15</v>
      </c>
      <c r="S720" s="14">
        <v>4.0999999999999996</v>
      </c>
      <c r="T720" s="7">
        <v>81</v>
      </c>
      <c r="U720" s="15">
        <v>10</v>
      </c>
      <c r="V720" s="15">
        <v>2</v>
      </c>
      <c r="W720" s="15">
        <v>80</v>
      </c>
      <c r="X720" t="s">
        <v>39</v>
      </c>
      <c r="Y720" t="s">
        <v>62</v>
      </c>
      <c r="Z720" s="14">
        <v>4.5999999999999996</v>
      </c>
      <c r="AA720" s="12">
        <f>YEAR(Table1[Hire_Date])</f>
        <v>2022</v>
      </c>
      <c r="AB72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721" spans="1:28" x14ac:dyDescent="0.25">
      <c r="A721" t="s">
        <v>3020</v>
      </c>
      <c r="B721" s="16" t="s">
        <v>3021</v>
      </c>
      <c r="C721" s="16" t="s">
        <v>3022</v>
      </c>
      <c r="D721" t="s">
        <v>44</v>
      </c>
      <c r="E721" s="15">
        <v>39</v>
      </c>
      <c r="F721" s="16" t="s">
        <v>90</v>
      </c>
      <c r="G721" s="16" t="s">
        <v>281</v>
      </c>
      <c r="H721" s="16" t="s">
        <v>47</v>
      </c>
      <c r="I721" s="16" t="s">
        <v>48</v>
      </c>
      <c r="J721" s="16" t="s">
        <v>49</v>
      </c>
      <c r="K721" s="17" t="s">
        <v>3023</v>
      </c>
      <c r="M721" t="s">
        <v>36</v>
      </c>
      <c r="N721" t="s">
        <v>126</v>
      </c>
      <c r="O721" t="s">
        <v>38</v>
      </c>
      <c r="P721" s="15">
        <v>15</v>
      </c>
      <c r="Q721" s="18">
        <v>151903</v>
      </c>
      <c r="R721" s="19">
        <v>8</v>
      </c>
      <c r="S721" s="14">
        <v>4.0999999999999996</v>
      </c>
      <c r="T721" s="7">
        <v>77</v>
      </c>
      <c r="U721" s="15">
        <v>12</v>
      </c>
      <c r="V721" s="15">
        <v>49</v>
      </c>
      <c r="W721" s="15">
        <v>10</v>
      </c>
      <c r="X721" t="s">
        <v>61</v>
      </c>
      <c r="Y721" t="s">
        <v>40</v>
      </c>
      <c r="Z721" s="14">
        <v>7.4</v>
      </c>
      <c r="AA721" s="12">
        <f>YEAR(Table1[Hire_Date])</f>
        <v>2019</v>
      </c>
      <c r="AB72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722" spans="1:28" x14ac:dyDescent="0.25">
      <c r="A722" t="s">
        <v>3024</v>
      </c>
      <c r="B722" s="16" t="s">
        <v>3025</v>
      </c>
      <c r="C722" s="16" t="s">
        <v>3026</v>
      </c>
      <c r="D722" t="s">
        <v>44</v>
      </c>
      <c r="E722" s="15">
        <v>45</v>
      </c>
      <c r="F722" s="16" t="s">
        <v>103</v>
      </c>
      <c r="G722" s="16" t="s">
        <v>104</v>
      </c>
      <c r="H722" s="16" t="s">
        <v>56</v>
      </c>
      <c r="I722" s="16" t="s">
        <v>57</v>
      </c>
      <c r="J722" s="16" t="s">
        <v>34</v>
      </c>
      <c r="K722" s="17" t="s">
        <v>3027</v>
      </c>
      <c r="M722" t="s">
        <v>36</v>
      </c>
      <c r="N722" t="s">
        <v>229</v>
      </c>
      <c r="O722" t="s">
        <v>38</v>
      </c>
      <c r="P722" s="15">
        <v>5</v>
      </c>
      <c r="Q722" s="18">
        <v>61348</v>
      </c>
      <c r="R722" s="19">
        <v>17</v>
      </c>
      <c r="S722" s="14">
        <v>4.8</v>
      </c>
      <c r="T722" s="7">
        <v>91</v>
      </c>
      <c r="U722" s="15">
        <v>10</v>
      </c>
      <c r="V722" s="15">
        <v>4</v>
      </c>
      <c r="W722" s="15">
        <v>24</v>
      </c>
      <c r="X722" t="s">
        <v>61</v>
      </c>
      <c r="Y722" t="s">
        <v>62</v>
      </c>
      <c r="Z722" s="14">
        <v>8.1</v>
      </c>
      <c r="AA722" s="12">
        <f>YEAR(Table1[Hire_Date])</f>
        <v>2018</v>
      </c>
      <c r="AB72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723" spans="1:28" x14ac:dyDescent="0.25">
      <c r="A723" t="s">
        <v>3028</v>
      </c>
      <c r="B723" s="16" t="s">
        <v>3029</v>
      </c>
      <c r="C723" s="16" t="s">
        <v>3030</v>
      </c>
      <c r="D723" t="s">
        <v>29</v>
      </c>
      <c r="E723" s="15">
        <v>48</v>
      </c>
      <c r="F723" s="16" t="s">
        <v>45</v>
      </c>
      <c r="G723" s="16" t="s">
        <v>82</v>
      </c>
      <c r="H723" s="16" t="s">
        <v>66</v>
      </c>
      <c r="I723" s="16" t="s">
        <v>57</v>
      </c>
      <c r="J723" s="16" t="s">
        <v>34</v>
      </c>
      <c r="K723" s="17" t="s">
        <v>3031</v>
      </c>
      <c r="L723" s="17" t="s">
        <v>3032</v>
      </c>
      <c r="M723" t="s">
        <v>76</v>
      </c>
      <c r="N723" t="s">
        <v>385</v>
      </c>
      <c r="O723" t="s">
        <v>38</v>
      </c>
      <c r="P723" s="15">
        <v>24</v>
      </c>
      <c r="Q723" s="18">
        <v>136711</v>
      </c>
      <c r="R723" s="19">
        <v>16</v>
      </c>
      <c r="S723" s="14">
        <v>4.0999999999999996</v>
      </c>
      <c r="T723" s="7">
        <v>97</v>
      </c>
      <c r="U723" s="15">
        <v>2</v>
      </c>
      <c r="V723" s="15">
        <v>34</v>
      </c>
      <c r="W723" s="15">
        <v>37</v>
      </c>
      <c r="X723" t="s">
        <v>61</v>
      </c>
      <c r="Y723" t="s">
        <v>62</v>
      </c>
      <c r="Z723" s="14">
        <v>6.8</v>
      </c>
      <c r="AA723" s="12">
        <f>YEAR(Table1[Hire_Date])</f>
        <v>2019</v>
      </c>
      <c r="AB72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724" spans="1:28" x14ac:dyDescent="0.25">
      <c r="A724" t="s">
        <v>3033</v>
      </c>
      <c r="B724" s="16" t="s">
        <v>3034</v>
      </c>
      <c r="C724" s="16" t="s">
        <v>3035</v>
      </c>
      <c r="D724" t="s">
        <v>44</v>
      </c>
      <c r="E724" s="15">
        <v>28</v>
      </c>
      <c r="F724" s="16" t="s">
        <v>72</v>
      </c>
      <c r="G724" s="16" t="s">
        <v>135</v>
      </c>
      <c r="H724" s="16" t="s">
        <v>47</v>
      </c>
      <c r="I724" s="16" t="s">
        <v>48</v>
      </c>
      <c r="J724" s="16" t="s">
        <v>49</v>
      </c>
      <c r="K724" s="17" t="s">
        <v>3036</v>
      </c>
      <c r="M724" t="s">
        <v>36</v>
      </c>
      <c r="N724" t="s">
        <v>1069</v>
      </c>
      <c r="O724" t="s">
        <v>52</v>
      </c>
      <c r="P724" s="15">
        <v>23</v>
      </c>
      <c r="Q724" s="18">
        <v>161237</v>
      </c>
      <c r="R724" s="19">
        <v>11</v>
      </c>
      <c r="S724" s="14">
        <v>3</v>
      </c>
      <c r="T724" s="7">
        <v>68</v>
      </c>
      <c r="U724" s="15">
        <v>20</v>
      </c>
      <c r="V724" s="15">
        <v>43</v>
      </c>
      <c r="W724" s="15">
        <v>70</v>
      </c>
      <c r="X724" t="s">
        <v>39</v>
      </c>
      <c r="Y724" t="s">
        <v>78</v>
      </c>
      <c r="Z724" s="14">
        <v>4.5</v>
      </c>
      <c r="AA724" s="12">
        <f>YEAR(Table1[Hire_Date])</f>
        <v>2022</v>
      </c>
      <c r="AB72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725" spans="1:28" x14ac:dyDescent="0.25">
      <c r="A725" t="s">
        <v>3037</v>
      </c>
      <c r="B725" s="16" t="s">
        <v>3038</v>
      </c>
      <c r="C725" s="16" t="s">
        <v>3039</v>
      </c>
      <c r="D725" t="s">
        <v>29</v>
      </c>
      <c r="E725" s="15">
        <v>42</v>
      </c>
      <c r="F725" s="16" t="s">
        <v>103</v>
      </c>
      <c r="G725" s="16" t="s">
        <v>147</v>
      </c>
      <c r="H725" s="16" t="s">
        <v>56</v>
      </c>
      <c r="I725" s="16" t="s">
        <v>33</v>
      </c>
      <c r="J725" s="16" t="s">
        <v>34</v>
      </c>
      <c r="K725" s="17" t="s">
        <v>1222</v>
      </c>
      <c r="M725" t="s">
        <v>36</v>
      </c>
      <c r="N725" t="s">
        <v>1237</v>
      </c>
      <c r="O725" t="s">
        <v>60</v>
      </c>
      <c r="P725" s="15">
        <v>19</v>
      </c>
      <c r="Q725" s="18">
        <v>52107</v>
      </c>
      <c r="R725" s="19">
        <v>21</v>
      </c>
      <c r="S725" s="14">
        <v>4.9000000000000004</v>
      </c>
      <c r="T725" s="7">
        <v>77</v>
      </c>
      <c r="U725" s="15">
        <v>12</v>
      </c>
      <c r="V725" s="15">
        <v>19</v>
      </c>
      <c r="W725" s="15">
        <v>12</v>
      </c>
      <c r="X725" t="s">
        <v>61</v>
      </c>
      <c r="Y725" t="s">
        <v>62</v>
      </c>
      <c r="Z725" s="14">
        <v>6.2</v>
      </c>
      <c r="AA725" s="12">
        <f>YEAR(Table1[Hire_Date])</f>
        <v>2020</v>
      </c>
      <c r="AB72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726" spans="1:28" x14ac:dyDescent="0.25">
      <c r="A726" t="s">
        <v>3040</v>
      </c>
      <c r="B726" s="16" t="s">
        <v>3041</v>
      </c>
      <c r="C726" s="16" t="s">
        <v>3042</v>
      </c>
      <c r="D726" t="s">
        <v>44</v>
      </c>
      <c r="E726" s="15">
        <v>44</v>
      </c>
      <c r="F726" s="16" t="s">
        <v>72</v>
      </c>
      <c r="G726" s="16" t="s">
        <v>97</v>
      </c>
      <c r="H726" s="16" t="s">
        <v>66</v>
      </c>
      <c r="I726" s="16" t="s">
        <v>33</v>
      </c>
      <c r="J726" s="16" t="s">
        <v>49</v>
      </c>
      <c r="K726" s="17" t="s">
        <v>3043</v>
      </c>
      <c r="M726" t="s">
        <v>36</v>
      </c>
      <c r="N726" t="s">
        <v>1297</v>
      </c>
      <c r="O726" t="s">
        <v>52</v>
      </c>
      <c r="P726" s="15">
        <v>21</v>
      </c>
      <c r="Q726" s="18">
        <v>60145</v>
      </c>
      <c r="R726" s="19">
        <v>24</v>
      </c>
      <c r="S726" s="14">
        <v>2.8</v>
      </c>
      <c r="T726" s="7">
        <v>85</v>
      </c>
      <c r="U726" s="15">
        <v>7</v>
      </c>
      <c r="V726" s="15">
        <v>60</v>
      </c>
      <c r="W726" s="15">
        <v>27</v>
      </c>
      <c r="X726" t="s">
        <v>39</v>
      </c>
      <c r="Y726" t="s">
        <v>40</v>
      </c>
      <c r="Z726" s="14">
        <v>4</v>
      </c>
      <c r="AA726" s="12">
        <f>YEAR(Table1[Hire_Date])</f>
        <v>2022</v>
      </c>
      <c r="AB72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727" spans="1:28" x14ac:dyDescent="0.25">
      <c r="A727" t="s">
        <v>3044</v>
      </c>
      <c r="B727" s="16" t="s">
        <v>3045</v>
      </c>
      <c r="C727" s="16" t="s">
        <v>3046</v>
      </c>
      <c r="D727" t="s">
        <v>44</v>
      </c>
      <c r="E727" s="15">
        <v>21</v>
      </c>
      <c r="F727" s="16" t="s">
        <v>45</v>
      </c>
      <c r="G727" s="16" t="s">
        <v>46</v>
      </c>
      <c r="H727" s="16" t="s">
        <v>83</v>
      </c>
      <c r="I727" s="16" t="s">
        <v>48</v>
      </c>
      <c r="J727" s="16" t="s">
        <v>49</v>
      </c>
      <c r="K727" s="17" t="s">
        <v>3047</v>
      </c>
      <c r="M727" t="s">
        <v>36</v>
      </c>
      <c r="N727" t="s">
        <v>229</v>
      </c>
      <c r="O727" t="s">
        <v>52</v>
      </c>
      <c r="P727" s="15">
        <v>35</v>
      </c>
      <c r="Q727" s="18">
        <v>166616</v>
      </c>
      <c r="R727" s="19">
        <v>16</v>
      </c>
      <c r="S727" s="14">
        <v>3.6</v>
      </c>
      <c r="T727" s="7">
        <v>61</v>
      </c>
      <c r="U727" s="15">
        <v>9</v>
      </c>
      <c r="V727" s="15">
        <v>36</v>
      </c>
      <c r="W727" s="15">
        <v>58</v>
      </c>
      <c r="X727" t="s">
        <v>61</v>
      </c>
      <c r="Y727" t="s">
        <v>62</v>
      </c>
      <c r="Z727" s="14">
        <v>2.9</v>
      </c>
      <c r="AA727" s="12">
        <f>YEAR(Table1[Hire_Date])</f>
        <v>2023</v>
      </c>
      <c r="AB72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728" spans="1:28" x14ac:dyDescent="0.25">
      <c r="A728" t="s">
        <v>3048</v>
      </c>
      <c r="B728" s="16" t="s">
        <v>3049</v>
      </c>
      <c r="C728" s="16" t="s">
        <v>3050</v>
      </c>
      <c r="D728" t="s">
        <v>44</v>
      </c>
      <c r="E728" s="15">
        <v>29</v>
      </c>
      <c r="F728" s="16" t="s">
        <v>30</v>
      </c>
      <c r="G728" s="16" t="s">
        <v>31</v>
      </c>
      <c r="H728" s="16" t="s">
        <v>47</v>
      </c>
      <c r="I728" s="16" t="s">
        <v>33</v>
      </c>
      <c r="J728" s="16" t="s">
        <v>34</v>
      </c>
      <c r="K728" s="17" t="s">
        <v>563</v>
      </c>
      <c r="M728" t="s">
        <v>36</v>
      </c>
      <c r="N728" t="s">
        <v>131</v>
      </c>
      <c r="O728" t="s">
        <v>60</v>
      </c>
      <c r="P728" s="15">
        <v>14</v>
      </c>
      <c r="Q728" s="18">
        <v>67028</v>
      </c>
      <c r="R728" s="19">
        <v>20</v>
      </c>
      <c r="S728" s="14">
        <v>4.9000000000000004</v>
      </c>
      <c r="T728" s="7">
        <v>70</v>
      </c>
      <c r="U728" s="15">
        <v>13</v>
      </c>
      <c r="V728" s="15">
        <v>39</v>
      </c>
      <c r="W728" s="15">
        <v>20</v>
      </c>
      <c r="X728" t="s">
        <v>39</v>
      </c>
      <c r="Y728" t="s">
        <v>62</v>
      </c>
      <c r="Z728" s="14">
        <v>1.8</v>
      </c>
      <c r="AA728" s="12">
        <f>YEAR(Table1[Hire_Date])</f>
        <v>2024</v>
      </c>
      <c r="AB72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729" spans="1:28" x14ac:dyDescent="0.25">
      <c r="A729" t="s">
        <v>3051</v>
      </c>
      <c r="B729" s="16" t="s">
        <v>3052</v>
      </c>
      <c r="C729" s="16" t="s">
        <v>3053</v>
      </c>
      <c r="D729" t="s">
        <v>44</v>
      </c>
      <c r="E729" s="15">
        <v>27</v>
      </c>
      <c r="F729" s="16" t="s">
        <v>90</v>
      </c>
      <c r="G729" s="16" t="s">
        <v>281</v>
      </c>
      <c r="H729" s="16" t="s">
        <v>83</v>
      </c>
      <c r="I729" s="16" t="s">
        <v>33</v>
      </c>
      <c r="J729" s="16" t="s">
        <v>34</v>
      </c>
      <c r="K729" s="17" t="s">
        <v>3054</v>
      </c>
      <c r="M729" t="s">
        <v>36</v>
      </c>
      <c r="N729" t="s">
        <v>328</v>
      </c>
      <c r="O729" t="s">
        <v>52</v>
      </c>
      <c r="P729" s="15">
        <v>13</v>
      </c>
      <c r="Q729" s="18">
        <v>67909</v>
      </c>
      <c r="R729" s="19">
        <v>16</v>
      </c>
      <c r="S729" s="14">
        <v>3.4</v>
      </c>
      <c r="T729" s="7">
        <v>94</v>
      </c>
      <c r="U729" s="15">
        <v>0</v>
      </c>
      <c r="V729" s="15">
        <v>51</v>
      </c>
      <c r="W729" s="15">
        <v>69</v>
      </c>
      <c r="X729" t="s">
        <v>61</v>
      </c>
      <c r="Y729" t="s">
        <v>78</v>
      </c>
      <c r="Z729" s="14">
        <v>1.7</v>
      </c>
      <c r="AA729" s="12">
        <f>YEAR(Table1[Hire_Date])</f>
        <v>2024</v>
      </c>
      <c r="AB72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730" spans="1:28" x14ac:dyDescent="0.25">
      <c r="A730" t="s">
        <v>3055</v>
      </c>
      <c r="B730" s="16" t="s">
        <v>3056</v>
      </c>
      <c r="C730" s="16" t="s">
        <v>3057</v>
      </c>
      <c r="D730" t="s">
        <v>29</v>
      </c>
      <c r="E730" s="15">
        <v>56</v>
      </c>
      <c r="F730" s="16" t="s">
        <v>124</v>
      </c>
      <c r="G730" s="16" t="s">
        <v>141</v>
      </c>
      <c r="H730" s="16" t="s">
        <v>32</v>
      </c>
      <c r="I730" s="16" t="s">
        <v>57</v>
      </c>
      <c r="J730" s="16" t="s">
        <v>49</v>
      </c>
      <c r="K730" s="17" t="s">
        <v>3058</v>
      </c>
      <c r="M730" t="s">
        <v>36</v>
      </c>
      <c r="N730" t="s">
        <v>2294</v>
      </c>
      <c r="O730" t="s">
        <v>38</v>
      </c>
      <c r="P730" s="15">
        <v>16</v>
      </c>
      <c r="Q730" s="18">
        <v>142877</v>
      </c>
      <c r="R730" s="19">
        <v>17</v>
      </c>
      <c r="S730" s="14">
        <v>3.6</v>
      </c>
      <c r="T730" s="7">
        <v>68</v>
      </c>
      <c r="U730" s="15">
        <v>10</v>
      </c>
      <c r="V730" s="15">
        <v>26</v>
      </c>
      <c r="W730" s="15">
        <v>15</v>
      </c>
      <c r="X730" t="s">
        <v>61</v>
      </c>
      <c r="Y730" t="s">
        <v>40</v>
      </c>
      <c r="Z730" s="14">
        <v>9.3000000000000007</v>
      </c>
      <c r="AA730" s="12">
        <f>YEAR(Table1[Hire_Date])</f>
        <v>2017</v>
      </c>
      <c r="AB73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731" spans="1:28" x14ac:dyDescent="0.25">
      <c r="A731" t="s">
        <v>3059</v>
      </c>
      <c r="B731" s="16" t="s">
        <v>3060</v>
      </c>
      <c r="C731" s="16" t="s">
        <v>3061</v>
      </c>
      <c r="D731" t="s">
        <v>44</v>
      </c>
      <c r="E731" s="15">
        <v>34</v>
      </c>
      <c r="F731" s="16" t="s">
        <v>45</v>
      </c>
      <c r="G731" s="16" t="s">
        <v>82</v>
      </c>
      <c r="H731" s="16" t="s">
        <v>66</v>
      </c>
      <c r="I731" s="16" t="s">
        <v>48</v>
      </c>
      <c r="J731" s="16" t="s">
        <v>49</v>
      </c>
      <c r="K731" s="17" t="s">
        <v>3062</v>
      </c>
      <c r="M731" t="s">
        <v>36</v>
      </c>
      <c r="N731" t="s">
        <v>527</v>
      </c>
      <c r="O731" t="s">
        <v>52</v>
      </c>
      <c r="P731" s="15">
        <v>35</v>
      </c>
      <c r="Q731" s="18">
        <v>41708</v>
      </c>
      <c r="R731" s="19">
        <v>15</v>
      </c>
      <c r="S731" s="14">
        <v>3.5</v>
      </c>
      <c r="T731" s="7">
        <v>57</v>
      </c>
      <c r="U731" s="15">
        <v>2</v>
      </c>
      <c r="V731" s="15">
        <v>10</v>
      </c>
      <c r="W731" s="15">
        <v>28</v>
      </c>
      <c r="X731" t="s">
        <v>39</v>
      </c>
      <c r="Y731" t="s">
        <v>40</v>
      </c>
      <c r="Z731" s="14">
        <v>3.5</v>
      </c>
      <c r="AA731" s="12">
        <f>YEAR(Table1[Hire_Date])</f>
        <v>2023</v>
      </c>
      <c r="AB73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732" spans="1:28" x14ac:dyDescent="0.25">
      <c r="A732" t="s">
        <v>3063</v>
      </c>
      <c r="B732" s="16" t="s">
        <v>3064</v>
      </c>
      <c r="C732" s="16" t="s">
        <v>3065</v>
      </c>
      <c r="D732" t="s">
        <v>29</v>
      </c>
      <c r="E732" s="15">
        <v>34</v>
      </c>
      <c r="F732" s="16" t="s">
        <v>72</v>
      </c>
      <c r="G732" s="16" t="s">
        <v>73</v>
      </c>
      <c r="H732" s="16" t="s">
        <v>32</v>
      </c>
      <c r="I732" s="16" t="s">
        <v>57</v>
      </c>
      <c r="J732" s="16" t="s">
        <v>49</v>
      </c>
      <c r="K732" s="17" t="s">
        <v>3066</v>
      </c>
      <c r="M732" t="s">
        <v>36</v>
      </c>
      <c r="N732" t="s">
        <v>219</v>
      </c>
      <c r="O732" t="s">
        <v>52</v>
      </c>
      <c r="P732" s="15">
        <v>5</v>
      </c>
      <c r="Q732" s="18">
        <v>108792</v>
      </c>
      <c r="R732" s="19">
        <v>20</v>
      </c>
      <c r="S732" s="14">
        <v>4.4000000000000004</v>
      </c>
      <c r="T732" s="7">
        <v>59</v>
      </c>
      <c r="U732" s="15">
        <v>8</v>
      </c>
      <c r="V732" s="15">
        <v>48</v>
      </c>
      <c r="W732" s="15">
        <v>24</v>
      </c>
      <c r="X732" t="s">
        <v>61</v>
      </c>
      <c r="Y732" t="s">
        <v>78</v>
      </c>
      <c r="Z732" s="14">
        <v>6.6</v>
      </c>
      <c r="AA732" s="12">
        <f>YEAR(Table1[Hire_Date])</f>
        <v>2019</v>
      </c>
      <c r="AB73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733" spans="1:28" x14ac:dyDescent="0.25">
      <c r="A733" t="s">
        <v>3067</v>
      </c>
      <c r="B733" s="16" t="s">
        <v>3068</v>
      </c>
      <c r="C733" s="16" t="s">
        <v>3069</v>
      </c>
      <c r="D733" t="s">
        <v>44</v>
      </c>
      <c r="E733" s="15">
        <v>45</v>
      </c>
      <c r="F733" s="16" t="s">
        <v>72</v>
      </c>
      <c r="G733" s="16" t="s">
        <v>135</v>
      </c>
      <c r="H733" s="16" t="s">
        <v>32</v>
      </c>
      <c r="I733" s="16" t="s">
        <v>57</v>
      </c>
      <c r="J733" s="16" t="s">
        <v>49</v>
      </c>
      <c r="K733" s="17" t="s">
        <v>3070</v>
      </c>
      <c r="M733" t="s">
        <v>36</v>
      </c>
      <c r="N733" t="s">
        <v>180</v>
      </c>
      <c r="O733" t="s">
        <v>52</v>
      </c>
      <c r="P733" s="15">
        <v>3</v>
      </c>
      <c r="Q733" s="18">
        <v>71122</v>
      </c>
      <c r="R733" s="19">
        <v>9</v>
      </c>
      <c r="S733" s="14">
        <v>2.9</v>
      </c>
      <c r="T733" s="7">
        <v>53</v>
      </c>
      <c r="U733" s="15">
        <v>15</v>
      </c>
      <c r="V733" s="15">
        <v>0</v>
      </c>
      <c r="W733" s="15">
        <v>68</v>
      </c>
      <c r="X733" t="s">
        <v>61</v>
      </c>
      <c r="Y733" t="s">
        <v>62</v>
      </c>
      <c r="Z733" s="14">
        <v>3.2</v>
      </c>
      <c r="AA733" s="12">
        <f>YEAR(Table1[Hire_Date])</f>
        <v>2023</v>
      </c>
      <c r="AB73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734" spans="1:28" x14ac:dyDescent="0.25">
      <c r="A734" t="s">
        <v>3071</v>
      </c>
      <c r="B734" s="16" t="s">
        <v>3072</v>
      </c>
      <c r="C734" s="16" t="s">
        <v>3073</v>
      </c>
      <c r="D734" t="s">
        <v>29</v>
      </c>
      <c r="E734" s="15">
        <v>53</v>
      </c>
      <c r="F734" s="16" t="s">
        <v>90</v>
      </c>
      <c r="G734" s="16" t="s">
        <v>281</v>
      </c>
      <c r="H734" s="16" t="s">
        <v>66</v>
      </c>
      <c r="I734" s="16" t="s">
        <v>57</v>
      </c>
      <c r="J734" s="16" t="s">
        <v>34</v>
      </c>
      <c r="K734" s="17" t="s">
        <v>3074</v>
      </c>
      <c r="M734" t="s">
        <v>36</v>
      </c>
      <c r="N734" t="s">
        <v>510</v>
      </c>
      <c r="O734" t="s">
        <v>38</v>
      </c>
      <c r="P734" s="15">
        <v>0</v>
      </c>
      <c r="Q734" s="18">
        <v>170513</v>
      </c>
      <c r="R734" s="19">
        <v>12</v>
      </c>
      <c r="S734" s="14">
        <v>3.6</v>
      </c>
      <c r="T734" s="7">
        <v>75</v>
      </c>
      <c r="U734" s="15">
        <v>19</v>
      </c>
      <c r="V734" s="15">
        <v>45</v>
      </c>
      <c r="W734" s="15">
        <v>41</v>
      </c>
      <c r="X734" t="s">
        <v>61</v>
      </c>
      <c r="Y734" t="s">
        <v>40</v>
      </c>
      <c r="Z734" s="14">
        <v>3.6</v>
      </c>
      <c r="AA734" s="12">
        <f>YEAR(Table1[Hire_Date])</f>
        <v>2022</v>
      </c>
      <c r="AB73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735" spans="1:28" x14ac:dyDescent="0.25">
      <c r="A735" t="s">
        <v>3075</v>
      </c>
      <c r="B735" s="16" t="s">
        <v>3076</v>
      </c>
      <c r="C735" s="16" t="s">
        <v>3077</v>
      </c>
      <c r="D735" t="s">
        <v>44</v>
      </c>
      <c r="E735" s="15">
        <v>57</v>
      </c>
      <c r="F735" s="16" t="s">
        <v>30</v>
      </c>
      <c r="G735" s="16" t="s">
        <v>13</v>
      </c>
      <c r="H735" s="16" t="s">
        <v>32</v>
      </c>
      <c r="I735" s="16" t="s">
        <v>33</v>
      </c>
      <c r="J735" s="16" t="s">
        <v>34</v>
      </c>
      <c r="K735" s="17" t="s">
        <v>3078</v>
      </c>
      <c r="M735" t="s">
        <v>36</v>
      </c>
      <c r="N735" t="s">
        <v>143</v>
      </c>
      <c r="O735" t="s">
        <v>60</v>
      </c>
      <c r="P735" s="15">
        <v>1</v>
      </c>
      <c r="Q735" s="18">
        <v>175093</v>
      </c>
      <c r="R735" s="19">
        <v>24</v>
      </c>
      <c r="S735" s="14">
        <v>3.9</v>
      </c>
      <c r="T735" s="7">
        <v>93</v>
      </c>
      <c r="U735" s="15">
        <v>5</v>
      </c>
      <c r="V735" s="15">
        <v>43</v>
      </c>
      <c r="W735" s="15">
        <v>65</v>
      </c>
      <c r="X735" t="s">
        <v>61</v>
      </c>
      <c r="Y735" t="s">
        <v>78</v>
      </c>
      <c r="Z735" s="14">
        <v>10.4</v>
      </c>
      <c r="AA735" s="12">
        <f>YEAR(Table1[Hire_Date])</f>
        <v>2016</v>
      </c>
      <c r="AB73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736" spans="1:28" x14ac:dyDescent="0.25">
      <c r="A736" t="s">
        <v>3079</v>
      </c>
      <c r="B736" s="16" t="s">
        <v>3080</v>
      </c>
      <c r="C736" s="16" t="s">
        <v>3081</v>
      </c>
      <c r="D736" t="s">
        <v>44</v>
      </c>
      <c r="E736" s="15">
        <v>25</v>
      </c>
      <c r="F736" s="16" t="s">
        <v>90</v>
      </c>
      <c r="G736" s="16" t="s">
        <v>13</v>
      </c>
      <c r="H736" s="16" t="s">
        <v>66</v>
      </c>
      <c r="I736" s="16" t="s">
        <v>48</v>
      </c>
      <c r="J736" s="16" t="s">
        <v>49</v>
      </c>
      <c r="K736" s="17" t="s">
        <v>3082</v>
      </c>
      <c r="M736" t="s">
        <v>36</v>
      </c>
      <c r="N736" t="s">
        <v>126</v>
      </c>
      <c r="O736" t="s">
        <v>52</v>
      </c>
      <c r="P736" s="15">
        <v>21</v>
      </c>
      <c r="Q736" s="18">
        <v>164938</v>
      </c>
      <c r="R736" s="19">
        <v>14</v>
      </c>
      <c r="S736" s="14">
        <v>2.5</v>
      </c>
      <c r="T736" s="7">
        <v>54</v>
      </c>
      <c r="U736" s="15">
        <v>10</v>
      </c>
      <c r="V736" s="15">
        <v>32</v>
      </c>
      <c r="W736" s="15">
        <v>74</v>
      </c>
      <c r="X736" t="s">
        <v>61</v>
      </c>
      <c r="Y736" t="s">
        <v>40</v>
      </c>
      <c r="Z736" s="14">
        <v>5.7</v>
      </c>
      <c r="AA736" s="12">
        <f>YEAR(Table1[Hire_Date])</f>
        <v>2020</v>
      </c>
      <c r="AB73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737" spans="1:28" x14ac:dyDescent="0.25">
      <c r="A737" t="s">
        <v>3083</v>
      </c>
      <c r="B737" s="16" t="s">
        <v>3084</v>
      </c>
      <c r="C737" s="16" t="s">
        <v>3085</v>
      </c>
      <c r="D737" t="s">
        <v>29</v>
      </c>
      <c r="E737" s="15">
        <v>21</v>
      </c>
      <c r="F737" s="16" t="s">
        <v>124</v>
      </c>
      <c r="G737" s="16" t="s">
        <v>13</v>
      </c>
      <c r="H737" s="16" t="s">
        <v>83</v>
      </c>
      <c r="I737" s="16" t="s">
        <v>57</v>
      </c>
      <c r="J737" s="16" t="s">
        <v>49</v>
      </c>
      <c r="K737" s="17" t="s">
        <v>3086</v>
      </c>
      <c r="M737" t="s">
        <v>36</v>
      </c>
      <c r="N737" t="s">
        <v>593</v>
      </c>
      <c r="O737" t="s">
        <v>60</v>
      </c>
      <c r="P737" s="15">
        <v>24</v>
      </c>
      <c r="Q737" s="18">
        <v>73021</v>
      </c>
      <c r="R737" s="19">
        <v>17</v>
      </c>
      <c r="S737" s="14">
        <v>3</v>
      </c>
      <c r="T737" s="7">
        <v>80</v>
      </c>
      <c r="U737" s="15">
        <v>8</v>
      </c>
      <c r="V737" s="15">
        <v>59</v>
      </c>
      <c r="W737" s="15">
        <v>47</v>
      </c>
      <c r="X737" t="s">
        <v>39</v>
      </c>
      <c r="Y737" t="s">
        <v>62</v>
      </c>
      <c r="Z737" s="14">
        <v>6.9</v>
      </c>
      <c r="AA737" s="12">
        <f>YEAR(Table1[Hire_Date])</f>
        <v>2019</v>
      </c>
      <c r="AB73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738" spans="1:28" x14ac:dyDescent="0.25">
      <c r="A738" t="s">
        <v>3087</v>
      </c>
      <c r="B738" s="16" t="s">
        <v>3088</v>
      </c>
      <c r="C738" s="16" t="s">
        <v>3089</v>
      </c>
      <c r="D738" t="s">
        <v>44</v>
      </c>
      <c r="E738" s="15">
        <v>26</v>
      </c>
      <c r="F738" s="16" t="s">
        <v>30</v>
      </c>
      <c r="G738" s="16" t="s">
        <v>13</v>
      </c>
      <c r="H738" s="16" t="s">
        <v>66</v>
      </c>
      <c r="I738" s="16" t="s">
        <v>57</v>
      </c>
      <c r="J738" s="16" t="s">
        <v>34</v>
      </c>
      <c r="K738" s="17" t="s">
        <v>613</v>
      </c>
      <c r="M738" t="s">
        <v>36</v>
      </c>
      <c r="N738" t="s">
        <v>469</v>
      </c>
      <c r="O738" t="s">
        <v>38</v>
      </c>
      <c r="P738" s="15">
        <v>11</v>
      </c>
      <c r="Q738" s="18">
        <v>65566</v>
      </c>
      <c r="R738" s="19">
        <v>14</v>
      </c>
      <c r="S738" s="14">
        <v>4.3</v>
      </c>
      <c r="T738" s="7">
        <v>93</v>
      </c>
      <c r="U738" s="15">
        <v>6</v>
      </c>
      <c r="V738" s="15">
        <v>12</v>
      </c>
      <c r="W738" s="15">
        <v>57</v>
      </c>
      <c r="X738" t="s">
        <v>61</v>
      </c>
      <c r="Y738" t="s">
        <v>78</v>
      </c>
      <c r="Z738" s="14">
        <v>1.5</v>
      </c>
      <c r="AA738" s="12">
        <f>YEAR(Table1[Hire_Date])</f>
        <v>2025</v>
      </c>
      <c r="AB73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739" spans="1:28" x14ac:dyDescent="0.25">
      <c r="A739" t="s">
        <v>3090</v>
      </c>
      <c r="B739" s="16" t="s">
        <v>3091</v>
      </c>
      <c r="C739" s="16" t="s">
        <v>3092</v>
      </c>
      <c r="D739" t="s">
        <v>44</v>
      </c>
      <c r="E739" s="15">
        <v>57</v>
      </c>
      <c r="F739" s="16" t="s">
        <v>103</v>
      </c>
      <c r="G739" s="16" t="s">
        <v>147</v>
      </c>
      <c r="H739" s="16" t="s">
        <v>47</v>
      </c>
      <c r="I739" s="16" t="s">
        <v>57</v>
      </c>
      <c r="J739" s="16" t="s">
        <v>34</v>
      </c>
      <c r="K739" s="17" t="s">
        <v>3093</v>
      </c>
      <c r="M739" t="s">
        <v>36</v>
      </c>
      <c r="N739" t="s">
        <v>367</v>
      </c>
      <c r="O739" t="s">
        <v>52</v>
      </c>
      <c r="P739" s="15">
        <v>35</v>
      </c>
      <c r="Q739" s="18">
        <v>154951</v>
      </c>
      <c r="R739" s="19">
        <v>9</v>
      </c>
      <c r="S739" s="14">
        <v>3.6</v>
      </c>
      <c r="T739" s="7">
        <v>67</v>
      </c>
      <c r="U739" s="15">
        <v>15</v>
      </c>
      <c r="V739" s="15">
        <v>35</v>
      </c>
      <c r="W739" s="15">
        <v>42</v>
      </c>
      <c r="X739" t="s">
        <v>61</v>
      </c>
      <c r="Y739" t="s">
        <v>40</v>
      </c>
      <c r="Z739" s="14">
        <v>1.8</v>
      </c>
      <c r="AA739" s="12">
        <f>YEAR(Table1[Hire_Date])</f>
        <v>2024</v>
      </c>
      <c r="AB73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740" spans="1:28" x14ac:dyDescent="0.25">
      <c r="A740" t="s">
        <v>3094</v>
      </c>
      <c r="B740" s="16" t="s">
        <v>3095</v>
      </c>
      <c r="C740" s="16" t="s">
        <v>3096</v>
      </c>
      <c r="D740" t="s">
        <v>29</v>
      </c>
      <c r="E740" s="15">
        <v>47</v>
      </c>
      <c r="F740" s="16" t="s">
        <v>30</v>
      </c>
      <c r="G740" s="16" t="s">
        <v>31</v>
      </c>
      <c r="H740" s="16" t="s">
        <v>66</v>
      </c>
      <c r="I740" s="16" t="s">
        <v>48</v>
      </c>
      <c r="J740" s="16" t="s">
        <v>34</v>
      </c>
      <c r="K740" s="17" t="s">
        <v>3097</v>
      </c>
      <c r="M740" t="s">
        <v>36</v>
      </c>
      <c r="N740" t="s">
        <v>588</v>
      </c>
      <c r="O740" t="s">
        <v>52</v>
      </c>
      <c r="P740" s="15">
        <v>21</v>
      </c>
      <c r="Q740" s="18">
        <v>135380</v>
      </c>
      <c r="R740" s="19">
        <v>16</v>
      </c>
      <c r="S740" s="14">
        <v>3.6</v>
      </c>
      <c r="T740" s="7">
        <v>63</v>
      </c>
      <c r="U740" s="15">
        <v>14</v>
      </c>
      <c r="V740" s="15">
        <v>26</v>
      </c>
      <c r="W740" s="15">
        <v>31</v>
      </c>
      <c r="X740" t="s">
        <v>61</v>
      </c>
      <c r="Y740" t="s">
        <v>62</v>
      </c>
      <c r="Z740" s="14">
        <v>4</v>
      </c>
      <c r="AA740" s="12">
        <f>YEAR(Table1[Hire_Date])</f>
        <v>2022</v>
      </c>
      <c r="AB74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741" spans="1:28" x14ac:dyDescent="0.25">
      <c r="A741" t="s">
        <v>3098</v>
      </c>
      <c r="B741" s="16" t="s">
        <v>3099</v>
      </c>
      <c r="C741" s="16" t="s">
        <v>3100</v>
      </c>
      <c r="D741" t="s">
        <v>44</v>
      </c>
      <c r="E741" s="15">
        <v>38</v>
      </c>
      <c r="F741" s="16" t="s">
        <v>72</v>
      </c>
      <c r="G741" s="16" t="s">
        <v>97</v>
      </c>
      <c r="H741" s="16" t="s">
        <v>83</v>
      </c>
      <c r="I741" s="16" t="s">
        <v>48</v>
      </c>
      <c r="J741" s="16" t="s">
        <v>34</v>
      </c>
      <c r="K741" s="17" t="s">
        <v>3101</v>
      </c>
      <c r="M741" t="s">
        <v>36</v>
      </c>
      <c r="N741" t="s">
        <v>253</v>
      </c>
      <c r="O741" t="s">
        <v>52</v>
      </c>
      <c r="P741" s="15">
        <v>25</v>
      </c>
      <c r="Q741" s="18">
        <v>150661</v>
      </c>
      <c r="R741" s="19">
        <v>12</v>
      </c>
      <c r="S741" s="14">
        <v>4.7</v>
      </c>
      <c r="T741" s="7">
        <v>58</v>
      </c>
      <c r="U741" s="15">
        <v>18</v>
      </c>
      <c r="V741" s="15">
        <v>38</v>
      </c>
      <c r="W741" s="15">
        <v>36</v>
      </c>
      <c r="X741" t="s">
        <v>39</v>
      </c>
      <c r="Y741" t="s">
        <v>40</v>
      </c>
      <c r="Z741" s="14">
        <v>2.9</v>
      </c>
      <c r="AA741" s="12">
        <f>YEAR(Table1[Hire_Date])</f>
        <v>2023</v>
      </c>
      <c r="AB74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742" spans="1:28" x14ac:dyDescent="0.25">
      <c r="A742" t="s">
        <v>3102</v>
      </c>
      <c r="B742" s="16" t="s">
        <v>3103</v>
      </c>
      <c r="C742" s="16" t="s">
        <v>3104</v>
      </c>
      <c r="D742" t="s">
        <v>29</v>
      </c>
      <c r="E742" s="15">
        <v>27</v>
      </c>
      <c r="F742" s="16" t="s">
        <v>45</v>
      </c>
      <c r="G742" s="16" t="s">
        <v>46</v>
      </c>
      <c r="H742" s="16" t="s">
        <v>47</v>
      </c>
      <c r="I742" s="16" t="s">
        <v>57</v>
      </c>
      <c r="J742" s="16" t="s">
        <v>34</v>
      </c>
      <c r="K742" s="17" t="s">
        <v>322</v>
      </c>
      <c r="M742" t="s">
        <v>36</v>
      </c>
      <c r="N742" t="s">
        <v>77</v>
      </c>
      <c r="O742" t="s">
        <v>38</v>
      </c>
      <c r="P742" s="15">
        <v>3</v>
      </c>
      <c r="Q742" s="18">
        <v>103355</v>
      </c>
      <c r="R742" s="19">
        <v>20</v>
      </c>
      <c r="S742" s="14">
        <v>3.1</v>
      </c>
      <c r="T742" s="7">
        <v>90</v>
      </c>
      <c r="U742" s="15">
        <v>8</v>
      </c>
      <c r="V742" s="15">
        <v>43</v>
      </c>
      <c r="W742" s="15">
        <v>47</v>
      </c>
      <c r="X742" t="s">
        <v>39</v>
      </c>
      <c r="Y742" t="s">
        <v>62</v>
      </c>
      <c r="Z742" s="14">
        <v>7.5</v>
      </c>
      <c r="AA742" s="12">
        <f>YEAR(Table1[Hire_Date])</f>
        <v>2019</v>
      </c>
      <c r="AB74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743" spans="1:28" x14ac:dyDescent="0.25">
      <c r="A743" t="s">
        <v>3105</v>
      </c>
      <c r="B743" s="16" t="s">
        <v>3106</v>
      </c>
      <c r="C743" s="16" t="s">
        <v>3107</v>
      </c>
      <c r="D743" t="s">
        <v>44</v>
      </c>
      <c r="E743" s="15">
        <v>27</v>
      </c>
      <c r="F743" s="16" t="s">
        <v>30</v>
      </c>
      <c r="G743" s="16" t="s">
        <v>31</v>
      </c>
      <c r="H743" s="16" t="s">
        <v>32</v>
      </c>
      <c r="I743" s="16" t="s">
        <v>57</v>
      </c>
      <c r="J743" s="16" t="s">
        <v>34</v>
      </c>
      <c r="K743" s="17" t="s">
        <v>1222</v>
      </c>
      <c r="M743" t="s">
        <v>36</v>
      </c>
      <c r="N743" t="s">
        <v>199</v>
      </c>
      <c r="O743" t="s">
        <v>52</v>
      </c>
      <c r="P743" s="15">
        <v>1</v>
      </c>
      <c r="Q743" s="18">
        <v>81983</v>
      </c>
      <c r="R743" s="19">
        <v>25</v>
      </c>
      <c r="S743" s="14">
        <v>4.4000000000000004</v>
      </c>
      <c r="T743" s="7">
        <v>92</v>
      </c>
      <c r="U743" s="15">
        <v>14</v>
      </c>
      <c r="V743" s="15">
        <v>47</v>
      </c>
      <c r="W743" s="15">
        <v>13</v>
      </c>
      <c r="X743" t="s">
        <v>39</v>
      </c>
      <c r="Y743" t="s">
        <v>62</v>
      </c>
      <c r="Z743" s="14">
        <v>6.2</v>
      </c>
      <c r="AA743" s="12">
        <f>YEAR(Table1[Hire_Date])</f>
        <v>2020</v>
      </c>
      <c r="AB74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744" spans="1:28" x14ac:dyDescent="0.25">
      <c r="A744" t="s">
        <v>3108</v>
      </c>
      <c r="B744" s="16" t="s">
        <v>3109</v>
      </c>
      <c r="C744" s="16" t="s">
        <v>3110</v>
      </c>
      <c r="D744" t="s">
        <v>29</v>
      </c>
      <c r="E744" s="15">
        <v>34</v>
      </c>
      <c r="F744" s="16" t="s">
        <v>90</v>
      </c>
      <c r="G744" s="16" t="s">
        <v>281</v>
      </c>
      <c r="H744" s="16" t="s">
        <v>66</v>
      </c>
      <c r="I744" s="16" t="s">
        <v>33</v>
      </c>
      <c r="J744" s="16" t="s">
        <v>49</v>
      </c>
      <c r="K744" s="17" t="s">
        <v>3111</v>
      </c>
      <c r="M744" t="s">
        <v>36</v>
      </c>
      <c r="N744" t="s">
        <v>731</v>
      </c>
      <c r="O744" t="s">
        <v>52</v>
      </c>
      <c r="P744" s="15">
        <v>9</v>
      </c>
      <c r="Q744" s="18">
        <v>179770</v>
      </c>
      <c r="R744" s="19">
        <v>7</v>
      </c>
      <c r="S744" s="14">
        <v>4.2</v>
      </c>
      <c r="T744" s="7">
        <v>78</v>
      </c>
      <c r="U744" s="15">
        <v>9</v>
      </c>
      <c r="V744" s="15">
        <v>58</v>
      </c>
      <c r="W744" s="15">
        <v>68</v>
      </c>
      <c r="X744" t="s">
        <v>39</v>
      </c>
      <c r="Y744" t="s">
        <v>40</v>
      </c>
      <c r="Z744" s="14">
        <v>9</v>
      </c>
      <c r="AA744" s="12">
        <f>YEAR(Table1[Hire_Date])</f>
        <v>2017</v>
      </c>
      <c r="AB74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745" spans="1:28" x14ac:dyDescent="0.25">
      <c r="A745" t="s">
        <v>3112</v>
      </c>
      <c r="B745" s="16" t="s">
        <v>3113</v>
      </c>
      <c r="C745" s="16" t="s">
        <v>3114</v>
      </c>
      <c r="D745" t="s">
        <v>44</v>
      </c>
      <c r="E745" s="15">
        <v>39</v>
      </c>
      <c r="F745" s="16" t="s">
        <v>72</v>
      </c>
      <c r="G745" s="16" t="s">
        <v>135</v>
      </c>
      <c r="H745" s="16" t="s">
        <v>32</v>
      </c>
      <c r="I745" s="16" t="s">
        <v>33</v>
      </c>
      <c r="J745" s="16" t="s">
        <v>34</v>
      </c>
      <c r="K745" s="17" t="s">
        <v>3115</v>
      </c>
      <c r="M745" t="s">
        <v>36</v>
      </c>
      <c r="N745" t="s">
        <v>358</v>
      </c>
      <c r="O745" t="s">
        <v>52</v>
      </c>
      <c r="P745" s="15">
        <v>5</v>
      </c>
      <c r="Q745" s="18">
        <v>143002</v>
      </c>
      <c r="R745" s="19">
        <v>17</v>
      </c>
      <c r="S745" s="14">
        <v>4</v>
      </c>
      <c r="T745" s="7">
        <v>70</v>
      </c>
      <c r="U745" s="15">
        <v>18</v>
      </c>
      <c r="V745" s="15">
        <v>3</v>
      </c>
      <c r="W745" s="15">
        <v>15</v>
      </c>
      <c r="X745" t="s">
        <v>61</v>
      </c>
      <c r="Y745" t="s">
        <v>62</v>
      </c>
      <c r="Z745" s="14">
        <v>2.2999999999999998</v>
      </c>
      <c r="AA745" s="12">
        <f>YEAR(Table1[Hire_Date])</f>
        <v>2024</v>
      </c>
      <c r="AB74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746" spans="1:28" x14ac:dyDescent="0.25">
      <c r="A746" t="s">
        <v>3116</v>
      </c>
      <c r="B746" s="16" t="s">
        <v>3117</v>
      </c>
      <c r="C746" s="16" t="s">
        <v>3118</v>
      </c>
      <c r="D746" t="s">
        <v>44</v>
      </c>
      <c r="E746" s="15">
        <v>39</v>
      </c>
      <c r="F746" s="16" t="s">
        <v>124</v>
      </c>
      <c r="G746" s="16" t="s">
        <v>141</v>
      </c>
      <c r="H746" s="16" t="s">
        <v>32</v>
      </c>
      <c r="I746" s="16" t="s">
        <v>48</v>
      </c>
      <c r="J746" s="16" t="s">
        <v>34</v>
      </c>
      <c r="K746" s="17" t="s">
        <v>1998</v>
      </c>
      <c r="M746" t="s">
        <v>36</v>
      </c>
      <c r="N746" t="s">
        <v>68</v>
      </c>
      <c r="O746" t="s">
        <v>52</v>
      </c>
      <c r="P746" s="15">
        <v>13</v>
      </c>
      <c r="Q746" s="18">
        <v>85211</v>
      </c>
      <c r="R746" s="19">
        <v>22</v>
      </c>
      <c r="S746" s="14">
        <v>2.8</v>
      </c>
      <c r="T746" s="7">
        <v>81</v>
      </c>
      <c r="U746" s="15">
        <v>3</v>
      </c>
      <c r="V746" s="15">
        <v>6</v>
      </c>
      <c r="W746" s="15">
        <v>31</v>
      </c>
      <c r="X746" t="s">
        <v>61</v>
      </c>
      <c r="Y746" t="s">
        <v>40</v>
      </c>
      <c r="Z746" s="14">
        <v>4.9000000000000004</v>
      </c>
      <c r="AA746" s="12">
        <f>YEAR(Table1[Hire_Date])</f>
        <v>2021</v>
      </c>
      <c r="AB74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747" spans="1:28" x14ac:dyDescent="0.25">
      <c r="A747" t="s">
        <v>3119</v>
      </c>
      <c r="B747" s="16" t="s">
        <v>3120</v>
      </c>
      <c r="C747" s="16" t="s">
        <v>3121</v>
      </c>
      <c r="D747" t="s">
        <v>29</v>
      </c>
      <c r="E747" s="15">
        <v>48</v>
      </c>
      <c r="F747" s="16" t="s">
        <v>124</v>
      </c>
      <c r="G747" s="16" t="s">
        <v>141</v>
      </c>
      <c r="H747" s="16" t="s">
        <v>83</v>
      </c>
      <c r="I747" s="16" t="s">
        <v>48</v>
      </c>
      <c r="J747" s="16" t="s">
        <v>49</v>
      </c>
      <c r="K747" s="17" t="s">
        <v>1060</v>
      </c>
      <c r="M747" t="s">
        <v>36</v>
      </c>
      <c r="N747" t="s">
        <v>309</v>
      </c>
      <c r="O747" t="s">
        <v>52</v>
      </c>
      <c r="P747" s="15">
        <v>29</v>
      </c>
      <c r="Q747" s="18">
        <v>82045</v>
      </c>
      <c r="R747" s="19">
        <v>7</v>
      </c>
      <c r="S747" s="14">
        <v>4.0999999999999996</v>
      </c>
      <c r="T747" s="7">
        <v>94</v>
      </c>
      <c r="U747" s="15">
        <v>14</v>
      </c>
      <c r="V747" s="15">
        <v>54</v>
      </c>
      <c r="W747" s="15">
        <v>76</v>
      </c>
      <c r="X747" t="s">
        <v>39</v>
      </c>
      <c r="Y747" t="s">
        <v>78</v>
      </c>
      <c r="Z747" s="14">
        <v>3.1</v>
      </c>
      <c r="AA747" s="12">
        <f>YEAR(Table1[Hire_Date])</f>
        <v>2023</v>
      </c>
      <c r="AB74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748" spans="1:28" x14ac:dyDescent="0.25">
      <c r="A748" t="s">
        <v>3122</v>
      </c>
      <c r="B748" s="16" t="s">
        <v>3123</v>
      </c>
      <c r="C748" s="16" t="s">
        <v>3124</v>
      </c>
      <c r="D748" t="s">
        <v>29</v>
      </c>
      <c r="E748" s="15">
        <v>44</v>
      </c>
      <c r="F748" s="16" t="s">
        <v>30</v>
      </c>
      <c r="G748" s="16" t="s">
        <v>31</v>
      </c>
      <c r="H748" s="16" t="s">
        <v>47</v>
      </c>
      <c r="I748" s="16" t="s">
        <v>57</v>
      </c>
      <c r="J748" s="16" t="s">
        <v>34</v>
      </c>
      <c r="K748" s="17" t="s">
        <v>3125</v>
      </c>
      <c r="M748" t="s">
        <v>36</v>
      </c>
      <c r="N748" t="s">
        <v>691</v>
      </c>
      <c r="O748" t="s">
        <v>60</v>
      </c>
      <c r="P748" s="15">
        <v>2</v>
      </c>
      <c r="Q748" s="18">
        <v>173297</v>
      </c>
      <c r="R748" s="19">
        <v>10</v>
      </c>
      <c r="S748" s="14">
        <v>4.7</v>
      </c>
      <c r="T748" s="7">
        <v>94</v>
      </c>
      <c r="U748" s="15">
        <v>18</v>
      </c>
      <c r="V748" s="15">
        <v>13</v>
      </c>
      <c r="W748" s="15">
        <v>65</v>
      </c>
      <c r="X748" t="s">
        <v>39</v>
      </c>
      <c r="Y748" t="s">
        <v>78</v>
      </c>
      <c r="Z748" s="14">
        <v>1.5</v>
      </c>
      <c r="AA748" s="12">
        <f>YEAR(Table1[Hire_Date])</f>
        <v>2025</v>
      </c>
      <c r="AB74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749" spans="1:28" x14ac:dyDescent="0.25">
      <c r="A749" t="s">
        <v>3126</v>
      </c>
      <c r="B749" s="16" t="s">
        <v>3127</v>
      </c>
      <c r="C749" s="16" t="s">
        <v>3128</v>
      </c>
      <c r="D749" t="s">
        <v>29</v>
      </c>
      <c r="E749" s="15">
        <v>52</v>
      </c>
      <c r="F749" s="16" t="s">
        <v>103</v>
      </c>
      <c r="G749" s="16" t="s">
        <v>147</v>
      </c>
      <c r="H749" s="16" t="s">
        <v>83</v>
      </c>
      <c r="I749" s="16" t="s">
        <v>33</v>
      </c>
      <c r="J749" s="16" t="s">
        <v>34</v>
      </c>
      <c r="K749" s="17" t="s">
        <v>3129</v>
      </c>
      <c r="M749" t="s">
        <v>36</v>
      </c>
      <c r="N749" t="s">
        <v>323</v>
      </c>
      <c r="O749" t="s">
        <v>60</v>
      </c>
      <c r="P749" s="15">
        <v>35</v>
      </c>
      <c r="Q749" s="18">
        <v>48142</v>
      </c>
      <c r="R749" s="19">
        <v>11</v>
      </c>
      <c r="S749" s="14">
        <v>4.3</v>
      </c>
      <c r="T749" s="7">
        <v>55</v>
      </c>
      <c r="U749" s="15">
        <v>16</v>
      </c>
      <c r="V749" s="15">
        <v>26</v>
      </c>
      <c r="W749" s="15">
        <v>38</v>
      </c>
      <c r="X749" t="s">
        <v>61</v>
      </c>
      <c r="Y749" t="s">
        <v>62</v>
      </c>
      <c r="Z749" s="14">
        <v>1</v>
      </c>
      <c r="AA749" s="12">
        <f>YEAR(Table1[Hire_Date])</f>
        <v>2025</v>
      </c>
      <c r="AB74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750" spans="1:28" x14ac:dyDescent="0.25">
      <c r="A750" t="s">
        <v>3130</v>
      </c>
      <c r="B750" s="16" t="s">
        <v>3131</v>
      </c>
      <c r="C750" s="16" t="s">
        <v>3132</v>
      </c>
      <c r="D750" t="s">
        <v>29</v>
      </c>
      <c r="E750" s="15">
        <v>41</v>
      </c>
      <c r="F750" s="16" t="s">
        <v>124</v>
      </c>
      <c r="G750" s="16" t="s">
        <v>141</v>
      </c>
      <c r="H750" s="16" t="s">
        <v>56</v>
      </c>
      <c r="I750" s="16" t="s">
        <v>48</v>
      </c>
      <c r="J750" s="16" t="s">
        <v>34</v>
      </c>
      <c r="K750" s="17" t="s">
        <v>3133</v>
      </c>
      <c r="M750" t="s">
        <v>36</v>
      </c>
      <c r="N750" t="s">
        <v>229</v>
      </c>
      <c r="O750" t="s">
        <v>52</v>
      </c>
      <c r="P750" s="15">
        <v>29</v>
      </c>
      <c r="Q750" s="18">
        <v>87953</v>
      </c>
      <c r="R750" s="19">
        <v>23</v>
      </c>
      <c r="S750" s="14">
        <v>4</v>
      </c>
      <c r="T750" s="7">
        <v>100</v>
      </c>
      <c r="U750" s="15">
        <v>1</v>
      </c>
      <c r="V750" s="15">
        <v>35</v>
      </c>
      <c r="W750" s="15">
        <v>18</v>
      </c>
      <c r="X750" t="s">
        <v>61</v>
      </c>
      <c r="Y750" t="s">
        <v>40</v>
      </c>
      <c r="Z750" s="14">
        <v>7.2</v>
      </c>
      <c r="AA750" s="12">
        <f>YEAR(Table1[Hire_Date])</f>
        <v>2019</v>
      </c>
      <c r="AB75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751" spans="1:28" x14ac:dyDescent="0.25">
      <c r="A751" t="s">
        <v>3134</v>
      </c>
      <c r="B751" s="16" t="s">
        <v>3135</v>
      </c>
      <c r="C751" s="16" t="s">
        <v>3136</v>
      </c>
      <c r="D751" t="s">
        <v>29</v>
      </c>
      <c r="E751" s="15">
        <v>52</v>
      </c>
      <c r="F751" s="16" t="s">
        <v>45</v>
      </c>
      <c r="G751" s="16" t="s">
        <v>82</v>
      </c>
      <c r="H751" s="16" t="s">
        <v>47</v>
      </c>
      <c r="I751" s="16" t="s">
        <v>48</v>
      </c>
      <c r="J751" s="16" t="s">
        <v>49</v>
      </c>
      <c r="K751" s="17" t="s">
        <v>3137</v>
      </c>
      <c r="M751" t="s">
        <v>36</v>
      </c>
      <c r="N751" t="s">
        <v>314</v>
      </c>
      <c r="O751" t="s">
        <v>38</v>
      </c>
      <c r="P751" s="15">
        <v>26</v>
      </c>
      <c r="Q751" s="18">
        <v>64204</v>
      </c>
      <c r="R751" s="19">
        <v>14</v>
      </c>
      <c r="S751" s="14">
        <v>4.5999999999999996</v>
      </c>
      <c r="T751" s="7">
        <v>51</v>
      </c>
      <c r="U751" s="15">
        <v>6</v>
      </c>
      <c r="V751" s="15">
        <v>42</v>
      </c>
      <c r="W751" s="15">
        <v>38</v>
      </c>
      <c r="X751" t="s">
        <v>61</v>
      </c>
      <c r="Y751" t="s">
        <v>62</v>
      </c>
      <c r="Z751" s="14">
        <v>3</v>
      </c>
      <c r="AA751" s="12">
        <f>YEAR(Table1[Hire_Date])</f>
        <v>2023</v>
      </c>
      <c r="AB75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752" spans="1:28" x14ac:dyDescent="0.25">
      <c r="A752" t="s">
        <v>3138</v>
      </c>
      <c r="B752" s="16" t="s">
        <v>3139</v>
      </c>
      <c r="C752" s="16" t="s">
        <v>3140</v>
      </c>
      <c r="D752" t="s">
        <v>29</v>
      </c>
      <c r="E752" s="15">
        <v>26</v>
      </c>
      <c r="F752" s="16" t="s">
        <v>72</v>
      </c>
      <c r="G752" s="16" t="s">
        <v>97</v>
      </c>
      <c r="H752" s="16" t="s">
        <v>47</v>
      </c>
      <c r="I752" s="16" t="s">
        <v>57</v>
      </c>
      <c r="J752" s="16" t="s">
        <v>34</v>
      </c>
      <c r="K752" s="17" t="s">
        <v>3141</v>
      </c>
      <c r="M752" t="s">
        <v>36</v>
      </c>
      <c r="N752" t="s">
        <v>669</v>
      </c>
      <c r="O752" t="s">
        <v>38</v>
      </c>
      <c r="P752" s="15">
        <v>26</v>
      </c>
      <c r="Q752" s="18">
        <v>137038</v>
      </c>
      <c r="R752" s="19">
        <v>11</v>
      </c>
      <c r="S752" s="14">
        <v>3.7</v>
      </c>
      <c r="T752" s="7">
        <v>52</v>
      </c>
      <c r="U752" s="15">
        <v>13</v>
      </c>
      <c r="V752" s="15">
        <v>9</v>
      </c>
      <c r="W752" s="15">
        <v>10</v>
      </c>
      <c r="X752" t="s">
        <v>61</v>
      </c>
      <c r="Y752" t="s">
        <v>40</v>
      </c>
      <c r="Z752" s="14">
        <v>7.7</v>
      </c>
      <c r="AA752" s="12">
        <f>YEAR(Table1[Hire_Date])</f>
        <v>2018</v>
      </c>
      <c r="AB75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753" spans="1:28" x14ac:dyDescent="0.25">
      <c r="A753" t="s">
        <v>3142</v>
      </c>
      <c r="B753" s="16" t="s">
        <v>3143</v>
      </c>
      <c r="C753" s="16" t="s">
        <v>3144</v>
      </c>
      <c r="D753" t="s">
        <v>29</v>
      </c>
      <c r="E753" s="15">
        <v>47</v>
      </c>
      <c r="F753" s="16" t="s">
        <v>90</v>
      </c>
      <c r="G753" s="16" t="s">
        <v>281</v>
      </c>
      <c r="H753" s="16" t="s">
        <v>32</v>
      </c>
      <c r="I753" s="16" t="s">
        <v>48</v>
      </c>
      <c r="J753" s="16" t="s">
        <v>34</v>
      </c>
      <c r="K753" s="17" t="s">
        <v>1563</v>
      </c>
      <c r="M753" t="s">
        <v>36</v>
      </c>
      <c r="N753" t="s">
        <v>309</v>
      </c>
      <c r="O753" t="s">
        <v>60</v>
      </c>
      <c r="P753" s="15">
        <v>11</v>
      </c>
      <c r="Q753" s="18">
        <v>155614</v>
      </c>
      <c r="R753" s="19">
        <v>22</v>
      </c>
      <c r="S753" s="14">
        <v>3.4</v>
      </c>
      <c r="T753" s="7">
        <v>91</v>
      </c>
      <c r="U753" s="15">
        <v>5</v>
      </c>
      <c r="V753" s="15">
        <v>48</v>
      </c>
      <c r="W753" s="15">
        <v>26</v>
      </c>
      <c r="X753" t="s">
        <v>39</v>
      </c>
      <c r="Y753" t="s">
        <v>62</v>
      </c>
      <c r="Z753" s="14">
        <v>9.6999999999999993</v>
      </c>
      <c r="AA753" s="12">
        <f>YEAR(Table1[Hire_Date])</f>
        <v>2016</v>
      </c>
      <c r="AB75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754" spans="1:28" x14ac:dyDescent="0.25">
      <c r="A754" t="s">
        <v>3145</v>
      </c>
      <c r="B754" s="16" t="s">
        <v>3146</v>
      </c>
      <c r="C754" s="16" t="s">
        <v>3147</v>
      </c>
      <c r="D754" t="s">
        <v>29</v>
      </c>
      <c r="E754" s="15">
        <v>27</v>
      </c>
      <c r="F754" s="16" t="s">
        <v>103</v>
      </c>
      <c r="G754" s="16" t="s">
        <v>147</v>
      </c>
      <c r="H754" s="16" t="s">
        <v>32</v>
      </c>
      <c r="I754" s="16" t="s">
        <v>57</v>
      </c>
      <c r="J754" s="16" t="s">
        <v>49</v>
      </c>
      <c r="K754" s="17" t="s">
        <v>3148</v>
      </c>
      <c r="M754" t="s">
        <v>36</v>
      </c>
      <c r="N754" t="s">
        <v>180</v>
      </c>
      <c r="O754" t="s">
        <v>38</v>
      </c>
      <c r="P754" s="15">
        <v>0</v>
      </c>
      <c r="Q754" s="18">
        <v>59916</v>
      </c>
      <c r="R754" s="19">
        <v>19</v>
      </c>
      <c r="S754" s="14">
        <v>4.5</v>
      </c>
      <c r="T754" s="7">
        <v>90</v>
      </c>
      <c r="U754" s="15">
        <v>10</v>
      </c>
      <c r="V754" s="15">
        <v>39</v>
      </c>
      <c r="W754" s="15">
        <v>40</v>
      </c>
      <c r="X754" t="s">
        <v>61</v>
      </c>
      <c r="Y754" t="s">
        <v>40</v>
      </c>
      <c r="Z754" s="14">
        <v>9.8000000000000007</v>
      </c>
      <c r="AA754" s="12">
        <f>YEAR(Table1[Hire_Date])</f>
        <v>2016</v>
      </c>
      <c r="AB75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755" spans="1:28" x14ac:dyDescent="0.25">
      <c r="A755" t="s">
        <v>3149</v>
      </c>
      <c r="B755" s="16" t="s">
        <v>3150</v>
      </c>
      <c r="C755" s="16" t="s">
        <v>3151</v>
      </c>
      <c r="D755" t="s">
        <v>29</v>
      </c>
      <c r="E755" s="15">
        <v>46</v>
      </c>
      <c r="F755" s="16" t="s">
        <v>30</v>
      </c>
      <c r="G755" s="16" t="s">
        <v>13</v>
      </c>
      <c r="H755" s="16" t="s">
        <v>56</v>
      </c>
      <c r="I755" s="16" t="s">
        <v>48</v>
      </c>
      <c r="J755" s="16" t="s">
        <v>34</v>
      </c>
      <c r="K755" s="17" t="s">
        <v>3152</v>
      </c>
      <c r="M755" t="s">
        <v>36</v>
      </c>
      <c r="N755" t="s">
        <v>37</v>
      </c>
      <c r="O755" t="s">
        <v>38</v>
      </c>
      <c r="P755" s="15">
        <v>11</v>
      </c>
      <c r="Q755" s="18">
        <v>85026</v>
      </c>
      <c r="R755" s="19">
        <v>8</v>
      </c>
      <c r="S755" s="14">
        <v>3.4</v>
      </c>
      <c r="T755" s="7">
        <v>59</v>
      </c>
      <c r="U755" s="15">
        <v>18</v>
      </c>
      <c r="V755" s="15">
        <v>52</v>
      </c>
      <c r="W755" s="15">
        <v>67</v>
      </c>
      <c r="X755" t="s">
        <v>39</v>
      </c>
      <c r="Y755" t="s">
        <v>40</v>
      </c>
      <c r="Z755" s="14">
        <v>5</v>
      </c>
      <c r="AA755" s="12">
        <f>YEAR(Table1[Hire_Date])</f>
        <v>2021</v>
      </c>
      <c r="AB75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756" spans="1:28" x14ac:dyDescent="0.25">
      <c r="A756" t="s">
        <v>3153</v>
      </c>
      <c r="B756" s="16" t="s">
        <v>3154</v>
      </c>
      <c r="C756" s="16" t="s">
        <v>3155</v>
      </c>
      <c r="D756" t="s">
        <v>44</v>
      </c>
      <c r="E756" s="15">
        <v>39</v>
      </c>
      <c r="F756" s="16" t="s">
        <v>124</v>
      </c>
      <c r="G756" s="16" t="s">
        <v>13</v>
      </c>
      <c r="H756" s="16" t="s">
        <v>56</v>
      </c>
      <c r="I756" s="16" t="s">
        <v>48</v>
      </c>
      <c r="J756" s="16" t="s">
        <v>49</v>
      </c>
      <c r="K756" s="17" t="s">
        <v>3156</v>
      </c>
      <c r="L756" s="17" t="s">
        <v>3157</v>
      </c>
      <c r="M756" t="s">
        <v>76</v>
      </c>
      <c r="N756" t="s">
        <v>691</v>
      </c>
      <c r="O756" t="s">
        <v>38</v>
      </c>
      <c r="P756" s="15">
        <v>34</v>
      </c>
      <c r="Q756" s="18">
        <v>51195</v>
      </c>
      <c r="R756" s="19">
        <v>8</v>
      </c>
      <c r="S756" s="14">
        <v>4</v>
      </c>
      <c r="T756" s="7">
        <v>93</v>
      </c>
      <c r="U756" s="15">
        <v>0</v>
      </c>
      <c r="V756" s="15">
        <v>39</v>
      </c>
      <c r="W756" s="15">
        <v>38</v>
      </c>
      <c r="X756" t="s">
        <v>61</v>
      </c>
      <c r="Y756" t="s">
        <v>62</v>
      </c>
      <c r="Z756" s="14">
        <v>9.8000000000000007</v>
      </c>
      <c r="AA756" s="12">
        <f>YEAR(Table1[Hire_Date])</f>
        <v>2016</v>
      </c>
      <c r="AB75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757" spans="1:28" x14ac:dyDescent="0.25">
      <c r="A757" t="s">
        <v>3158</v>
      </c>
      <c r="B757" s="16" t="s">
        <v>3159</v>
      </c>
      <c r="C757" s="16" t="s">
        <v>3160</v>
      </c>
      <c r="D757" t="s">
        <v>44</v>
      </c>
      <c r="E757" s="15">
        <v>24</v>
      </c>
      <c r="F757" s="16" t="s">
        <v>30</v>
      </c>
      <c r="G757" s="16" t="s">
        <v>31</v>
      </c>
      <c r="H757" s="16" t="s">
        <v>83</v>
      </c>
      <c r="I757" s="16" t="s">
        <v>33</v>
      </c>
      <c r="J757" s="16" t="s">
        <v>34</v>
      </c>
      <c r="K757" s="17" t="s">
        <v>3161</v>
      </c>
      <c r="M757" t="s">
        <v>36</v>
      </c>
      <c r="N757" t="s">
        <v>731</v>
      </c>
      <c r="O757" t="s">
        <v>60</v>
      </c>
      <c r="P757" s="15">
        <v>14</v>
      </c>
      <c r="Q757" s="18">
        <v>62615</v>
      </c>
      <c r="R757" s="19">
        <v>7</v>
      </c>
      <c r="S757" s="14">
        <v>2.9</v>
      </c>
      <c r="T757" s="7">
        <v>87</v>
      </c>
      <c r="U757" s="15">
        <v>17</v>
      </c>
      <c r="V757" s="15">
        <v>18</v>
      </c>
      <c r="W757" s="15">
        <v>78</v>
      </c>
      <c r="X757" t="s">
        <v>61</v>
      </c>
      <c r="Y757" t="s">
        <v>62</v>
      </c>
      <c r="Z757" s="14">
        <v>3.7</v>
      </c>
      <c r="AA757" s="12">
        <f>YEAR(Table1[Hire_Date])</f>
        <v>2022</v>
      </c>
      <c r="AB75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758" spans="1:28" x14ac:dyDescent="0.25">
      <c r="A758" t="s">
        <v>3162</v>
      </c>
      <c r="B758" s="16" t="s">
        <v>3163</v>
      </c>
      <c r="C758" s="16" t="s">
        <v>3164</v>
      </c>
      <c r="D758" t="s">
        <v>44</v>
      </c>
      <c r="E758" s="15">
        <v>47</v>
      </c>
      <c r="F758" s="16" t="s">
        <v>90</v>
      </c>
      <c r="G758" s="16" t="s">
        <v>13</v>
      </c>
      <c r="H758" s="16" t="s">
        <v>47</v>
      </c>
      <c r="I758" s="16" t="s">
        <v>48</v>
      </c>
      <c r="J758" s="16" t="s">
        <v>49</v>
      </c>
      <c r="K758" s="17" t="s">
        <v>3165</v>
      </c>
      <c r="M758" t="s">
        <v>36</v>
      </c>
      <c r="N758" t="s">
        <v>348</v>
      </c>
      <c r="O758" t="s">
        <v>60</v>
      </c>
      <c r="P758" s="15">
        <v>30</v>
      </c>
      <c r="Q758" s="18">
        <v>125111</v>
      </c>
      <c r="R758" s="19">
        <v>7</v>
      </c>
      <c r="S758" s="14">
        <v>4.2</v>
      </c>
      <c r="T758" s="7">
        <v>92</v>
      </c>
      <c r="U758" s="15">
        <v>4</v>
      </c>
      <c r="V758" s="15">
        <v>15</v>
      </c>
      <c r="W758" s="15">
        <v>36</v>
      </c>
      <c r="X758" t="s">
        <v>61</v>
      </c>
      <c r="Y758" t="s">
        <v>62</v>
      </c>
      <c r="Z758" s="14">
        <v>8</v>
      </c>
      <c r="AA758" s="12">
        <f>YEAR(Table1[Hire_Date])</f>
        <v>2018</v>
      </c>
      <c r="AB75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759" spans="1:28" x14ac:dyDescent="0.25">
      <c r="A759" t="s">
        <v>3166</v>
      </c>
      <c r="B759" s="16" t="s">
        <v>3167</v>
      </c>
      <c r="C759" s="16" t="s">
        <v>3168</v>
      </c>
      <c r="D759" t="s">
        <v>44</v>
      </c>
      <c r="E759" s="15">
        <v>52</v>
      </c>
      <c r="F759" s="16" t="s">
        <v>90</v>
      </c>
      <c r="G759" s="16" t="s">
        <v>281</v>
      </c>
      <c r="H759" s="16" t="s">
        <v>32</v>
      </c>
      <c r="I759" s="16" t="s">
        <v>33</v>
      </c>
      <c r="J759" s="16" t="s">
        <v>34</v>
      </c>
      <c r="K759" s="17" t="s">
        <v>3169</v>
      </c>
      <c r="M759" t="s">
        <v>36</v>
      </c>
      <c r="N759" t="s">
        <v>593</v>
      </c>
      <c r="O759" t="s">
        <v>52</v>
      </c>
      <c r="P759" s="15">
        <v>1</v>
      </c>
      <c r="Q759" s="18">
        <v>74544</v>
      </c>
      <c r="R759" s="19">
        <v>7</v>
      </c>
      <c r="S759" s="14">
        <v>4.2</v>
      </c>
      <c r="T759" s="7">
        <v>67</v>
      </c>
      <c r="U759" s="15">
        <v>9</v>
      </c>
      <c r="V759" s="15">
        <v>10</v>
      </c>
      <c r="W759" s="15">
        <v>33</v>
      </c>
      <c r="X759" t="s">
        <v>39</v>
      </c>
      <c r="Y759" t="s">
        <v>40</v>
      </c>
      <c r="Z759" s="14">
        <v>0.6</v>
      </c>
      <c r="AA759" s="12">
        <f>YEAR(Table1[Hire_Date])</f>
        <v>2025</v>
      </c>
      <c r="AB75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760" spans="1:28" x14ac:dyDescent="0.25">
      <c r="A760" t="s">
        <v>3170</v>
      </c>
      <c r="B760" s="16" t="s">
        <v>3171</v>
      </c>
      <c r="C760" s="16" t="s">
        <v>3172</v>
      </c>
      <c r="D760" t="s">
        <v>44</v>
      </c>
      <c r="E760" s="15">
        <v>39</v>
      </c>
      <c r="F760" s="16" t="s">
        <v>30</v>
      </c>
      <c r="G760" s="16" t="s">
        <v>13</v>
      </c>
      <c r="H760" s="16" t="s">
        <v>32</v>
      </c>
      <c r="I760" s="16" t="s">
        <v>48</v>
      </c>
      <c r="J760" s="16" t="s">
        <v>49</v>
      </c>
      <c r="K760" s="17" t="s">
        <v>1795</v>
      </c>
      <c r="M760" t="s">
        <v>36</v>
      </c>
      <c r="N760" t="s">
        <v>588</v>
      </c>
      <c r="O760" t="s">
        <v>52</v>
      </c>
      <c r="P760" s="15">
        <v>31</v>
      </c>
      <c r="Q760" s="18">
        <v>122893</v>
      </c>
      <c r="R760" s="19">
        <v>10</v>
      </c>
      <c r="S760" s="14">
        <v>4.9000000000000004</v>
      </c>
      <c r="T760" s="7">
        <v>63</v>
      </c>
      <c r="U760" s="15">
        <v>20</v>
      </c>
      <c r="V760" s="15">
        <v>4</v>
      </c>
      <c r="W760" s="15">
        <v>56</v>
      </c>
      <c r="X760" t="s">
        <v>61</v>
      </c>
      <c r="Y760" t="s">
        <v>78</v>
      </c>
      <c r="Z760" s="14">
        <v>7.8</v>
      </c>
      <c r="AA760" s="12">
        <f>YEAR(Table1[Hire_Date])</f>
        <v>2018</v>
      </c>
      <c r="AB76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761" spans="1:28" x14ac:dyDescent="0.25">
      <c r="A761" t="s">
        <v>3173</v>
      </c>
      <c r="B761" s="16" t="s">
        <v>3174</v>
      </c>
      <c r="C761" s="16" t="s">
        <v>3175</v>
      </c>
      <c r="D761" t="s">
        <v>44</v>
      </c>
      <c r="E761" s="15">
        <v>50</v>
      </c>
      <c r="F761" s="16" t="s">
        <v>124</v>
      </c>
      <c r="G761" s="16" t="s">
        <v>13</v>
      </c>
      <c r="H761" s="16" t="s">
        <v>32</v>
      </c>
      <c r="I761" s="16" t="s">
        <v>48</v>
      </c>
      <c r="J761" s="16" t="s">
        <v>34</v>
      </c>
      <c r="K761" s="17" t="s">
        <v>3176</v>
      </c>
      <c r="M761" t="s">
        <v>36</v>
      </c>
      <c r="N761" t="s">
        <v>204</v>
      </c>
      <c r="O761" t="s">
        <v>60</v>
      </c>
      <c r="P761" s="15">
        <v>10</v>
      </c>
      <c r="Q761" s="18">
        <v>177053</v>
      </c>
      <c r="R761" s="19">
        <v>7</v>
      </c>
      <c r="S761" s="14">
        <v>4.7</v>
      </c>
      <c r="T761" s="7">
        <v>83</v>
      </c>
      <c r="U761" s="15">
        <v>20</v>
      </c>
      <c r="V761" s="15">
        <v>27</v>
      </c>
      <c r="W761" s="15">
        <v>51</v>
      </c>
      <c r="X761" t="s">
        <v>61</v>
      </c>
      <c r="Y761" t="s">
        <v>62</v>
      </c>
      <c r="Z761" s="14">
        <v>1.4</v>
      </c>
      <c r="AA761" s="12">
        <f>YEAR(Table1[Hire_Date])</f>
        <v>2025</v>
      </c>
      <c r="AB76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762" spans="1:28" x14ac:dyDescent="0.25">
      <c r="A762" t="s">
        <v>3177</v>
      </c>
      <c r="B762" s="16" t="s">
        <v>3178</v>
      </c>
      <c r="C762" s="16" t="s">
        <v>3179</v>
      </c>
      <c r="D762" t="s">
        <v>44</v>
      </c>
      <c r="E762" s="15">
        <v>29</v>
      </c>
      <c r="F762" s="16" t="s">
        <v>72</v>
      </c>
      <c r="G762" s="16" t="s">
        <v>135</v>
      </c>
      <c r="H762" s="16" t="s">
        <v>83</v>
      </c>
      <c r="I762" s="16" t="s">
        <v>57</v>
      </c>
      <c r="J762" s="16" t="s">
        <v>34</v>
      </c>
      <c r="K762" s="17" t="s">
        <v>3180</v>
      </c>
      <c r="M762" t="s">
        <v>36</v>
      </c>
      <c r="N762" t="s">
        <v>314</v>
      </c>
      <c r="O762" t="s">
        <v>60</v>
      </c>
      <c r="P762" s="15">
        <v>20</v>
      </c>
      <c r="Q762" s="18">
        <v>105098</v>
      </c>
      <c r="R762" s="19">
        <v>11</v>
      </c>
      <c r="S762" s="14">
        <v>4.0999999999999996</v>
      </c>
      <c r="T762" s="7">
        <v>97</v>
      </c>
      <c r="U762" s="15">
        <v>10</v>
      </c>
      <c r="V762" s="15">
        <v>26</v>
      </c>
      <c r="W762" s="15">
        <v>20</v>
      </c>
      <c r="X762" t="s">
        <v>61</v>
      </c>
      <c r="Y762" t="s">
        <v>62</v>
      </c>
      <c r="Z762" s="14">
        <v>2.2000000000000002</v>
      </c>
      <c r="AA762" s="12">
        <f>YEAR(Table1[Hire_Date])</f>
        <v>2024</v>
      </c>
      <c r="AB76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763" spans="1:28" x14ac:dyDescent="0.25">
      <c r="A763" t="s">
        <v>3181</v>
      </c>
      <c r="B763" s="16" t="s">
        <v>3182</v>
      </c>
      <c r="C763" s="16" t="s">
        <v>3183</v>
      </c>
      <c r="D763" t="s">
        <v>44</v>
      </c>
      <c r="E763" s="15">
        <v>29</v>
      </c>
      <c r="F763" s="16" t="s">
        <v>45</v>
      </c>
      <c r="G763" s="16" t="s">
        <v>82</v>
      </c>
      <c r="H763" s="16" t="s">
        <v>83</v>
      </c>
      <c r="I763" s="16" t="s">
        <v>33</v>
      </c>
      <c r="J763" s="16" t="s">
        <v>49</v>
      </c>
      <c r="K763" s="17" t="s">
        <v>1942</v>
      </c>
      <c r="M763" t="s">
        <v>36</v>
      </c>
      <c r="N763" t="s">
        <v>605</v>
      </c>
      <c r="O763" t="s">
        <v>60</v>
      </c>
      <c r="P763" s="15">
        <v>23</v>
      </c>
      <c r="Q763" s="18">
        <v>47710</v>
      </c>
      <c r="R763" s="19">
        <v>6</v>
      </c>
      <c r="S763" s="14">
        <v>2.8</v>
      </c>
      <c r="T763" s="7">
        <v>61</v>
      </c>
      <c r="U763" s="15">
        <v>3</v>
      </c>
      <c r="V763" s="15">
        <v>25</v>
      </c>
      <c r="W763" s="15">
        <v>64</v>
      </c>
      <c r="X763" t="s">
        <v>39</v>
      </c>
      <c r="Y763" t="s">
        <v>62</v>
      </c>
      <c r="Z763" s="14">
        <v>5.7</v>
      </c>
      <c r="AA763" s="12">
        <f>YEAR(Table1[Hire_Date])</f>
        <v>2020</v>
      </c>
      <c r="AB76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764" spans="1:28" x14ac:dyDescent="0.25">
      <c r="A764" t="s">
        <v>3184</v>
      </c>
      <c r="B764" s="16" t="s">
        <v>3185</v>
      </c>
      <c r="C764" s="16" t="s">
        <v>3186</v>
      </c>
      <c r="D764" t="s">
        <v>44</v>
      </c>
      <c r="E764" s="15">
        <v>35</v>
      </c>
      <c r="F764" s="16" t="s">
        <v>45</v>
      </c>
      <c r="G764" s="16" t="s">
        <v>46</v>
      </c>
      <c r="H764" s="16" t="s">
        <v>83</v>
      </c>
      <c r="I764" s="16" t="s">
        <v>48</v>
      </c>
      <c r="J764" s="16" t="s">
        <v>49</v>
      </c>
      <c r="K764" s="17" t="s">
        <v>341</v>
      </c>
      <c r="M764" t="s">
        <v>36</v>
      </c>
      <c r="N764" t="s">
        <v>137</v>
      </c>
      <c r="O764" t="s">
        <v>38</v>
      </c>
      <c r="P764" s="15">
        <v>24</v>
      </c>
      <c r="Q764" s="18">
        <v>128334</v>
      </c>
      <c r="R764" s="19">
        <v>21</v>
      </c>
      <c r="S764" s="14">
        <v>2.6</v>
      </c>
      <c r="T764" s="7">
        <v>56</v>
      </c>
      <c r="U764" s="15">
        <v>8</v>
      </c>
      <c r="V764" s="15">
        <v>6</v>
      </c>
      <c r="W764" s="15">
        <v>42</v>
      </c>
      <c r="X764" t="s">
        <v>39</v>
      </c>
      <c r="Y764" t="s">
        <v>78</v>
      </c>
      <c r="Z764" s="14">
        <v>5.0999999999999996</v>
      </c>
      <c r="AA764" s="12">
        <f>YEAR(Table1[Hire_Date])</f>
        <v>2021</v>
      </c>
      <c r="AB76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765" spans="1:28" x14ac:dyDescent="0.25">
      <c r="A765" t="s">
        <v>3187</v>
      </c>
      <c r="B765" s="16" t="s">
        <v>3188</v>
      </c>
      <c r="C765" s="16" t="s">
        <v>3189</v>
      </c>
      <c r="D765" t="s">
        <v>29</v>
      </c>
      <c r="E765" s="15">
        <v>56</v>
      </c>
      <c r="F765" s="16" t="s">
        <v>90</v>
      </c>
      <c r="G765" s="16" t="s">
        <v>13</v>
      </c>
      <c r="H765" s="16" t="s">
        <v>66</v>
      </c>
      <c r="I765" s="16" t="s">
        <v>33</v>
      </c>
      <c r="J765" s="16" t="s">
        <v>49</v>
      </c>
      <c r="K765" s="17" t="s">
        <v>3190</v>
      </c>
      <c r="M765" t="s">
        <v>36</v>
      </c>
      <c r="N765" t="s">
        <v>505</v>
      </c>
      <c r="O765" t="s">
        <v>52</v>
      </c>
      <c r="P765" s="15">
        <v>33</v>
      </c>
      <c r="Q765" s="18">
        <v>145980</v>
      </c>
      <c r="R765" s="19">
        <v>21</v>
      </c>
      <c r="S765" s="14">
        <v>3</v>
      </c>
      <c r="T765" s="7">
        <v>89</v>
      </c>
      <c r="U765" s="15">
        <v>14</v>
      </c>
      <c r="V765" s="15">
        <v>41</v>
      </c>
      <c r="W765" s="15">
        <v>10</v>
      </c>
      <c r="X765" t="s">
        <v>61</v>
      </c>
      <c r="Y765" t="s">
        <v>62</v>
      </c>
      <c r="Z765" s="14">
        <v>0.5</v>
      </c>
      <c r="AA765" s="12">
        <f>YEAR(Table1[Hire_Date])</f>
        <v>2026</v>
      </c>
      <c r="AB76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766" spans="1:28" x14ac:dyDescent="0.25">
      <c r="A766" t="s">
        <v>3191</v>
      </c>
      <c r="B766" s="16" t="s">
        <v>3192</v>
      </c>
      <c r="C766" s="16" t="s">
        <v>3193</v>
      </c>
      <c r="D766" t="s">
        <v>44</v>
      </c>
      <c r="E766" s="15">
        <v>23</v>
      </c>
      <c r="F766" s="16" t="s">
        <v>124</v>
      </c>
      <c r="G766" s="16" t="s">
        <v>104</v>
      </c>
      <c r="H766" s="16" t="s">
        <v>83</v>
      </c>
      <c r="I766" s="16" t="s">
        <v>48</v>
      </c>
      <c r="J766" s="16" t="s">
        <v>34</v>
      </c>
      <c r="K766" s="17" t="s">
        <v>3194</v>
      </c>
      <c r="L766" s="17" t="s">
        <v>3195</v>
      </c>
      <c r="M766" t="s">
        <v>76</v>
      </c>
      <c r="N766" t="s">
        <v>353</v>
      </c>
      <c r="O766" t="s">
        <v>52</v>
      </c>
      <c r="P766" s="15">
        <v>0</v>
      </c>
      <c r="Q766" s="18">
        <v>61036</v>
      </c>
      <c r="R766" s="19">
        <v>19</v>
      </c>
      <c r="S766" s="14">
        <v>4.3</v>
      </c>
      <c r="T766" s="7">
        <v>98</v>
      </c>
      <c r="U766" s="15">
        <v>4</v>
      </c>
      <c r="V766" s="15">
        <v>54</v>
      </c>
      <c r="W766" s="15">
        <v>18</v>
      </c>
      <c r="X766" t="s">
        <v>39</v>
      </c>
      <c r="Y766" t="s">
        <v>78</v>
      </c>
      <c r="Z766" s="14">
        <v>2.1</v>
      </c>
      <c r="AA766" s="12">
        <f>YEAR(Table1[Hire_Date])</f>
        <v>2024</v>
      </c>
      <c r="AB76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767" spans="1:28" x14ac:dyDescent="0.25">
      <c r="A767" t="s">
        <v>3196</v>
      </c>
      <c r="B767" s="16" t="s">
        <v>3197</v>
      </c>
      <c r="C767" s="16" t="s">
        <v>3198</v>
      </c>
      <c r="D767" t="s">
        <v>44</v>
      </c>
      <c r="E767" s="15">
        <v>35</v>
      </c>
      <c r="F767" s="16" t="s">
        <v>72</v>
      </c>
      <c r="G767" s="16" t="s">
        <v>73</v>
      </c>
      <c r="H767" s="16" t="s">
        <v>47</v>
      </c>
      <c r="I767" s="16" t="s">
        <v>57</v>
      </c>
      <c r="J767" s="16" t="s">
        <v>34</v>
      </c>
      <c r="K767" s="17" t="s">
        <v>3199</v>
      </c>
      <c r="M767" t="s">
        <v>36</v>
      </c>
      <c r="N767" t="s">
        <v>309</v>
      </c>
      <c r="O767" t="s">
        <v>52</v>
      </c>
      <c r="P767" s="15">
        <v>22</v>
      </c>
      <c r="Q767" s="18">
        <v>97193</v>
      </c>
      <c r="R767" s="19">
        <v>18</v>
      </c>
      <c r="S767" s="14">
        <v>4.5</v>
      </c>
      <c r="T767" s="7">
        <v>91</v>
      </c>
      <c r="U767" s="15">
        <v>15</v>
      </c>
      <c r="V767" s="15">
        <v>18</v>
      </c>
      <c r="W767" s="15">
        <v>58</v>
      </c>
      <c r="X767" t="s">
        <v>39</v>
      </c>
      <c r="Y767" t="s">
        <v>62</v>
      </c>
      <c r="Z767" s="14">
        <v>5.4</v>
      </c>
      <c r="AA767" s="12">
        <f>YEAR(Table1[Hire_Date])</f>
        <v>2021</v>
      </c>
      <c r="AB76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768" spans="1:28" x14ac:dyDescent="0.25">
      <c r="A768" t="s">
        <v>3200</v>
      </c>
      <c r="B768" s="16" t="s">
        <v>3201</v>
      </c>
      <c r="C768" s="16" t="s">
        <v>3202</v>
      </c>
      <c r="D768" t="s">
        <v>29</v>
      </c>
      <c r="E768" s="15">
        <v>42</v>
      </c>
      <c r="F768" s="16" t="s">
        <v>72</v>
      </c>
      <c r="G768" s="16" t="s">
        <v>73</v>
      </c>
      <c r="H768" s="16" t="s">
        <v>56</v>
      </c>
      <c r="I768" s="16" t="s">
        <v>33</v>
      </c>
      <c r="J768" s="16" t="s">
        <v>34</v>
      </c>
      <c r="K768" s="17" t="s">
        <v>3203</v>
      </c>
      <c r="M768" t="s">
        <v>36</v>
      </c>
      <c r="N768" t="s">
        <v>323</v>
      </c>
      <c r="O768" t="s">
        <v>52</v>
      </c>
      <c r="P768" s="15">
        <v>6</v>
      </c>
      <c r="Q768" s="18">
        <v>152696</v>
      </c>
      <c r="R768" s="19">
        <v>12</v>
      </c>
      <c r="S768" s="14">
        <v>4.5</v>
      </c>
      <c r="T768" s="7">
        <v>83</v>
      </c>
      <c r="U768" s="15">
        <v>4</v>
      </c>
      <c r="V768" s="15">
        <v>38</v>
      </c>
      <c r="W768" s="15">
        <v>67</v>
      </c>
      <c r="X768" t="s">
        <v>61</v>
      </c>
      <c r="Y768" t="s">
        <v>62</v>
      </c>
      <c r="Z768" s="14">
        <v>1.2</v>
      </c>
      <c r="AA768" s="12">
        <f>YEAR(Table1[Hire_Date])</f>
        <v>2025</v>
      </c>
      <c r="AB76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769" spans="1:28" x14ac:dyDescent="0.25">
      <c r="A769" t="s">
        <v>3204</v>
      </c>
      <c r="B769" s="16" t="s">
        <v>3205</v>
      </c>
      <c r="C769" s="16" t="s">
        <v>3206</v>
      </c>
      <c r="D769" t="s">
        <v>29</v>
      </c>
      <c r="E769" s="15">
        <v>57</v>
      </c>
      <c r="F769" s="16" t="s">
        <v>103</v>
      </c>
      <c r="G769" s="16" t="s">
        <v>147</v>
      </c>
      <c r="H769" s="16" t="s">
        <v>83</v>
      </c>
      <c r="I769" s="16" t="s">
        <v>57</v>
      </c>
      <c r="J769" s="16" t="s">
        <v>34</v>
      </c>
      <c r="K769" s="17" t="s">
        <v>3207</v>
      </c>
      <c r="M769" t="s">
        <v>36</v>
      </c>
      <c r="N769" t="s">
        <v>106</v>
      </c>
      <c r="O769" t="s">
        <v>60</v>
      </c>
      <c r="P769" s="15">
        <v>3</v>
      </c>
      <c r="Q769" s="18">
        <v>125497</v>
      </c>
      <c r="R769" s="19">
        <v>17</v>
      </c>
      <c r="S769" s="14">
        <v>3.8</v>
      </c>
      <c r="T769" s="7">
        <v>62</v>
      </c>
      <c r="U769" s="15">
        <v>7</v>
      </c>
      <c r="V769" s="15">
        <v>29</v>
      </c>
      <c r="W769" s="15">
        <v>33</v>
      </c>
      <c r="X769" t="s">
        <v>39</v>
      </c>
      <c r="Y769" t="s">
        <v>40</v>
      </c>
      <c r="Z769" s="14">
        <v>4.8</v>
      </c>
      <c r="AA769" s="12">
        <f>YEAR(Table1[Hire_Date])</f>
        <v>2021</v>
      </c>
      <c r="AB76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770" spans="1:28" x14ac:dyDescent="0.25">
      <c r="A770" t="s">
        <v>3208</v>
      </c>
      <c r="B770" s="16" t="s">
        <v>3209</v>
      </c>
      <c r="C770" s="16" t="s">
        <v>3210</v>
      </c>
      <c r="D770" t="s">
        <v>44</v>
      </c>
      <c r="E770" s="15">
        <v>56</v>
      </c>
      <c r="F770" s="16" t="s">
        <v>45</v>
      </c>
      <c r="G770" s="16" t="s">
        <v>82</v>
      </c>
      <c r="H770" s="16" t="s">
        <v>47</v>
      </c>
      <c r="I770" s="16" t="s">
        <v>33</v>
      </c>
      <c r="J770" s="16" t="s">
        <v>34</v>
      </c>
      <c r="K770" s="17" t="s">
        <v>3211</v>
      </c>
      <c r="M770" t="s">
        <v>36</v>
      </c>
      <c r="N770" t="s">
        <v>277</v>
      </c>
      <c r="O770" t="s">
        <v>52</v>
      </c>
      <c r="P770" s="15">
        <v>35</v>
      </c>
      <c r="Q770" s="18">
        <v>138941</v>
      </c>
      <c r="R770" s="19">
        <v>14</v>
      </c>
      <c r="S770" s="14">
        <v>2.7</v>
      </c>
      <c r="T770" s="7">
        <v>57</v>
      </c>
      <c r="U770" s="15">
        <v>7</v>
      </c>
      <c r="V770" s="15">
        <v>60</v>
      </c>
      <c r="W770" s="15">
        <v>80</v>
      </c>
      <c r="X770" t="s">
        <v>61</v>
      </c>
      <c r="Y770" t="s">
        <v>62</v>
      </c>
      <c r="Z770" s="14">
        <v>5.6</v>
      </c>
      <c r="AA770" s="12">
        <f>YEAR(Table1[Hire_Date])</f>
        <v>2020</v>
      </c>
      <c r="AB77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771" spans="1:28" x14ac:dyDescent="0.25">
      <c r="A771" t="s">
        <v>3212</v>
      </c>
      <c r="B771" s="16" t="s">
        <v>3213</v>
      </c>
      <c r="C771" s="16" t="s">
        <v>3214</v>
      </c>
      <c r="D771" t="s">
        <v>29</v>
      </c>
      <c r="E771" s="15">
        <v>58</v>
      </c>
      <c r="F771" s="16" t="s">
        <v>90</v>
      </c>
      <c r="G771" s="16" t="s">
        <v>281</v>
      </c>
      <c r="H771" s="16" t="s">
        <v>47</v>
      </c>
      <c r="I771" s="16" t="s">
        <v>48</v>
      </c>
      <c r="J771" s="16" t="s">
        <v>34</v>
      </c>
      <c r="K771" s="17" t="s">
        <v>1890</v>
      </c>
      <c r="M771" t="s">
        <v>36</v>
      </c>
      <c r="N771" t="s">
        <v>143</v>
      </c>
      <c r="O771" t="s">
        <v>60</v>
      </c>
      <c r="P771" s="15">
        <v>32</v>
      </c>
      <c r="Q771" s="18">
        <v>142207</v>
      </c>
      <c r="R771" s="19">
        <v>5</v>
      </c>
      <c r="S771" s="14">
        <v>4.0999999999999996</v>
      </c>
      <c r="T771" s="7">
        <v>56</v>
      </c>
      <c r="U771" s="15">
        <v>13</v>
      </c>
      <c r="V771" s="15">
        <v>57</v>
      </c>
      <c r="W771" s="15">
        <v>48</v>
      </c>
      <c r="X771" t="s">
        <v>61</v>
      </c>
      <c r="Y771" t="s">
        <v>78</v>
      </c>
      <c r="Z771" s="14">
        <v>9.3000000000000007</v>
      </c>
      <c r="AA771" s="12">
        <f>YEAR(Table1[Hire_Date])</f>
        <v>2017</v>
      </c>
      <c r="AB77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772" spans="1:28" x14ac:dyDescent="0.25">
      <c r="A772" t="s">
        <v>3215</v>
      </c>
      <c r="B772" s="16" t="s">
        <v>3216</v>
      </c>
      <c r="C772" s="16" t="s">
        <v>3217</v>
      </c>
      <c r="D772" t="s">
        <v>44</v>
      </c>
      <c r="E772" s="15">
        <v>39</v>
      </c>
      <c r="F772" s="16" t="s">
        <v>30</v>
      </c>
      <c r="G772" s="16" t="s">
        <v>13</v>
      </c>
      <c r="H772" s="16" t="s">
        <v>83</v>
      </c>
      <c r="I772" s="16" t="s">
        <v>33</v>
      </c>
      <c r="J772" s="16" t="s">
        <v>34</v>
      </c>
      <c r="K772" s="17" t="s">
        <v>1404</v>
      </c>
      <c r="M772" t="s">
        <v>36</v>
      </c>
      <c r="N772" t="s">
        <v>51</v>
      </c>
      <c r="O772" t="s">
        <v>38</v>
      </c>
      <c r="P772" s="15">
        <v>20</v>
      </c>
      <c r="Q772" s="18">
        <v>41271</v>
      </c>
      <c r="R772" s="19">
        <v>6</v>
      </c>
      <c r="S772" s="14">
        <v>3</v>
      </c>
      <c r="T772" s="7">
        <v>74</v>
      </c>
      <c r="U772" s="15">
        <v>3</v>
      </c>
      <c r="V772" s="15">
        <v>13</v>
      </c>
      <c r="W772" s="15">
        <v>77</v>
      </c>
      <c r="X772" t="s">
        <v>61</v>
      </c>
      <c r="Y772" t="s">
        <v>62</v>
      </c>
      <c r="Z772" s="14">
        <v>0.3</v>
      </c>
      <c r="AA772" s="12">
        <f>YEAR(Table1[Hire_Date])</f>
        <v>2026</v>
      </c>
      <c r="AB77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773" spans="1:28" x14ac:dyDescent="0.25">
      <c r="A773" t="s">
        <v>3218</v>
      </c>
      <c r="B773" s="16" t="s">
        <v>3219</v>
      </c>
      <c r="C773" s="16" t="s">
        <v>3220</v>
      </c>
      <c r="D773" t="s">
        <v>29</v>
      </c>
      <c r="E773" s="15">
        <v>46</v>
      </c>
      <c r="F773" s="16" t="s">
        <v>72</v>
      </c>
      <c r="G773" s="16" t="s">
        <v>97</v>
      </c>
      <c r="H773" s="16" t="s">
        <v>66</v>
      </c>
      <c r="I773" s="16" t="s">
        <v>33</v>
      </c>
      <c r="J773" s="16" t="s">
        <v>34</v>
      </c>
      <c r="K773" s="17" t="s">
        <v>3221</v>
      </c>
      <c r="M773" t="s">
        <v>36</v>
      </c>
      <c r="N773" t="s">
        <v>199</v>
      </c>
      <c r="O773" t="s">
        <v>38</v>
      </c>
      <c r="P773" s="15">
        <v>15</v>
      </c>
      <c r="Q773" s="18">
        <v>133442</v>
      </c>
      <c r="R773" s="19">
        <v>20</v>
      </c>
      <c r="S773" s="14">
        <v>3.3</v>
      </c>
      <c r="T773" s="7">
        <v>81</v>
      </c>
      <c r="U773" s="15">
        <v>15</v>
      </c>
      <c r="V773" s="15">
        <v>27</v>
      </c>
      <c r="W773" s="15">
        <v>16</v>
      </c>
      <c r="X773" t="s">
        <v>39</v>
      </c>
      <c r="Y773" t="s">
        <v>78</v>
      </c>
      <c r="Z773" s="14">
        <v>2.9</v>
      </c>
      <c r="AA773" s="12">
        <f>YEAR(Table1[Hire_Date])</f>
        <v>2023</v>
      </c>
      <c r="AB77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774" spans="1:28" x14ac:dyDescent="0.25">
      <c r="A774" t="s">
        <v>3222</v>
      </c>
      <c r="B774" s="16" t="s">
        <v>3223</v>
      </c>
      <c r="C774" s="16" t="s">
        <v>3224</v>
      </c>
      <c r="D774" t="s">
        <v>44</v>
      </c>
      <c r="E774" s="15">
        <v>25</v>
      </c>
      <c r="F774" s="16" t="s">
        <v>103</v>
      </c>
      <c r="G774" s="16" t="s">
        <v>104</v>
      </c>
      <c r="H774" s="16" t="s">
        <v>56</v>
      </c>
      <c r="I774" s="16" t="s">
        <v>33</v>
      </c>
      <c r="J774" s="16" t="s">
        <v>49</v>
      </c>
      <c r="K774" s="17" t="s">
        <v>3225</v>
      </c>
      <c r="M774" t="s">
        <v>36</v>
      </c>
      <c r="N774" t="s">
        <v>337</v>
      </c>
      <c r="O774" t="s">
        <v>60</v>
      </c>
      <c r="P774" s="15">
        <v>20</v>
      </c>
      <c r="Q774" s="18">
        <v>77145</v>
      </c>
      <c r="R774" s="19">
        <v>8</v>
      </c>
      <c r="S774" s="14">
        <v>4.9000000000000004</v>
      </c>
      <c r="T774" s="7">
        <v>95</v>
      </c>
      <c r="U774" s="15">
        <v>14</v>
      </c>
      <c r="V774" s="15">
        <v>9</v>
      </c>
      <c r="W774" s="15">
        <v>19</v>
      </c>
      <c r="X774" t="s">
        <v>39</v>
      </c>
      <c r="Y774" t="s">
        <v>62</v>
      </c>
      <c r="Z774" s="14">
        <v>10</v>
      </c>
      <c r="AA774" s="12">
        <f>YEAR(Table1[Hire_Date])</f>
        <v>2016</v>
      </c>
      <c r="AB77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775" spans="1:28" x14ac:dyDescent="0.25">
      <c r="A775" t="s">
        <v>3226</v>
      </c>
      <c r="B775" s="16" t="s">
        <v>3227</v>
      </c>
      <c r="C775" s="16" t="s">
        <v>3228</v>
      </c>
      <c r="D775" t="s">
        <v>44</v>
      </c>
      <c r="E775" s="15">
        <v>53</v>
      </c>
      <c r="F775" s="16" t="s">
        <v>45</v>
      </c>
      <c r="G775" s="16" t="s">
        <v>82</v>
      </c>
      <c r="H775" s="16" t="s">
        <v>47</v>
      </c>
      <c r="I775" s="16" t="s">
        <v>57</v>
      </c>
      <c r="J775" s="16" t="s">
        <v>34</v>
      </c>
      <c r="K775" s="17" t="s">
        <v>3229</v>
      </c>
      <c r="M775" t="s">
        <v>36</v>
      </c>
      <c r="N775" t="s">
        <v>59</v>
      </c>
      <c r="O775" t="s">
        <v>60</v>
      </c>
      <c r="P775" s="15">
        <v>1</v>
      </c>
      <c r="Q775" s="18">
        <v>126749</v>
      </c>
      <c r="R775" s="19">
        <v>23</v>
      </c>
      <c r="S775" s="14">
        <v>3.3</v>
      </c>
      <c r="T775" s="7">
        <v>52</v>
      </c>
      <c r="U775" s="15">
        <v>7</v>
      </c>
      <c r="V775" s="15">
        <v>53</v>
      </c>
      <c r="W775" s="15">
        <v>51</v>
      </c>
      <c r="X775" t="s">
        <v>61</v>
      </c>
      <c r="Y775" t="s">
        <v>40</v>
      </c>
      <c r="Z775" s="14">
        <v>9.6999999999999993</v>
      </c>
      <c r="AA775" s="12">
        <f>YEAR(Table1[Hire_Date])</f>
        <v>2016</v>
      </c>
      <c r="AB77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776" spans="1:28" x14ac:dyDescent="0.25">
      <c r="A776" t="s">
        <v>3230</v>
      </c>
      <c r="B776" s="16" t="s">
        <v>3231</v>
      </c>
      <c r="C776" s="16" t="s">
        <v>3232</v>
      </c>
      <c r="D776" t="s">
        <v>44</v>
      </c>
      <c r="E776" s="15">
        <v>45</v>
      </c>
      <c r="F776" s="16" t="s">
        <v>30</v>
      </c>
      <c r="G776" s="16" t="s">
        <v>13</v>
      </c>
      <c r="H776" s="16" t="s">
        <v>66</v>
      </c>
      <c r="I776" s="16" t="s">
        <v>33</v>
      </c>
      <c r="J776" s="16" t="s">
        <v>34</v>
      </c>
      <c r="K776" s="17" t="s">
        <v>3097</v>
      </c>
      <c r="M776" t="s">
        <v>36</v>
      </c>
      <c r="N776" t="s">
        <v>86</v>
      </c>
      <c r="O776" t="s">
        <v>38</v>
      </c>
      <c r="P776" s="15">
        <v>11</v>
      </c>
      <c r="Q776" s="18">
        <v>52808</v>
      </c>
      <c r="R776" s="19">
        <v>25</v>
      </c>
      <c r="S776" s="14">
        <v>4.5</v>
      </c>
      <c r="T776" s="7">
        <v>83</v>
      </c>
      <c r="U776" s="15">
        <v>2</v>
      </c>
      <c r="V776" s="15">
        <v>13</v>
      </c>
      <c r="W776" s="15">
        <v>42</v>
      </c>
      <c r="X776" t="s">
        <v>39</v>
      </c>
      <c r="Y776" t="s">
        <v>40</v>
      </c>
      <c r="Z776" s="14">
        <v>4</v>
      </c>
      <c r="AA776" s="12">
        <f>YEAR(Table1[Hire_Date])</f>
        <v>2022</v>
      </c>
      <c r="AB77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777" spans="1:28" x14ac:dyDescent="0.25">
      <c r="A777" t="s">
        <v>3233</v>
      </c>
      <c r="B777" s="16" t="s">
        <v>3234</v>
      </c>
      <c r="C777" s="16" t="s">
        <v>3235</v>
      </c>
      <c r="D777" t="s">
        <v>29</v>
      </c>
      <c r="E777" s="15">
        <v>56</v>
      </c>
      <c r="F777" s="16" t="s">
        <v>103</v>
      </c>
      <c r="G777" s="16" t="s">
        <v>147</v>
      </c>
      <c r="H777" s="16" t="s">
        <v>47</v>
      </c>
      <c r="I777" s="16" t="s">
        <v>33</v>
      </c>
      <c r="J777" s="16" t="s">
        <v>34</v>
      </c>
      <c r="K777" s="17" t="s">
        <v>3236</v>
      </c>
      <c r="M777" t="s">
        <v>36</v>
      </c>
      <c r="N777" t="s">
        <v>224</v>
      </c>
      <c r="O777" t="s">
        <v>52</v>
      </c>
      <c r="P777" s="15">
        <v>23</v>
      </c>
      <c r="Q777" s="18">
        <v>62211</v>
      </c>
      <c r="R777" s="19">
        <v>17</v>
      </c>
      <c r="S777" s="14">
        <v>3.9</v>
      </c>
      <c r="T777" s="7">
        <v>77</v>
      </c>
      <c r="U777" s="15">
        <v>10</v>
      </c>
      <c r="V777" s="15">
        <v>14</v>
      </c>
      <c r="W777" s="15">
        <v>19</v>
      </c>
      <c r="X777" t="s">
        <v>61</v>
      </c>
      <c r="Y777" t="s">
        <v>78</v>
      </c>
      <c r="Z777" s="14">
        <v>5.8</v>
      </c>
      <c r="AA777" s="12">
        <f>YEAR(Table1[Hire_Date])</f>
        <v>2020</v>
      </c>
      <c r="AB77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778" spans="1:28" x14ac:dyDescent="0.25">
      <c r="A778" t="s">
        <v>3237</v>
      </c>
      <c r="B778" s="16" t="s">
        <v>3238</v>
      </c>
      <c r="C778" s="16" t="s">
        <v>3239</v>
      </c>
      <c r="D778" t="s">
        <v>44</v>
      </c>
      <c r="E778" s="15">
        <v>23</v>
      </c>
      <c r="F778" s="16" t="s">
        <v>103</v>
      </c>
      <c r="G778" s="16" t="s">
        <v>13</v>
      </c>
      <c r="H778" s="16" t="s">
        <v>56</v>
      </c>
      <c r="I778" s="16" t="s">
        <v>48</v>
      </c>
      <c r="J778" s="16" t="s">
        <v>34</v>
      </c>
      <c r="K778" s="17" t="s">
        <v>3240</v>
      </c>
      <c r="M778" t="s">
        <v>36</v>
      </c>
      <c r="N778" t="s">
        <v>469</v>
      </c>
      <c r="O778" t="s">
        <v>52</v>
      </c>
      <c r="P778" s="15">
        <v>18</v>
      </c>
      <c r="Q778" s="18">
        <v>118169</v>
      </c>
      <c r="R778" s="19">
        <v>8</v>
      </c>
      <c r="S778" s="14">
        <v>3</v>
      </c>
      <c r="T778" s="7">
        <v>51</v>
      </c>
      <c r="U778" s="15">
        <v>7</v>
      </c>
      <c r="V778" s="15">
        <v>59</v>
      </c>
      <c r="W778" s="15">
        <v>68</v>
      </c>
      <c r="X778" t="s">
        <v>39</v>
      </c>
      <c r="Y778" t="s">
        <v>78</v>
      </c>
      <c r="Z778" s="14">
        <v>3.6</v>
      </c>
      <c r="AA778" s="12">
        <f>YEAR(Table1[Hire_Date])</f>
        <v>2022</v>
      </c>
      <c r="AB77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779" spans="1:28" x14ac:dyDescent="0.25">
      <c r="A779" t="s">
        <v>3241</v>
      </c>
      <c r="B779" s="16" t="s">
        <v>3242</v>
      </c>
      <c r="C779" s="16" t="s">
        <v>3243</v>
      </c>
      <c r="D779" t="s">
        <v>29</v>
      </c>
      <c r="E779" s="15">
        <v>25</v>
      </c>
      <c r="F779" s="16" t="s">
        <v>45</v>
      </c>
      <c r="G779" s="16" t="s">
        <v>46</v>
      </c>
      <c r="H779" s="16" t="s">
        <v>83</v>
      </c>
      <c r="I779" s="16" t="s">
        <v>33</v>
      </c>
      <c r="J779" s="16" t="s">
        <v>49</v>
      </c>
      <c r="K779" s="17" t="s">
        <v>3244</v>
      </c>
      <c r="L779" s="17" t="s">
        <v>3245</v>
      </c>
      <c r="M779" t="s">
        <v>76</v>
      </c>
      <c r="N779" t="s">
        <v>510</v>
      </c>
      <c r="O779" t="s">
        <v>52</v>
      </c>
      <c r="P779" s="15">
        <v>3</v>
      </c>
      <c r="Q779" s="18">
        <v>104501</v>
      </c>
      <c r="R779" s="19">
        <v>23</v>
      </c>
      <c r="S779" s="14">
        <v>4.8</v>
      </c>
      <c r="T779" s="7">
        <v>60</v>
      </c>
      <c r="U779" s="15">
        <v>2</v>
      </c>
      <c r="V779" s="15">
        <v>57</v>
      </c>
      <c r="W779" s="15">
        <v>0</v>
      </c>
      <c r="X779" t="s">
        <v>61</v>
      </c>
      <c r="Y779" t="s">
        <v>78</v>
      </c>
      <c r="Z779" s="14">
        <v>4.2</v>
      </c>
      <c r="AA779" s="12">
        <f>YEAR(Table1[Hire_Date])</f>
        <v>2022</v>
      </c>
      <c r="AB77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780" spans="1:28" x14ac:dyDescent="0.25">
      <c r="A780" t="s">
        <v>3246</v>
      </c>
      <c r="B780" s="16" t="s">
        <v>3247</v>
      </c>
      <c r="C780" s="16" t="s">
        <v>3248</v>
      </c>
      <c r="D780" t="s">
        <v>44</v>
      </c>
      <c r="E780" s="15">
        <v>34</v>
      </c>
      <c r="F780" s="16" t="s">
        <v>124</v>
      </c>
      <c r="G780" s="16" t="s">
        <v>13</v>
      </c>
      <c r="H780" s="16" t="s">
        <v>47</v>
      </c>
      <c r="I780" s="16" t="s">
        <v>48</v>
      </c>
      <c r="J780" s="16" t="s">
        <v>34</v>
      </c>
      <c r="K780" s="17" t="s">
        <v>3249</v>
      </c>
      <c r="M780" t="s">
        <v>36</v>
      </c>
      <c r="N780" t="s">
        <v>1237</v>
      </c>
      <c r="O780" t="s">
        <v>38</v>
      </c>
      <c r="P780" s="15">
        <v>13</v>
      </c>
      <c r="Q780" s="18">
        <v>52276</v>
      </c>
      <c r="R780" s="19">
        <v>8</v>
      </c>
      <c r="S780" s="14">
        <v>2.5</v>
      </c>
      <c r="T780" s="7">
        <v>74</v>
      </c>
      <c r="U780" s="15">
        <v>12</v>
      </c>
      <c r="V780" s="15">
        <v>35</v>
      </c>
      <c r="W780" s="15">
        <v>50</v>
      </c>
      <c r="X780" t="s">
        <v>61</v>
      </c>
      <c r="Y780" t="s">
        <v>62</v>
      </c>
      <c r="Z780" s="14">
        <v>5.5</v>
      </c>
      <c r="AA780" s="12">
        <f>YEAR(Table1[Hire_Date])</f>
        <v>2021</v>
      </c>
      <c r="AB78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781" spans="1:28" x14ac:dyDescent="0.25">
      <c r="A781" t="s">
        <v>3250</v>
      </c>
      <c r="B781" s="16" t="s">
        <v>3251</v>
      </c>
      <c r="C781" s="16" t="s">
        <v>3252</v>
      </c>
      <c r="D781" t="s">
        <v>44</v>
      </c>
      <c r="E781" s="15">
        <v>41</v>
      </c>
      <c r="F781" s="16" t="s">
        <v>72</v>
      </c>
      <c r="G781" s="16" t="s">
        <v>73</v>
      </c>
      <c r="H781" s="16" t="s">
        <v>83</v>
      </c>
      <c r="I781" s="16" t="s">
        <v>57</v>
      </c>
      <c r="J781" s="16" t="s">
        <v>49</v>
      </c>
      <c r="K781" s="17" t="s">
        <v>3253</v>
      </c>
      <c r="M781" t="s">
        <v>36</v>
      </c>
      <c r="N781" t="s">
        <v>99</v>
      </c>
      <c r="O781" t="s">
        <v>60</v>
      </c>
      <c r="P781" s="15">
        <v>33</v>
      </c>
      <c r="Q781" s="18">
        <v>99546</v>
      </c>
      <c r="R781" s="19">
        <v>14</v>
      </c>
      <c r="S781" s="14">
        <v>2.9</v>
      </c>
      <c r="T781" s="7">
        <v>53</v>
      </c>
      <c r="U781" s="15">
        <v>12</v>
      </c>
      <c r="V781" s="15">
        <v>51</v>
      </c>
      <c r="W781" s="15">
        <v>46</v>
      </c>
      <c r="X781" t="s">
        <v>61</v>
      </c>
      <c r="Y781" t="s">
        <v>78</v>
      </c>
      <c r="Z781" s="14">
        <v>8.9</v>
      </c>
      <c r="AA781" s="12">
        <f>YEAR(Table1[Hire_Date])</f>
        <v>2017</v>
      </c>
      <c r="AB78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782" spans="1:28" x14ac:dyDescent="0.25">
      <c r="A782" t="s">
        <v>3254</v>
      </c>
      <c r="B782" s="16" t="s">
        <v>3255</v>
      </c>
      <c r="C782" s="16" t="s">
        <v>3256</v>
      </c>
      <c r="D782" t="s">
        <v>29</v>
      </c>
      <c r="E782" s="15">
        <v>37</v>
      </c>
      <c r="F782" s="16" t="s">
        <v>124</v>
      </c>
      <c r="G782" s="16" t="s">
        <v>13</v>
      </c>
      <c r="H782" s="16" t="s">
        <v>47</v>
      </c>
      <c r="I782" s="16" t="s">
        <v>33</v>
      </c>
      <c r="J782" s="16" t="s">
        <v>49</v>
      </c>
      <c r="K782" s="17" t="s">
        <v>3257</v>
      </c>
      <c r="L782" s="17" t="s">
        <v>2660</v>
      </c>
      <c r="M782" t="s">
        <v>76</v>
      </c>
      <c r="N782" t="s">
        <v>348</v>
      </c>
      <c r="O782" t="s">
        <v>60</v>
      </c>
      <c r="P782" s="15">
        <v>20</v>
      </c>
      <c r="Q782" s="18">
        <v>47725</v>
      </c>
      <c r="R782" s="19">
        <v>10</v>
      </c>
      <c r="S782" s="14">
        <v>4.3</v>
      </c>
      <c r="T782" s="7">
        <v>97</v>
      </c>
      <c r="U782" s="15">
        <v>19</v>
      </c>
      <c r="V782" s="15">
        <v>40</v>
      </c>
      <c r="W782" s="15">
        <v>54</v>
      </c>
      <c r="X782" t="s">
        <v>61</v>
      </c>
      <c r="Y782" t="s">
        <v>78</v>
      </c>
      <c r="Z782" s="14">
        <v>10.5</v>
      </c>
      <c r="AA782" s="12">
        <f>YEAR(Table1[Hire_Date])</f>
        <v>2016</v>
      </c>
      <c r="AB78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783" spans="1:28" x14ac:dyDescent="0.25">
      <c r="A783" t="s">
        <v>3258</v>
      </c>
      <c r="B783" s="16" t="s">
        <v>3259</v>
      </c>
      <c r="C783" s="16" t="s">
        <v>3260</v>
      </c>
      <c r="D783" t="s">
        <v>29</v>
      </c>
      <c r="E783" s="15">
        <v>47</v>
      </c>
      <c r="F783" s="16" t="s">
        <v>30</v>
      </c>
      <c r="G783" s="16" t="s">
        <v>13</v>
      </c>
      <c r="H783" s="16" t="s">
        <v>66</v>
      </c>
      <c r="I783" s="16" t="s">
        <v>48</v>
      </c>
      <c r="J783" s="16" t="s">
        <v>34</v>
      </c>
      <c r="K783" s="17" t="s">
        <v>3261</v>
      </c>
      <c r="M783" t="s">
        <v>36</v>
      </c>
      <c r="N783" t="s">
        <v>77</v>
      </c>
      <c r="O783" t="s">
        <v>52</v>
      </c>
      <c r="P783" s="15">
        <v>24</v>
      </c>
      <c r="Q783" s="18">
        <v>101402</v>
      </c>
      <c r="R783" s="19">
        <v>25</v>
      </c>
      <c r="S783" s="14">
        <v>4.7</v>
      </c>
      <c r="T783" s="7">
        <v>61</v>
      </c>
      <c r="U783" s="15">
        <v>18</v>
      </c>
      <c r="V783" s="15">
        <v>30</v>
      </c>
      <c r="W783" s="15">
        <v>60</v>
      </c>
      <c r="X783" t="s">
        <v>61</v>
      </c>
      <c r="Y783" t="s">
        <v>40</v>
      </c>
      <c r="Z783" s="14">
        <v>3.3</v>
      </c>
      <c r="AA783" s="12">
        <f>YEAR(Table1[Hire_Date])</f>
        <v>2023</v>
      </c>
      <c r="AB78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784" spans="1:28" x14ac:dyDescent="0.25">
      <c r="A784" t="s">
        <v>3262</v>
      </c>
      <c r="B784" s="16" t="s">
        <v>3263</v>
      </c>
      <c r="C784" s="16" t="s">
        <v>3264</v>
      </c>
      <c r="D784" t="s">
        <v>44</v>
      </c>
      <c r="E784" s="15">
        <v>27</v>
      </c>
      <c r="F784" s="16" t="s">
        <v>72</v>
      </c>
      <c r="G784" s="16" t="s">
        <v>73</v>
      </c>
      <c r="H784" s="16" t="s">
        <v>83</v>
      </c>
      <c r="I784" s="16" t="s">
        <v>48</v>
      </c>
      <c r="J784" s="16" t="s">
        <v>34</v>
      </c>
      <c r="K784" s="17" t="s">
        <v>2978</v>
      </c>
      <c r="M784" t="s">
        <v>36</v>
      </c>
      <c r="N784" t="s">
        <v>68</v>
      </c>
      <c r="O784" t="s">
        <v>52</v>
      </c>
      <c r="P784" s="15">
        <v>24</v>
      </c>
      <c r="Q784" s="18">
        <v>112633</v>
      </c>
      <c r="R784" s="19">
        <v>22</v>
      </c>
      <c r="S784" s="14">
        <v>4.3</v>
      </c>
      <c r="T784" s="7">
        <v>55</v>
      </c>
      <c r="U784" s="15">
        <v>3</v>
      </c>
      <c r="V784" s="15">
        <v>14</v>
      </c>
      <c r="W784" s="15">
        <v>17</v>
      </c>
      <c r="X784" t="s">
        <v>61</v>
      </c>
      <c r="Y784" t="s">
        <v>62</v>
      </c>
      <c r="Z784" s="14">
        <v>1.6</v>
      </c>
      <c r="AA784" s="12">
        <f>YEAR(Table1[Hire_Date])</f>
        <v>2024</v>
      </c>
      <c r="AB78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785" spans="1:28" x14ac:dyDescent="0.25">
      <c r="A785" t="s">
        <v>3265</v>
      </c>
      <c r="B785" s="16" t="s">
        <v>3266</v>
      </c>
      <c r="C785" s="16" t="s">
        <v>3267</v>
      </c>
      <c r="D785" t="s">
        <v>29</v>
      </c>
      <c r="E785" s="15">
        <v>32</v>
      </c>
      <c r="F785" s="16" t="s">
        <v>45</v>
      </c>
      <c r="G785" s="16" t="s">
        <v>82</v>
      </c>
      <c r="H785" s="16" t="s">
        <v>56</v>
      </c>
      <c r="I785" s="16" t="s">
        <v>57</v>
      </c>
      <c r="J785" s="16" t="s">
        <v>49</v>
      </c>
      <c r="K785" s="17" t="s">
        <v>3268</v>
      </c>
      <c r="M785" t="s">
        <v>36</v>
      </c>
      <c r="N785" t="s">
        <v>224</v>
      </c>
      <c r="O785" t="s">
        <v>60</v>
      </c>
      <c r="P785" s="15">
        <v>5</v>
      </c>
      <c r="Q785" s="18">
        <v>179307</v>
      </c>
      <c r="R785" s="19">
        <v>6</v>
      </c>
      <c r="S785" s="14">
        <v>2.6</v>
      </c>
      <c r="T785" s="7">
        <v>91</v>
      </c>
      <c r="U785" s="15">
        <v>4</v>
      </c>
      <c r="V785" s="15">
        <v>51</v>
      </c>
      <c r="W785" s="15">
        <v>51</v>
      </c>
      <c r="X785" t="s">
        <v>61</v>
      </c>
      <c r="Y785" t="s">
        <v>40</v>
      </c>
      <c r="Z785" s="14">
        <v>3.7</v>
      </c>
      <c r="AA785" s="12">
        <f>YEAR(Table1[Hire_Date])</f>
        <v>2022</v>
      </c>
      <c r="AB78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786" spans="1:28" x14ac:dyDescent="0.25">
      <c r="A786" t="s">
        <v>3269</v>
      </c>
      <c r="B786" s="16" t="s">
        <v>3270</v>
      </c>
      <c r="C786" s="16" t="s">
        <v>3271</v>
      </c>
      <c r="D786" t="s">
        <v>29</v>
      </c>
      <c r="E786" s="15">
        <v>42</v>
      </c>
      <c r="F786" s="16" t="s">
        <v>30</v>
      </c>
      <c r="G786" s="16" t="s">
        <v>13</v>
      </c>
      <c r="H786" s="16" t="s">
        <v>66</v>
      </c>
      <c r="I786" s="16" t="s">
        <v>57</v>
      </c>
      <c r="J786" s="16" t="s">
        <v>34</v>
      </c>
      <c r="K786" s="17" t="s">
        <v>3272</v>
      </c>
      <c r="M786" t="s">
        <v>36</v>
      </c>
      <c r="N786" t="s">
        <v>209</v>
      </c>
      <c r="O786" t="s">
        <v>38</v>
      </c>
      <c r="P786" s="15">
        <v>17</v>
      </c>
      <c r="Q786" s="18">
        <v>83722</v>
      </c>
      <c r="R786" s="19">
        <v>13</v>
      </c>
      <c r="S786" s="14">
        <v>4.9000000000000004</v>
      </c>
      <c r="T786" s="7">
        <v>72</v>
      </c>
      <c r="U786" s="15">
        <v>15</v>
      </c>
      <c r="V786" s="15">
        <v>38</v>
      </c>
      <c r="W786" s="15">
        <v>28</v>
      </c>
      <c r="X786" t="s">
        <v>39</v>
      </c>
      <c r="Y786" t="s">
        <v>78</v>
      </c>
      <c r="Z786" s="14">
        <v>1</v>
      </c>
      <c r="AA786" s="12">
        <f>YEAR(Table1[Hire_Date])</f>
        <v>2025</v>
      </c>
      <c r="AB78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787" spans="1:28" x14ac:dyDescent="0.25">
      <c r="A787" t="s">
        <v>3273</v>
      </c>
      <c r="B787" s="16" t="s">
        <v>3274</v>
      </c>
      <c r="C787" s="16" t="s">
        <v>3275</v>
      </c>
      <c r="D787" t="s">
        <v>44</v>
      </c>
      <c r="E787" s="15">
        <v>38</v>
      </c>
      <c r="F787" s="16" t="s">
        <v>103</v>
      </c>
      <c r="G787" s="16" t="s">
        <v>104</v>
      </c>
      <c r="H787" s="16" t="s">
        <v>47</v>
      </c>
      <c r="I787" s="16" t="s">
        <v>57</v>
      </c>
      <c r="J787" s="16" t="s">
        <v>34</v>
      </c>
      <c r="K787" s="17" t="s">
        <v>3276</v>
      </c>
      <c r="M787" t="s">
        <v>36</v>
      </c>
      <c r="N787" t="s">
        <v>342</v>
      </c>
      <c r="O787" t="s">
        <v>52</v>
      </c>
      <c r="P787" s="15">
        <v>19</v>
      </c>
      <c r="Q787" s="18">
        <v>62770</v>
      </c>
      <c r="R787" s="19">
        <v>8</v>
      </c>
      <c r="S787" s="14">
        <v>3.4</v>
      </c>
      <c r="T787" s="7">
        <v>87</v>
      </c>
      <c r="U787" s="15">
        <v>4</v>
      </c>
      <c r="V787" s="15">
        <v>29</v>
      </c>
      <c r="W787" s="15">
        <v>53</v>
      </c>
      <c r="X787" t="s">
        <v>61</v>
      </c>
      <c r="Y787" t="s">
        <v>78</v>
      </c>
      <c r="Z787" s="14">
        <v>2.6</v>
      </c>
      <c r="AA787" s="12">
        <f>YEAR(Table1[Hire_Date])</f>
        <v>2023</v>
      </c>
      <c r="AB78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788" spans="1:28" x14ac:dyDescent="0.25">
      <c r="A788" t="s">
        <v>3277</v>
      </c>
      <c r="B788" s="16" t="s">
        <v>3278</v>
      </c>
      <c r="C788" s="16" t="s">
        <v>3279</v>
      </c>
      <c r="D788" t="s">
        <v>44</v>
      </c>
      <c r="E788" s="15">
        <v>58</v>
      </c>
      <c r="F788" s="16" t="s">
        <v>103</v>
      </c>
      <c r="G788" s="16" t="s">
        <v>147</v>
      </c>
      <c r="H788" s="16" t="s">
        <v>66</v>
      </c>
      <c r="I788" s="16" t="s">
        <v>33</v>
      </c>
      <c r="J788" s="16" t="s">
        <v>34</v>
      </c>
      <c r="K788" s="17" t="s">
        <v>366</v>
      </c>
      <c r="L788" s="17" t="s">
        <v>2594</v>
      </c>
      <c r="M788" t="s">
        <v>76</v>
      </c>
      <c r="N788" t="s">
        <v>395</v>
      </c>
      <c r="O788" t="s">
        <v>52</v>
      </c>
      <c r="P788" s="15">
        <v>17</v>
      </c>
      <c r="Q788" s="18">
        <v>85802</v>
      </c>
      <c r="R788" s="19">
        <v>9</v>
      </c>
      <c r="S788" s="14">
        <v>4.8</v>
      </c>
      <c r="T788" s="7">
        <v>93</v>
      </c>
      <c r="U788" s="15">
        <v>15</v>
      </c>
      <c r="V788" s="15">
        <v>16</v>
      </c>
      <c r="W788" s="15">
        <v>2</v>
      </c>
      <c r="X788" t="s">
        <v>39</v>
      </c>
      <c r="Y788" t="s">
        <v>78</v>
      </c>
      <c r="Z788" s="14">
        <v>7.3</v>
      </c>
      <c r="AA788" s="12">
        <f>YEAR(Table1[Hire_Date])</f>
        <v>2019</v>
      </c>
      <c r="AB78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789" spans="1:28" x14ac:dyDescent="0.25">
      <c r="A789" t="s">
        <v>3280</v>
      </c>
      <c r="B789" s="16" t="s">
        <v>3281</v>
      </c>
      <c r="C789" s="16" t="s">
        <v>3282</v>
      </c>
      <c r="D789" t="s">
        <v>29</v>
      </c>
      <c r="E789" s="15">
        <v>24</v>
      </c>
      <c r="F789" s="16" t="s">
        <v>30</v>
      </c>
      <c r="G789" s="16" t="s">
        <v>31</v>
      </c>
      <c r="H789" s="16" t="s">
        <v>32</v>
      </c>
      <c r="I789" s="16" t="s">
        <v>57</v>
      </c>
      <c r="J789" s="16" t="s">
        <v>34</v>
      </c>
      <c r="K789" s="17" t="s">
        <v>1804</v>
      </c>
      <c r="M789" t="s">
        <v>36</v>
      </c>
      <c r="N789" t="s">
        <v>654</v>
      </c>
      <c r="O789" t="s">
        <v>38</v>
      </c>
      <c r="P789" s="15">
        <v>28</v>
      </c>
      <c r="Q789" s="18">
        <v>129998</v>
      </c>
      <c r="R789" s="19">
        <v>11</v>
      </c>
      <c r="S789" s="14">
        <v>3.9</v>
      </c>
      <c r="T789" s="7">
        <v>94</v>
      </c>
      <c r="U789" s="15">
        <v>3</v>
      </c>
      <c r="V789" s="15">
        <v>12</v>
      </c>
      <c r="W789" s="15">
        <v>27</v>
      </c>
      <c r="X789" t="s">
        <v>39</v>
      </c>
      <c r="Y789" t="s">
        <v>62</v>
      </c>
      <c r="Z789" s="14">
        <v>1.4</v>
      </c>
      <c r="AA789" s="12">
        <f>YEAR(Table1[Hire_Date])</f>
        <v>2025</v>
      </c>
      <c r="AB78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790" spans="1:28" x14ac:dyDescent="0.25">
      <c r="A790" t="s">
        <v>3283</v>
      </c>
      <c r="B790" s="16" t="s">
        <v>3284</v>
      </c>
      <c r="C790" s="16" t="s">
        <v>3285</v>
      </c>
      <c r="D790" t="s">
        <v>44</v>
      </c>
      <c r="E790" s="15">
        <v>26</v>
      </c>
      <c r="F790" s="16" t="s">
        <v>72</v>
      </c>
      <c r="G790" s="16" t="s">
        <v>135</v>
      </c>
      <c r="H790" s="16" t="s">
        <v>66</v>
      </c>
      <c r="I790" s="16" t="s">
        <v>33</v>
      </c>
      <c r="J790" s="16" t="s">
        <v>34</v>
      </c>
      <c r="K790" s="17" t="s">
        <v>3286</v>
      </c>
      <c r="M790" t="s">
        <v>36</v>
      </c>
      <c r="N790" t="s">
        <v>1297</v>
      </c>
      <c r="O790" t="s">
        <v>60</v>
      </c>
      <c r="P790" s="15">
        <v>18</v>
      </c>
      <c r="Q790" s="18">
        <v>81838</v>
      </c>
      <c r="R790" s="19">
        <v>22</v>
      </c>
      <c r="S790" s="14">
        <v>3</v>
      </c>
      <c r="T790" s="7">
        <v>55</v>
      </c>
      <c r="U790" s="15">
        <v>18</v>
      </c>
      <c r="V790" s="15">
        <v>32</v>
      </c>
      <c r="W790" s="15">
        <v>28</v>
      </c>
      <c r="X790" t="s">
        <v>39</v>
      </c>
      <c r="Y790" t="s">
        <v>62</v>
      </c>
      <c r="Z790" s="14">
        <v>6.7</v>
      </c>
      <c r="AA790" s="12">
        <f>YEAR(Table1[Hire_Date])</f>
        <v>2019</v>
      </c>
      <c r="AB79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791" spans="1:28" x14ac:dyDescent="0.25">
      <c r="A791" t="s">
        <v>3287</v>
      </c>
      <c r="B791" s="16" t="s">
        <v>3288</v>
      </c>
      <c r="C791" s="16" t="s">
        <v>3289</v>
      </c>
      <c r="D791" t="s">
        <v>44</v>
      </c>
      <c r="E791" s="15">
        <v>43</v>
      </c>
      <c r="F791" s="16" t="s">
        <v>72</v>
      </c>
      <c r="G791" s="16" t="s">
        <v>97</v>
      </c>
      <c r="H791" s="16" t="s">
        <v>56</v>
      </c>
      <c r="I791" s="16" t="s">
        <v>57</v>
      </c>
      <c r="J791" s="16" t="s">
        <v>34</v>
      </c>
      <c r="K791" s="17" t="s">
        <v>800</v>
      </c>
      <c r="M791" t="s">
        <v>36</v>
      </c>
      <c r="N791" t="s">
        <v>155</v>
      </c>
      <c r="O791" t="s">
        <v>60</v>
      </c>
      <c r="P791" s="15">
        <v>21</v>
      </c>
      <c r="Q791" s="18">
        <v>62567</v>
      </c>
      <c r="R791" s="19">
        <v>6</v>
      </c>
      <c r="S791" s="14">
        <v>5</v>
      </c>
      <c r="T791" s="7">
        <v>52</v>
      </c>
      <c r="U791" s="15">
        <v>3</v>
      </c>
      <c r="V791" s="15">
        <v>45</v>
      </c>
      <c r="W791" s="15">
        <v>58</v>
      </c>
      <c r="X791" t="s">
        <v>39</v>
      </c>
      <c r="Y791" t="s">
        <v>78</v>
      </c>
      <c r="Z791" s="14">
        <v>6.5</v>
      </c>
      <c r="AA791" s="12">
        <f>YEAR(Table1[Hire_Date])</f>
        <v>2020</v>
      </c>
      <c r="AB79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792" spans="1:28" x14ac:dyDescent="0.25">
      <c r="A792" t="s">
        <v>3290</v>
      </c>
      <c r="B792" s="16" t="s">
        <v>3291</v>
      </c>
      <c r="C792" s="16" t="s">
        <v>3292</v>
      </c>
      <c r="D792" t="s">
        <v>29</v>
      </c>
      <c r="E792" s="15">
        <v>42</v>
      </c>
      <c r="F792" s="16" t="s">
        <v>72</v>
      </c>
      <c r="G792" s="16" t="s">
        <v>97</v>
      </c>
      <c r="H792" s="16" t="s">
        <v>66</v>
      </c>
      <c r="I792" s="16" t="s">
        <v>57</v>
      </c>
      <c r="J792" s="16" t="s">
        <v>49</v>
      </c>
      <c r="K792" s="17" t="s">
        <v>3293</v>
      </c>
      <c r="M792" t="s">
        <v>36</v>
      </c>
      <c r="N792" t="s">
        <v>131</v>
      </c>
      <c r="O792" t="s">
        <v>52</v>
      </c>
      <c r="P792" s="15">
        <v>23</v>
      </c>
      <c r="Q792" s="18">
        <v>85294</v>
      </c>
      <c r="R792" s="19">
        <v>12</v>
      </c>
      <c r="S792" s="14">
        <v>2.6</v>
      </c>
      <c r="T792" s="7">
        <v>50</v>
      </c>
      <c r="U792" s="15">
        <v>11</v>
      </c>
      <c r="V792" s="15">
        <v>12</v>
      </c>
      <c r="W792" s="15">
        <v>80</v>
      </c>
      <c r="X792" t="s">
        <v>61</v>
      </c>
      <c r="Y792" t="s">
        <v>78</v>
      </c>
      <c r="Z792" s="14">
        <v>7.3</v>
      </c>
      <c r="AA792" s="12">
        <f>YEAR(Table1[Hire_Date])</f>
        <v>2019</v>
      </c>
      <c r="AB79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793" spans="1:28" x14ac:dyDescent="0.25">
      <c r="A793" t="s">
        <v>3294</v>
      </c>
      <c r="B793" s="16" t="s">
        <v>3295</v>
      </c>
      <c r="C793" s="16" t="s">
        <v>3296</v>
      </c>
      <c r="D793" t="s">
        <v>29</v>
      </c>
      <c r="E793" s="15">
        <v>21</v>
      </c>
      <c r="F793" s="16" t="s">
        <v>45</v>
      </c>
      <c r="G793" s="16" t="s">
        <v>82</v>
      </c>
      <c r="H793" s="16" t="s">
        <v>83</v>
      </c>
      <c r="I793" s="16" t="s">
        <v>57</v>
      </c>
      <c r="J793" s="16" t="s">
        <v>49</v>
      </c>
      <c r="K793" s="17" t="s">
        <v>3297</v>
      </c>
      <c r="M793" t="s">
        <v>36</v>
      </c>
      <c r="N793" t="s">
        <v>550</v>
      </c>
      <c r="O793" t="s">
        <v>60</v>
      </c>
      <c r="P793" s="15">
        <v>34</v>
      </c>
      <c r="Q793" s="18">
        <v>169851</v>
      </c>
      <c r="R793" s="19">
        <v>24</v>
      </c>
      <c r="S793" s="14">
        <v>4.4000000000000004</v>
      </c>
      <c r="T793" s="7">
        <v>98</v>
      </c>
      <c r="U793" s="15">
        <v>17</v>
      </c>
      <c r="V793" s="15">
        <v>39</v>
      </c>
      <c r="W793" s="15">
        <v>12</v>
      </c>
      <c r="X793" t="s">
        <v>61</v>
      </c>
      <c r="Y793" t="s">
        <v>62</v>
      </c>
      <c r="Z793" s="14">
        <v>7.1</v>
      </c>
      <c r="AA793" s="12">
        <f>YEAR(Table1[Hire_Date])</f>
        <v>2019</v>
      </c>
      <c r="AB79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794" spans="1:28" x14ac:dyDescent="0.25">
      <c r="A794" t="s">
        <v>3298</v>
      </c>
      <c r="B794" s="16" t="s">
        <v>3299</v>
      </c>
      <c r="C794" s="16" t="s">
        <v>3300</v>
      </c>
      <c r="D794" t="s">
        <v>44</v>
      </c>
      <c r="E794" s="15">
        <v>30</v>
      </c>
      <c r="F794" s="16" t="s">
        <v>45</v>
      </c>
      <c r="G794" s="16" t="s">
        <v>46</v>
      </c>
      <c r="H794" s="16" t="s">
        <v>83</v>
      </c>
      <c r="I794" s="16" t="s">
        <v>33</v>
      </c>
      <c r="J794" s="16" t="s">
        <v>34</v>
      </c>
      <c r="K794" s="17" t="s">
        <v>3301</v>
      </c>
      <c r="M794" t="s">
        <v>36</v>
      </c>
      <c r="N794" t="s">
        <v>333</v>
      </c>
      <c r="O794" t="s">
        <v>60</v>
      </c>
      <c r="P794" s="15">
        <v>31</v>
      </c>
      <c r="Q794" s="18">
        <v>144661</v>
      </c>
      <c r="R794" s="19">
        <v>15</v>
      </c>
      <c r="S794" s="14">
        <v>2.8</v>
      </c>
      <c r="T794" s="7">
        <v>50</v>
      </c>
      <c r="U794" s="15">
        <v>7</v>
      </c>
      <c r="V794" s="15">
        <v>50</v>
      </c>
      <c r="W794" s="15">
        <v>2</v>
      </c>
      <c r="X794" t="s">
        <v>39</v>
      </c>
      <c r="Y794" t="s">
        <v>40</v>
      </c>
      <c r="Z794" s="14">
        <v>2.7</v>
      </c>
      <c r="AA794" s="12">
        <f>YEAR(Table1[Hire_Date])</f>
        <v>2023</v>
      </c>
      <c r="AB79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795" spans="1:28" x14ac:dyDescent="0.25">
      <c r="A795" t="s">
        <v>3302</v>
      </c>
      <c r="B795" s="16" t="s">
        <v>3303</v>
      </c>
      <c r="C795" s="16" t="s">
        <v>3304</v>
      </c>
      <c r="D795" t="s">
        <v>29</v>
      </c>
      <c r="E795" s="15">
        <v>36</v>
      </c>
      <c r="F795" s="16" t="s">
        <v>30</v>
      </c>
      <c r="G795" s="16" t="s">
        <v>31</v>
      </c>
      <c r="H795" s="16" t="s">
        <v>32</v>
      </c>
      <c r="I795" s="16" t="s">
        <v>33</v>
      </c>
      <c r="J795" s="16" t="s">
        <v>49</v>
      </c>
      <c r="K795" s="17" t="s">
        <v>3305</v>
      </c>
      <c r="M795" t="s">
        <v>36</v>
      </c>
      <c r="N795" t="s">
        <v>248</v>
      </c>
      <c r="O795" t="s">
        <v>38</v>
      </c>
      <c r="P795" s="15">
        <v>9</v>
      </c>
      <c r="Q795" s="18">
        <v>65128</v>
      </c>
      <c r="R795" s="19">
        <v>25</v>
      </c>
      <c r="S795" s="14">
        <v>4.0999999999999996</v>
      </c>
      <c r="T795" s="7">
        <v>58</v>
      </c>
      <c r="U795" s="15">
        <v>7</v>
      </c>
      <c r="V795" s="15">
        <v>12</v>
      </c>
      <c r="W795" s="15">
        <v>45</v>
      </c>
      <c r="X795" t="s">
        <v>61</v>
      </c>
      <c r="Y795" t="s">
        <v>62</v>
      </c>
      <c r="Z795" s="14">
        <v>8.8000000000000007</v>
      </c>
      <c r="AA795" s="12">
        <f>YEAR(Table1[Hire_Date])</f>
        <v>2017</v>
      </c>
      <c r="AB79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796" spans="1:28" x14ac:dyDescent="0.25">
      <c r="A796" t="s">
        <v>3306</v>
      </c>
      <c r="B796" s="16" t="s">
        <v>3307</v>
      </c>
      <c r="C796" s="16" t="s">
        <v>3308</v>
      </c>
      <c r="D796" t="s">
        <v>44</v>
      </c>
      <c r="E796" s="15">
        <v>23</v>
      </c>
      <c r="F796" s="16" t="s">
        <v>72</v>
      </c>
      <c r="G796" s="16" t="s">
        <v>97</v>
      </c>
      <c r="H796" s="16" t="s">
        <v>56</v>
      </c>
      <c r="I796" s="16" t="s">
        <v>57</v>
      </c>
      <c r="J796" s="16" t="s">
        <v>34</v>
      </c>
      <c r="K796" s="17" t="s">
        <v>3309</v>
      </c>
      <c r="M796" t="s">
        <v>36</v>
      </c>
      <c r="N796" t="s">
        <v>858</v>
      </c>
      <c r="O796" t="s">
        <v>52</v>
      </c>
      <c r="P796" s="15">
        <v>1</v>
      </c>
      <c r="Q796" s="18">
        <v>116026</v>
      </c>
      <c r="R796" s="19">
        <v>8</v>
      </c>
      <c r="S796" s="14">
        <v>4.5999999999999996</v>
      </c>
      <c r="T796" s="7">
        <v>92</v>
      </c>
      <c r="U796" s="15">
        <v>16</v>
      </c>
      <c r="V796" s="15">
        <v>34</v>
      </c>
      <c r="W796" s="15">
        <v>48</v>
      </c>
      <c r="X796" t="s">
        <v>61</v>
      </c>
      <c r="Y796" t="s">
        <v>78</v>
      </c>
      <c r="Z796" s="14">
        <v>8.6</v>
      </c>
      <c r="AA796" s="12">
        <f>YEAR(Table1[Hire_Date])</f>
        <v>2017</v>
      </c>
      <c r="AB79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797" spans="1:28" x14ac:dyDescent="0.25">
      <c r="A797" t="s">
        <v>3310</v>
      </c>
      <c r="B797" s="16" t="s">
        <v>3311</v>
      </c>
      <c r="C797" s="16" t="s">
        <v>3312</v>
      </c>
      <c r="D797" t="s">
        <v>29</v>
      </c>
      <c r="E797" s="15">
        <v>40</v>
      </c>
      <c r="F797" s="16" t="s">
        <v>45</v>
      </c>
      <c r="G797" s="16" t="s">
        <v>82</v>
      </c>
      <c r="H797" s="16" t="s">
        <v>32</v>
      </c>
      <c r="I797" s="16" t="s">
        <v>48</v>
      </c>
      <c r="J797" s="16" t="s">
        <v>34</v>
      </c>
      <c r="K797" s="17" t="s">
        <v>3313</v>
      </c>
      <c r="M797" t="s">
        <v>36</v>
      </c>
      <c r="N797" t="s">
        <v>550</v>
      </c>
      <c r="O797" t="s">
        <v>52</v>
      </c>
      <c r="P797" s="15">
        <v>33</v>
      </c>
      <c r="Q797" s="18">
        <v>52850</v>
      </c>
      <c r="R797" s="19">
        <v>19</v>
      </c>
      <c r="S797" s="14">
        <v>3.9</v>
      </c>
      <c r="T797" s="7">
        <v>92</v>
      </c>
      <c r="U797" s="15">
        <v>16</v>
      </c>
      <c r="V797" s="15">
        <v>51</v>
      </c>
      <c r="W797" s="15">
        <v>20</v>
      </c>
      <c r="X797" t="s">
        <v>39</v>
      </c>
      <c r="Y797" t="s">
        <v>40</v>
      </c>
      <c r="Z797" s="14">
        <v>8.9</v>
      </c>
      <c r="AA797" s="12">
        <f>YEAR(Table1[Hire_Date])</f>
        <v>2017</v>
      </c>
      <c r="AB79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798" spans="1:28" x14ac:dyDescent="0.25">
      <c r="A798" t="s">
        <v>3314</v>
      </c>
      <c r="B798" s="16" t="s">
        <v>3315</v>
      </c>
      <c r="C798" s="16" t="s">
        <v>3316</v>
      </c>
      <c r="D798" t="s">
        <v>29</v>
      </c>
      <c r="E798" s="15">
        <v>22</v>
      </c>
      <c r="F798" s="16" t="s">
        <v>124</v>
      </c>
      <c r="G798" s="16" t="s">
        <v>13</v>
      </c>
      <c r="H798" s="16" t="s">
        <v>66</v>
      </c>
      <c r="I798" s="16" t="s">
        <v>57</v>
      </c>
      <c r="J798" s="16" t="s">
        <v>34</v>
      </c>
      <c r="K798" s="17" t="s">
        <v>2348</v>
      </c>
      <c r="M798" t="s">
        <v>36</v>
      </c>
      <c r="N798" t="s">
        <v>111</v>
      </c>
      <c r="O798" t="s">
        <v>38</v>
      </c>
      <c r="P798" s="15">
        <v>27</v>
      </c>
      <c r="Q798" s="18">
        <v>63425</v>
      </c>
      <c r="R798" s="19">
        <v>15</v>
      </c>
      <c r="S798" s="14">
        <v>2.9</v>
      </c>
      <c r="T798" s="7">
        <v>78</v>
      </c>
      <c r="U798" s="15">
        <v>16</v>
      </c>
      <c r="V798" s="15">
        <v>27</v>
      </c>
      <c r="W798" s="15">
        <v>27</v>
      </c>
      <c r="X798" t="s">
        <v>39</v>
      </c>
      <c r="Y798" t="s">
        <v>40</v>
      </c>
      <c r="Z798" s="14">
        <v>4.5999999999999996</v>
      </c>
      <c r="AA798" s="12">
        <f>YEAR(Table1[Hire_Date])</f>
        <v>2021</v>
      </c>
      <c r="AB79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799" spans="1:28" x14ac:dyDescent="0.25">
      <c r="A799" t="s">
        <v>3317</v>
      </c>
      <c r="B799" s="16" t="s">
        <v>3318</v>
      </c>
      <c r="C799" s="16" t="s">
        <v>3319</v>
      </c>
      <c r="D799" t="s">
        <v>44</v>
      </c>
      <c r="E799" s="15">
        <v>45</v>
      </c>
      <c r="F799" s="16" t="s">
        <v>72</v>
      </c>
      <c r="G799" s="16" t="s">
        <v>135</v>
      </c>
      <c r="H799" s="16" t="s">
        <v>83</v>
      </c>
      <c r="I799" s="16" t="s">
        <v>48</v>
      </c>
      <c r="J799" s="16" t="s">
        <v>49</v>
      </c>
      <c r="K799" s="17" t="s">
        <v>3320</v>
      </c>
      <c r="M799" t="s">
        <v>36</v>
      </c>
      <c r="N799" t="s">
        <v>505</v>
      </c>
      <c r="O799" t="s">
        <v>60</v>
      </c>
      <c r="P799" s="15">
        <v>8</v>
      </c>
      <c r="Q799" s="18">
        <v>52406</v>
      </c>
      <c r="R799" s="19">
        <v>8</v>
      </c>
      <c r="S799" s="14">
        <v>5</v>
      </c>
      <c r="T799" s="7">
        <v>92</v>
      </c>
      <c r="U799" s="15">
        <v>7</v>
      </c>
      <c r="V799" s="15">
        <v>50</v>
      </c>
      <c r="W799" s="15">
        <v>27</v>
      </c>
      <c r="X799" t="s">
        <v>61</v>
      </c>
      <c r="Y799" t="s">
        <v>40</v>
      </c>
      <c r="Z799" s="14">
        <v>6.7</v>
      </c>
      <c r="AA799" s="12">
        <f>YEAR(Table1[Hire_Date])</f>
        <v>2019</v>
      </c>
      <c r="AB79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800" spans="1:28" x14ac:dyDescent="0.25">
      <c r="A800" t="s">
        <v>3321</v>
      </c>
      <c r="B800" s="16" t="s">
        <v>3322</v>
      </c>
      <c r="C800" s="16" t="s">
        <v>3323</v>
      </c>
      <c r="D800" t="s">
        <v>44</v>
      </c>
      <c r="E800" s="15">
        <v>29</v>
      </c>
      <c r="F800" s="16" t="s">
        <v>124</v>
      </c>
      <c r="G800" s="16" t="s">
        <v>104</v>
      </c>
      <c r="H800" s="16" t="s">
        <v>83</v>
      </c>
      <c r="I800" s="16" t="s">
        <v>57</v>
      </c>
      <c r="J800" s="16" t="s">
        <v>34</v>
      </c>
      <c r="K800" s="17" t="s">
        <v>3324</v>
      </c>
      <c r="L800" s="17" t="s">
        <v>3093</v>
      </c>
      <c r="M800" t="s">
        <v>76</v>
      </c>
      <c r="N800" t="s">
        <v>469</v>
      </c>
      <c r="O800" t="s">
        <v>38</v>
      </c>
      <c r="P800" s="15">
        <v>20</v>
      </c>
      <c r="Q800" s="18">
        <v>157527</v>
      </c>
      <c r="R800" s="19">
        <v>7</v>
      </c>
      <c r="S800" s="14">
        <v>3.3</v>
      </c>
      <c r="T800" s="7">
        <v>90</v>
      </c>
      <c r="U800" s="15">
        <v>14</v>
      </c>
      <c r="V800" s="15">
        <v>18</v>
      </c>
      <c r="W800" s="15">
        <v>80</v>
      </c>
      <c r="X800" t="s">
        <v>39</v>
      </c>
      <c r="Y800" t="s">
        <v>40</v>
      </c>
      <c r="Z800" s="14">
        <v>6.2</v>
      </c>
      <c r="AA800" s="12">
        <f>YEAR(Table1[Hire_Date])</f>
        <v>2020</v>
      </c>
      <c r="AB80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801" spans="1:28" x14ac:dyDescent="0.25">
      <c r="A801" t="s">
        <v>3325</v>
      </c>
      <c r="B801" s="16" t="s">
        <v>3326</v>
      </c>
      <c r="C801" s="16" t="s">
        <v>3327</v>
      </c>
      <c r="D801" t="s">
        <v>29</v>
      </c>
      <c r="E801" s="15">
        <v>52</v>
      </c>
      <c r="F801" s="16" t="s">
        <v>124</v>
      </c>
      <c r="G801" s="16" t="s">
        <v>13</v>
      </c>
      <c r="H801" s="16" t="s">
        <v>83</v>
      </c>
      <c r="I801" s="16" t="s">
        <v>48</v>
      </c>
      <c r="J801" s="16" t="s">
        <v>49</v>
      </c>
      <c r="K801" s="17" t="s">
        <v>3328</v>
      </c>
      <c r="M801" t="s">
        <v>36</v>
      </c>
      <c r="N801" t="s">
        <v>1237</v>
      </c>
      <c r="O801" t="s">
        <v>60</v>
      </c>
      <c r="P801" s="15">
        <v>17</v>
      </c>
      <c r="Q801" s="18">
        <v>98085</v>
      </c>
      <c r="R801" s="19">
        <v>22</v>
      </c>
      <c r="S801" s="14">
        <v>3.2</v>
      </c>
      <c r="T801" s="7">
        <v>63</v>
      </c>
      <c r="U801" s="15">
        <v>20</v>
      </c>
      <c r="V801" s="15">
        <v>35</v>
      </c>
      <c r="W801" s="15">
        <v>28</v>
      </c>
      <c r="X801" t="s">
        <v>39</v>
      </c>
      <c r="Y801" t="s">
        <v>78</v>
      </c>
      <c r="Z801" s="14">
        <v>1.4</v>
      </c>
      <c r="AA801" s="12">
        <f>YEAR(Table1[Hire_Date])</f>
        <v>2025</v>
      </c>
      <c r="AB80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802" spans="1:28" x14ac:dyDescent="0.25">
      <c r="A802" t="s">
        <v>3329</v>
      </c>
      <c r="B802" s="16" t="s">
        <v>3330</v>
      </c>
      <c r="C802" s="16" t="s">
        <v>3331</v>
      </c>
      <c r="D802" t="s">
        <v>44</v>
      </c>
      <c r="E802" s="15">
        <v>55</v>
      </c>
      <c r="F802" s="16" t="s">
        <v>72</v>
      </c>
      <c r="G802" s="16" t="s">
        <v>73</v>
      </c>
      <c r="H802" s="16" t="s">
        <v>66</v>
      </c>
      <c r="I802" s="16" t="s">
        <v>57</v>
      </c>
      <c r="J802" s="16" t="s">
        <v>49</v>
      </c>
      <c r="K802" s="17" t="s">
        <v>3332</v>
      </c>
      <c r="M802" t="s">
        <v>36</v>
      </c>
      <c r="N802" t="s">
        <v>333</v>
      </c>
      <c r="O802" t="s">
        <v>38</v>
      </c>
      <c r="P802" s="15">
        <v>20</v>
      </c>
      <c r="Q802" s="18">
        <v>43074</v>
      </c>
      <c r="R802" s="19">
        <v>18</v>
      </c>
      <c r="S802" s="14">
        <v>3.8</v>
      </c>
      <c r="T802" s="7">
        <v>81</v>
      </c>
      <c r="U802" s="15">
        <v>9</v>
      </c>
      <c r="V802" s="15">
        <v>24</v>
      </c>
      <c r="W802" s="15">
        <v>42</v>
      </c>
      <c r="X802" t="s">
        <v>61</v>
      </c>
      <c r="Y802" t="s">
        <v>78</v>
      </c>
      <c r="Z802" s="14">
        <v>6.7</v>
      </c>
      <c r="AA802" s="12">
        <f>YEAR(Table1[Hire_Date])</f>
        <v>2019</v>
      </c>
      <c r="AB80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803" spans="1:28" x14ac:dyDescent="0.25">
      <c r="A803" t="s">
        <v>3333</v>
      </c>
      <c r="B803" s="16" t="s">
        <v>3334</v>
      </c>
      <c r="C803" s="16" t="s">
        <v>3335</v>
      </c>
      <c r="D803" t="s">
        <v>29</v>
      </c>
      <c r="E803" s="15">
        <v>39</v>
      </c>
      <c r="F803" s="16" t="s">
        <v>72</v>
      </c>
      <c r="G803" s="16" t="s">
        <v>135</v>
      </c>
      <c r="H803" s="16" t="s">
        <v>66</v>
      </c>
      <c r="I803" s="16" t="s">
        <v>57</v>
      </c>
      <c r="J803" s="16" t="s">
        <v>34</v>
      </c>
      <c r="K803" s="17" t="s">
        <v>3336</v>
      </c>
      <c r="M803" t="s">
        <v>36</v>
      </c>
      <c r="N803" t="s">
        <v>314</v>
      </c>
      <c r="O803" t="s">
        <v>52</v>
      </c>
      <c r="P803" s="15">
        <v>35</v>
      </c>
      <c r="Q803" s="18">
        <v>109223</v>
      </c>
      <c r="R803" s="19">
        <v>12</v>
      </c>
      <c r="S803" s="14">
        <v>5</v>
      </c>
      <c r="T803" s="7">
        <v>93</v>
      </c>
      <c r="U803" s="15">
        <v>13</v>
      </c>
      <c r="V803" s="15">
        <v>3</v>
      </c>
      <c r="W803" s="15">
        <v>77</v>
      </c>
      <c r="X803" t="s">
        <v>61</v>
      </c>
      <c r="Y803" t="s">
        <v>40</v>
      </c>
      <c r="Z803" s="14">
        <v>10.3</v>
      </c>
      <c r="AA803" s="12">
        <f>YEAR(Table1[Hire_Date])</f>
        <v>2016</v>
      </c>
      <c r="AB80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804" spans="1:28" x14ac:dyDescent="0.25">
      <c r="A804" t="s">
        <v>3337</v>
      </c>
      <c r="B804" s="16" t="s">
        <v>3338</v>
      </c>
      <c r="C804" s="16" t="s">
        <v>3339</v>
      </c>
      <c r="D804" t="s">
        <v>29</v>
      </c>
      <c r="E804" s="15">
        <v>33</v>
      </c>
      <c r="F804" s="16" t="s">
        <v>90</v>
      </c>
      <c r="G804" s="16" t="s">
        <v>13</v>
      </c>
      <c r="H804" s="16" t="s">
        <v>56</v>
      </c>
      <c r="I804" s="16" t="s">
        <v>57</v>
      </c>
      <c r="J804" s="16" t="s">
        <v>49</v>
      </c>
      <c r="K804" s="17" t="s">
        <v>3340</v>
      </c>
      <c r="M804" t="s">
        <v>36</v>
      </c>
      <c r="N804" t="s">
        <v>2294</v>
      </c>
      <c r="O804" t="s">
        <v>38</v>
      </c>
      <c r="P804" s="15">
        <v>31</v>
      </c>
      <c r="Q804" s="18">
        <v>54394</v>
      </c>
      <c r="R804" s="19">
        <v>19</v>
      </c>
      <c r="S804" s="14">
        <v>2.9</v>
      </c>
      <c r="T804" s="7">
        <v>60</v>
      </c>
      <c r="U804" s="15">
        <v>5</v>
      </c>
      <c r="V804" s="15">
        <v>46</v>
      </c>
      <c r="W804" s="15">
        <v>66</v>
      </c>
      <c r="X804" t="s">
        <v>39</v>
      </c>
      <c r="Y804" t="s">
        <v>62</v>
      </c>
      <c r="Z804" s="14">
        <v>5.6</v>
      </c>
      <c r="AA804" s="12">
        <f>YEAR(Table1[Hire_Date])</f>
        <v>2020</v>
      </c>
      <c r="AB80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805" spans="1:28" x14ac:dyDescent="0.25">
      <c r="A805" t="s">
        <v>3341</v>
      </c>
      <c r="B805" s="16" t="s">
        <v>3342</v>
      </c>
      <c r="C805" s="16" t="s">
        <v>3343</v>
      </c>
      <c r="D805" t="s">
        <v>44</v>
      </c>
      <c r="E805" s="15">
        <v>30</v>
      </c>
      <c r="F805" s="16" t="s">
        <v>30</v>
      </c>
      <c r="G805" s="16" t="s">
        <v>31</v>
      </c>
      <c r="H805" s="16" t="s">
        <v>32</v>
      </c>
      <c r="I805" s="16" t="s">
        <v>48</v>
      </c>
      <c r="J805" s="16" t="s">
        <v>49</v>
      </c>
      <c r="K805" s="17" t="s">
        <v>3344</v>
      </c>
      <c r="M805" t="s">
        <v>36</v>
      </c>
      <c r="N805" t="s">
        <v>204</v>
      </c>
      <c r="O805" t="s">
        <v>60</v>
      </c>
      <c r="P805" s="15">
        <v>23</v>
      </c>
      <c r="Q805" s="18">
        <v>78717</v>
      </c>
      <c r="R805" s="19">
        <v>25</v>
      </c>
      <c r="S805" s="14">
        <v>4.2</v>
      </c>
      <c r="T805" s="7">
        <v>79</v>
      </c>
      <c r="U805" s="15">
        <v>3</v>
      </c>
      <c r="V805" s="15">
        <v>18</v>
      </c>
      <c r="W805" s="15">
        <v>39</v>
      </c>
      <c r="X805" t="s">
        <v>61</v>
      </c>
      <c r="Y805" t="s">
        <v>40</v>
      </c>
      <c r="Z805" s="14">
        <v>2.2999999999999998</v>
      </c>
      <c r="AA805" s="12">
        <f>YEAR(Table1[Hire_Date])</f>
        <v>2024</v>
      </c>
      <c r="AB80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806" spans="1:28" x14ac:dyDescent="0.25">
      <c r="A806" t="s">
        <v>3345</v>
      </c>
      <c r="B806" s="16" t="s">
        <v>3346</v>
      </c>
      <c r="C806" s="16" t="s">
        <v>3347</v>
      </c>
      <c r="D806" t="s">
        <v>29</v>
      </c>
      <c r="E806" s="15">
        <v>33</v>
      </c>
      <c r="F806" s="16" t="s">
        <v>90</v>
      </c>
      <c r="G806" s="16" t="s">
        <v>281</v>
      </c>
      <c r="H806" s="16" t="s">
        <v>47</v>
      </c>
      <c r="I806" s="16" t="s">
        <v>57</v>
      </c>
      <c r="J806" s="16" t="s">
        <v>34</v>
      </c>
      <c r="K806" s="17" t="s">
        <v>2838</v>
      </c>
      <c r="M806" t="s">
        <v>36</v>
      </c>
      <c r="N806" t="s">
        <v>491</v>
      </c>
      <c r="O806" t="s">
        <v>60</v>
      </c>
      <c r="P806" s="15">
        <v>19</v>
      </c>
      <c r="Q806" s="18">
        <v>131422</v>
      </c>
      <c r="R806" s="19">
        <v>12</v>
      </c>
      <c r="S806" s="14">
        <v>4.5999999999999996</v>
      </c>
      <c r="T806" s="7">
        <v>57</v>
      </c>
      <c r="U806" s="15">
        <v>17</v>
      </c>
      <c r="V806" s="15">
        <v>3</v>
      </c>
      <c r="W806" s="15">
        <v>40</v>
      </c>
      <c r="X806" t="s">
        <v>39</v>
      </c>
      <c r="Y806" t="s">
        <v>40</v>
      </c>
      <c r="Z806" s="14">
        <v>6.6</v>
      </c>
      <c r="AA806" s="12">
        <f>YEAR(Table1[Hire_Date])</f>
        <v>2019</v>
      </c>
      <c r="AB80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807" spans="1:28" x14ac:dyDescent="0.25">
      <c r="A807" t="s">
        <v>3348</v>
      </c>
      <c r="B807" s="16" t="s">
        <v>3349</v>
      </c>
      <c r="C807" s="16" t="s">
        <v>3350</v>
      </c>
      <c r="D807" t="s">
        <v>29</v>
      </c>
      <c r="E807" s="15">
        <v>34</v>
      </c>
      <c r="F807" s="16" t="s">
        <v>30</v>
      </c>
      <c r="G807" s="16" t="s">
        <v>31</v>
      </c>
      <c r="H807" s="16" t="s">
        <v>66</v>
      </c>
      <c r="I807" s="16" t="s">
        <v>57</v>
      </c>
      <c r="J807" s="16" t="s">
        <v>34</v>
      </c>
      <c r="K807" s="17" t="s">
        <v>3351</v>
      </c>
      <c r="M807" t="s">
        <v>36</v>
      </c>
      <c r="N807" t="s">
        <v>659</v>
      </c>
      <c r="O807" t="s">
        <v>52</v>
      </c>
      <c r="P807" s="15">
        <v>28</v>
      </c>
      <c r="Q807" s="18">
        <v>138239</v>
      </c>
      <c r="R807" s="19">
        <v>21</v>
      </c>
      <c r="S807" s="14">
        <v>3.7</v>
      </c>
      <c r="T807" s="7">
        <v>95</v>
      </c>
      <c r="U807" s="15">
        <v>16</v>
      </c>
      <c r="V807" s="15">
        <v>24</v>
      </c>
      <c r="W807" s="15">
        <v>55</v>
      </c>
      <c r="X807" t="s">
        <v>39</v>
      </c>
      <c r="Y807" t="s">
        <v>40</v>
      </c>
      <c r="Z807" s="14">
        <v>1.5</v>
      </c>
      <c r="AA807" s="12">
        <f>YEAR(Table1[Hire_Date])</f>
        <v>2025</v>
      </c>
      <c r="AB80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808" spans="1:28" x14ac:dyDescent="0.25">
      <c r="A808" t="s">
        <v>3352</v>
      </c>
      <c r="B808" s="16" t="s">
        <v>3353</v>
      </c>
      <c r="C808" s="16" t="s">
        <v>3354</v>
      </c>
      <c r="D808" t="s">
        <v>44</v>
      </c>
      <c r="E808" s="15">
        <v>38</v>
      </c>
      <c r="F808" s="16" t="s">
        <v>90</v>
      </c>
      <c r="G808" s="16" t="s">
        <v>13</v>
      </c>
      <c r="H808" s="16" t="s">
        <v>47</v>
      </c>
      <c r="I808" s="16" t="s">
        <v>33</v>
      </c>
      <c r="J808" s="16" t="s">
        <v>49</v>
      </c>
      <c r="K808" s="17" t="s">
        <v>3355</v>
      </c>
      <c r="M808" t="s">
        <v>36</v>
      </c>
      <c r="N808" t="s">
        <v>277</v>
      </c>
      <c r="O808" t="s">
        <v>60</v>
      </c>
      <c r="P808" s="15">
        <v>22</v>
      </c>
      <c r="Q808" s="18">
        <v>139578</v>
      </c>
      <c r="R808" s="19">
        <v>17</v>
      </c>
      <c r="S808" s="14">
        <v>4.9000000000000004</v>
      </c>
      <c r="T808" s="7">
        <v>62</v>
      </c>
      <c r="U808" s="15">
        <v>11</v>
      </c>
      <c r="V808" s="15">
        <v>24</v>
      </c>
      <c r="W808" s="15">
        <v>57</v>
      </c>
      <c r="X808" t="s">
        <v>61</v>
      </c>
      <c r="Y808" t="s">
        <v>78</v>
      </c>
      <c r="Z808" s="14">
        <v>7.5</v>
      </c>
      <c r="AA808" s="12">
        <f>YEAR(Table1[Hire_Date])</f>
        <v>2019</v>
      </c>
      <c r="AB80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809" spans="1:28" x14ac:dyDescent="0.25">
      <c r="A809" t="s">
        <v>3356</v>
      </c>
      <c r="B809" s="16" t="s">
        <v>3357</v>
      </c>
      <c r="C809" s="16" t="s">
        <v>3358</v>
      </c>
      <c r="D809" t="s">
        <v>29</v>
      </c>
      <c r="E809" s="15">
        <v>60</v>
      </c>
      <c r="F809" s="16" t="s">
        <v>90</v>
      </c>
      <c r="G809" s="16" t="s">
        <v>281</v>
      </c>
      <c r="H809" s="16" t="s">
        <v>83</v>
      </c>
      <c r="I809" s="16" t="s">
        <v>33</v>
      </c>
      <c r="J809" s="16" t="s">
        <v>34</v>
      </c>
      <c r="K809" s="17" t="s">
        <v>3359</v>
      </c>
      <c r="M809" t="s">
        <v>36</v>
      </c>
      <c r="N809" t="s">
        <v>505</v>
      </c>
      <c r="O809" t="s">
        <v>60</v>
      </c>
      <c r="P809" s="15">
        <v>18</v>
      </c>
      <c r="Q809" s="18">
        <v>65669</v>
      </c>
      <c r="R809" s="19">
        <v>25</v>
      </c>
      <c r="S809" s="14">
        <v>4</v>
      </c>
      <c r="T809" s="7">
        <v>57</v>
      </c>
      <c r="U809" s="15">
        <v>20</v>
      </c>
      <c r="V809" s="15">
        <v>46</v>
      </c>
      <c r="W809" s="15">
        <v>36</v>
      </c>
      <c r="X809" t="s">
        <v>61</v>
      </c>
      <c r="Y809" t="s">
        <v>78</v>
      </c>
      <c r="Z809" s="14">
        <v>4.5999999999999996</v>
      </c>
      <c r="AA809" s="12">
        <f>YEAR(Table1[Hire_Date])</f>
        <v>2021</v>
      </c>
      <c r="AB80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810" spans="1:28" x14ac:dyDescent="0.25">
      <c r="A810" t="s">
        <v>3360</v>
      </c>
      <c r="B810" s="16" t="s">
        <v>3361</v>
      </c>
      <c r="C810" s="16" t="s">
        <v>3362</v>
      </c>
      <c r="D810" t="s">
        <v>44</v>
      </c>
      <c r="E810" s="15">
        <v>59</v>
      </c>
      <c r="F810" s="16" t="s">
        <v>30</v>
      </c>
      <c r="G810" s="16" t="s">
        <v>13</v>
      </c>
      <c r="H810" s="16" t="s">
        <v>32</v>
      </c>
      <c r="I810" s="16" t="s">
        <v>57</v>
      </c>
      <c r="J810" s="16" t="s">
        <v>49</v>
      </c>
      <c r="K810" s="17" t="s">
        <v>3363</v>
      </c>
      <c r="M810" t="s">
        <v>36</v>
      </c>
      <c r="N810" t="s">
        <v>1694</v>
      </c>
      <c r="O810" t="s">
        <v>60</v>
      </c>
      <c r="P810" s="15">
        <v>14</v>
      </c>
      <c r="Q810" s="18">
        <v>108206</v>
      </c>
      <c r="R810" s="19">
        <v>12</v>
      </c>
      <c r="S810" s="14">
        <v>3.3</v>
      </c>
      <c r="T810" s="7">
        <v>60</v>
      </c>
      <c r="U810" s="15">
        <v>20</v>
      </c>
      <c r="V810" s="15">
        <v>17</v>
      </c>
      <c r="W810" s="15">
        <v>45</v>
      </c>
      <c r="X810" t="s">
        <v>39</v>
      </c>
      <c r="Y810" t="s">
        <v>78</v>
      </c>
      <c r="Z810" s="14">
        <v>6.5</v>
      </c>
      <c r="AA810" s="12">
        <f>YEAR(Table1[Hire_Date])</f>
        <v>2020</v>
      </c>
      <c r="AB81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811" spans="1:28" x14ac:dyDescent="0.25">
      <c r="A811" t="s">
        <v>3364</v>
      </c>
      <c r="B811" s="16" t="s">
        <v>3365</v>
      </c>
      <c r="C811" s="16" t="s">
        <v>3366</v>
      </c>
      <c r="D811" t="s">
        <v>29</v>
      </c>
      <c r="E811" s="15">
        <v>37</v>
      </c>
      <c r="F811" s="16" t="s">
        <v>90</v>
      </c>
      <c r="G811" s="16" t="s">
        <v>13</v>
      </c>
      <c r="H811" s="16" t="s">
        <v>56</v>
      </c>
      <c r="I811" s="16" t="s">
        <v>33</v>
      </c>
      <c r="J811" s="16" t="s">
        <v>49</v>
      </c>
      <c r="K811" s="17" t="s">
        <v>3367</v>
      </c>
      <c r="M811" t="s">
        <v>36</v>
      </c>
      <c r="N811" t="s">
        <v>367</v>
      </c>
      <c r="O811" t="s">
        <v>52</v>
      </c>
      <c r="P811" s="15">
        <v>19</v>
      </c>
      <c r="Q811" s="18">
        <v>157762</v>
      </c>
      <c r="R811" s="19">
        <v>10</v>
      </c>
      <c r="S811" s="14">
        <v>2.7</v>
      </c>
      <c r="T811" s="7">
        <v>61</v>
      </c>
      <c r="U811" s="15">
        <v>1</v>
      </c>
      <c r="V811" s="15">
        <v>53</v>
      </c>
      <c r="W811" s="15">
        <v>31</v>
      </c>
      <c r="X811" t="s">
        <v>61</v>
      </c>
      <c r="Y811" t="s">
        <v>78</v>
      </c>
      <c r="Z811" s="14">
        <v>1.4</v>
      </c>
      <c r="AA811" s="12">
        <f>YEAR(Table1[Hire_Date])</f>
        <v>2025</v>
      </c>
      <c r="AB81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812" spans="1:28" x14ac:dyDescent="0.25">
      <c r="A812" t="s">
        <v>3368</v>
      </c>
      <c r="B812" s="16" t="s">
        <v>3369</v>
      </c>
      <c r="C812" s="16" t="s">
        <v>3370</v>
      </c>
      <c r="D812" t="s">
        <v>44</v>
      </c>
      <c r="E812" s="15">
        <v>34</v>
      </c>
      <c r="F812" s="16" t="s">
        <v>72</v>
      </c>
      <c r="G812" s="16" t="s">
        <v>73</v>
      </c>
      <c r="H812" s="16" t="s">
        <v>83</v>
      </c>
      <c r="I812" s="16" t="s">
        <v>48</v>
      </c>
      <c r="J812" s="16" t="s">
        <v>49</v>
      </c>
      <c r="K812" s="17" t="s">
        <v>3371</v>
      </c>
      <c r="M812" t="s">
        <v>36</v>
      </c>
      <c r="N812" t="s">
        <v>149</v>
      </c>
      <c r="O812" t="s">
        <v>52</v>
      </c>
      <c r="P812" s="15">
        <v>29</v>
      </c>
      <c r="Q812" s="18">
        <v>158698</v>
      </c>
      <c r="R812" s="19">
        <v>5</v>
      </c>
      <c r="S812" s="14">
        <v>3.6</v>
      </c>
      <c r="T812" s="7">
        <v>90</v>
      </c>
      <c r="U812" s="15">
        <v>4</v>
      </c>
      <c r="V812" s="15">
        <v>17</v>
      </c>
      <c r="W812" s="15">
        <v>46</v>
      </c>
      <c r="X812" t="s">
        <v>39</v>
      </c>
      <c r="Y812" t="s">
        <v>40</v>
      </c>
      <c r="Z812" s="14">
        <v>4.9000000000000004</v>
      </c>
      <c r="AA812" s="12">
        <f>YEAR(Table1[Hire_Date])</f>
        <v>2021</v>
      </c>
      <c r="AB81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813" spans="1:28" x14ac:dyDescent="0.25">
      <c r="A813" t="s">
        <v>3372</v>
      </c>
      <c r="B813" s="16" t="s">
        <v>3373</v>
      </c>
      <c r="C813" s="16" t="s">
        <v>3374</v>
      </c>
      <c r="D813" t="s">
        <v>29</v>
      </c>
      <c r="E813" s="15">
        <v>31</v>
      </c>
      <c r="F813" s="16" t="s">
        <v>90</v>
      </c>
      <c r="G813" s="16" t="s">
        <v>13</v>
      </c>
      <c r="H813" s="16" t="s">
        <v>66</v>
      </c>
      <c r="I813" s="16" t="s">
        <v>48</v>
      </c>
      <c r="J813" s="16" t="s">
        <v>34</v>
      </c>
      <c r="K813" s="17" t="s">
        <v>3375</v>
      </c>
      <c r="L813" s="17" t="s">
        <v>3376</v>
      </c>
      <c r="M813" t="s">
        <v>76</v>
      </c>
      <c r="N813" t="s">
        <v>1297</v>
      </c>
      <c r="O813" t="s">
        <v>38</v>
      </c>
      <c r="P813" s="15">
        <v>29</v>
      </c>
      <c r="Q813" s="18">
        <v>114812</v>
      </c>
      <c r="R813" s="19">
        <v>13</v>
      </c>
      <c r="S813" s="14">
        <v>3.8</v>
      </c>
      <c r="T813" s="7">
        <v>79</v>
      </c>
      <c r="U813" s="15">
        <v>0</v>
      </c>
      <c r="V813" s="15">
        <v>44</v>
      </c>
      <c r="W813" s="15">
        <v>28</v>
      </c>
      <c r="X813" t="s">
        <v>39</v>
      </c>
      <c r="Y813" t="s">
        <v>40</v>
      </c>
      <c r="Z813" s="14">
        <v>4.5</v>
      </c>
      <c r="AA813" s="12">
        <f>YEAR(Table1[Hire_Date])</f>
        <v>2022</v>
      </c>
      <c r="AB81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814" spans="1:28" x14ac:dyDescent="0.25">
      <c r="A814" t="s">
        <v>3377</v>
      </c>
      <c r="B814" s="16" t="s">
        <v>3378</v>
      </c>
      <c r="C814" s="16" t="s">
        <v>3379</v>
      </c>
      <c r="D814" t="s">
        <v>29</v>
      </c>
      <c r="E814" s="15">
        <v>51</v>
      </c>
      <c r="F814" s="16" t="s">
        <v>30</v>
      </c>
      <c r="G814" s="16" t="s">
        <v>31</v>
      </c>
      <c r="H814" s="16" t="s">
        <v>32</v>
      </c>
      <c r="I814" s="16" t="s">
        <v>33</v>
      </c>
      <c r="J814" s="16" t="s">
        <v>49</v>
      </c>
      <c r="K814" s="17" t="s">
        <v>3380</v>
      </c>
      <c r="M814" t="s">
        <v>36</v>
      </c>
      <c r="N814" t="s">
        <v>419</v>
      </c>
      <c r="O814" t="s">
        <v>52</v>
      </c>
      <c r="P814" s="15">
        <v>6</v>
      </c>
      <c r="Q814" s="18">
        <v>52087</v>
      </c>
      <c r="R814" s="19">
        <v>8</v>
      </c>
      <c r="S814" s="14">
        <v>4.5</v>
      </c>
      <c r="T814" s="7">
        <v>95</v>
      </c>
      <c r="U814" s="15">
        <v>20</v>
      </c>
      <c r="V814" s="15">
        <v>49</v>
      </c>
      <c r="W814" s="15">
        <v>68</v>
      </c>
      <c r="X814" t="s">
        <v>39</v>
      </c>
      <c r="Y814" t="s">
        <v>78</v>
      </c>
      <c r="Z814" s="14">
        <v>8</v>
      </c>
      <c r="AA814" s="12">
        <f>YEAR(Table1[Hire_Date])</f>
        <v>2018</v>
      </c>
      <c r="AB81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815" spans="1:28" x14ac:dyDescent="0.25">
      <c r="A815" t="s">
        <v>3381</v>
      </c>
      <c r="B815" s="16" t="s">
        <v>3382</v>
      </c>
      <c r="C815" s="16" t="s">
        <v>3383</v>
      </c>
      <c r="D815" t="s">
        <v>44</v>
      </c>
      <c r="E815" s="15">
        <v>53</v>
      </c>
      <c r="F815" s="16" t="s">
        <v>90</v>
      </c>
      <c r="G815" s="16" t="s">
        <v>281</v>
      </c>
      <c r="H815" s="16" t="s">
        <v>83</v>
      </c>
      <c r="I815" s="16" t="s">
        <v>48</v>
      </c>
      <c r="J815" s="16" t="s">
        <v>34</v>
      </c>
      <c r="K815" s="17" t="s">
        <v>2328</v>
      </c>
      <c r="M815" t="s">
        <v>36</v>
      </c>
      <c r="N815" t="s">
        <v>358</v>
      </c>
      <c r="O815" t="s">
        <v>52</v>
      </c>
      <c r="P815" s="15">
        <v>3</v>
      </c>
      <c r="Q815" s="18">
        <v>58217</v>
      </c>
      <c r="R815" s="19">
        <v>20</v>
      </c>
      <c r="S815" s="14">
        <v>4.9000000000000004</v>
      </c>
      <c r="T815" s="7">
        <v>72</v>
      </c>
      <c r="U815" s="15">
        <v>6</v>
      </c>
      <c r="V815" s="15">
        <v>4</v>
      </c>
      <c r="W815" s="15">
        <v>32</v>
      </c>
      <c r="X815" t="s">
        <v>39</v>
      </c>
      <c r="Y815" t="s">
        <v>40</v>
      </c>
      <c r="Z815" s="14">
        <v>3</v>
      </c>
      <c r="AA815" s="12">
        <f>YEAR(Table1[Hire_Date])</f>
        <v>2023</v>
      </c>
      <c r="AB81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816" spans="1:28" x14ac:dyDescent="0.25">
      <c r="A816" t="s">
        <v>3384</v>
      </c>
      <c r="B816" s="16" t="s">
        <v>3385</v>
      </c>
      <c r="C816" s="16" t="s">
        <v>3386</v>
      </c>
      <c r="D816" t="s">
        <v>29</v>
      </c>
      <c r="E816" s="15">
        <v>54</v>
      </c>
      <c r="F816" s="16" t="s">
        <v>103</v>
      </c>
      <c r="G816" s="16" t="s">
        <v>147</v>
      </c>
      <c r="H816" s="16" t="s">
        <v>83</v>
      </c>
      <c r="I816" s="16" t="s">
        <v>57</v>
      </c>
      <c r="J816" s="16" t="s">
        <v>49</v>
      </c>
      <c r="K816" s="17" t="s">
        <v>3387</v>
      </c>
      <c r="M816" t="s">
        <v>36</v>
      </c>
      <c r="N816" t="s">
        <v>149</v>
      </c>
      <c r="O816" t="s">
        <v>38</v>
      </c>
      <c r="P816" s="15">
        <v>25</v>
      </c>
      <c r="Q816" s="18">
        <v>67076</v>
      </c>
      <c r="R816" s="19">
        <v>23</v>
      </c>
      <c r="S816" s="14">
        <v>3.7</v>
      </c>
      <c r="T816" s="7">
        <v>81</v>
      </c>
      <c r="U816" s="15">
        <v>19</v>
      </c>
      <c r="V816" s="15">
        <v>46</v>
      </c>
      <c r="W816" s="15">
        <v>20</v>
      </c>
      <c r="X816" t="s">
        <v>61</v>
      </c>
      <c r="Y816" t="s">
        <v>40</v>
      </c>
      <c r="Z816" s="14">
        <v>2.7</v>
      </c>
      <c r="AA816" s="12">
        <f>YEAR(Table1[Hire_Date])</f>
        <v>2023</v>
      </c>
      <c r="AB81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817" spans="1:28" x14ac:dyDescent="0.25">
      <c r="A817" t="s">
        <v>3388</v>
      </c>
      <c r="B817" s="16" t="s">
        <v>3389</v>
      </c>
      <c r="C817" s="16" t="s">
        <v>3390</v>
      </c>
      <c r="D817" t="s">
        <v>44</v>
      </c>
      <c r="E817" s="15">
        <v>60</v>
      </c>
      <c r="F817" s="16" t="s">
        <v>30</v>
      </c>
      <c r="G817" s="16" t="s">
        <v>13</v>
      </c>
      <c r="H817" s="16" t="s">
        <v>47</v>
      </c>
      <c r="I817" s="16" t="s">
        <v>33</v>
      </c>
      <c r="J817" s="16" t="s">
        <v>49</v>
      </c>
      <c r="K817" s="17" t="s">
        <v>3391</v>
      </c>
      <c r="M817" t="s">
        <v>36</v>
      </c>
      <c r="N817" t="s">
        <v>367</v>
      </c>
      <c r="O817" t="s">
        <v>38</v>
      </c>
      <c r="P817" s="15">
        <v>17</v>
      </c>
      <c r="Q817" s="18">
        <v>175955</v>
      </c>
      <c r="R817" s="19">
        <v>7</v>
      </c>
      <c r="S817" s="14">
        <v>3</v>
      </c>
      <c r="T817" s="7">
        <v>95</v>
      </c>
      <c r="U817" s="15">
        <v>10</v>
      </c>
      <c r="V817" s="15">
        <v>14</v>
      </c>
      <c r="W817" s="15">
        <v>35</v>
      </c>
      <c r="X817" t="s">
        <v>61</v>
      </c>
      <c r="Y817" t="s">
        <v>78</v>
      </c>
      <c r="Z817" s="14">
        <v>3.2</v>
      </c>
      <c r="AA817" s="12">
        <f>YEAR(Table1[Hire_Date])</f>
        <v>2023</v>
      </c>
      <c r="AB81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818" spans="1:28" x14ac:dyDescent="0.25">
      <c r="A818" t="s">
        <v>3392</v>
      </c>
      <c r="B818" s="16" t="s">
        <v>3393</v>
      </c>
      <c r="C818" s="16" t="s">
        <v>3394</v>
      </c>
      <c r="D818" t="s">
        <v>44</v>
      </c>
      <c r="E818" s="15">
        <v>25</v>
      </c>
      <c r="F818" s="16" t="s">
        <v>45</v>
      </c>
      <c r="G818" s="16" t="s">
        <v>82</v>
      </c>
      <c r="H818" s="16" t="s">
        <v>56</v>
      </c>
      <c r="I818" s="16" t="s">
        <v>33</v>
      </c>
      <c r="J818" s="16" t="s">
        <v>34</v>
      </c>
      <c r="K818" s="17" t="s">
        <v>3395</v>
      </c>
      <c r="M818" t="s">
        <v>36</v>
      </c>
      <c r="N818" t="s">
        <v>1791</v>
      </c>
      <c r="O818" t="s">
        <v>38</v>
      </c>
      <c r="P818" s="15">
        <v>14</v>
      </c>
      <c r="Q818" s="18">
        <v>94693</v>
      </c>
      <c r="R818" s="19">
        <v>13</v>
      </c>
      <c r="S818" s="14">
        <v>2.6</v>
      </c>
      <c r="T818" s="7">
        <v>55</v>
      </c>
      <c r="U818" s="15">
        <v>5</v>
      </c>
      <c r="V818" s="15">
        <v>36</v>
      </c>
      <c r="W818" s="15">
        <v>42</v>
      </c>
      <c r="X818" t="s">
        <v>39</v>
      </c>
      <c r="Y818" t="s">
        <v>40</v>
      </c>
      <c r="Z818" s="14">
        <v>1.7</v>
      </c>
      <c r="AA818" s="12">
        <f>YEAR(Table1[Hire_Date])</f>
        <v>2024</v>
      </c>
      <c r="AB81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819" spans="1:28" x14ac:dyDescent="0.25">
      <c r="A819" t="s">
        <v>3396</v>
      </c>
      <c r="B819" s="16" t="s">
        <v>3397</v>
      </c>
      <c r="C819" s="16" t="s">
        <v>3398</v>
      </c>
      <c r="D819" t="s">
        <v>29</v>
      </c>
      <c r="E819" s="15">
        <v>37</v>
      </c>
      <c r="F819" s="16" t="s">
        <v>72</v>
      </c>
      <c r="G819" s="16" t="s">
        <v>73</v>
      </c>
      <c r="H819" s="16" t="s">
        <v>66</v>
      </c>
      <c r="I819" s="16" t="s">
        <v>33</v>
      </c>
      <c r="J819" s="16" t="s">
        <v>49</v>
      </c>
      <c r="K819" s="17" t="s">
        <v>3399</v>
      </c>
      <c r="L819" s="17" t="s">
        <v>3400</v>
      </c>
      <c r="M819" t="s">
        <v>76</v>
      </c>
      <c r="N819" t="s">
        <v>295</v>
      </c>
      <c r="O819" t="s">
        <v>52</v>
      </c>
      <c r="P819" s="15">
        <v>5</v>
      </c>
      <c r="Q819" s="18">
        <v>50602</v>
      </c>
      <c r="R819" s="19">
        <v>15</v>
      </c>
      <c r="S819" s="14">
        <v>4</v>
      </c>
      <c r="T819" s="7">
        <v>93</v>
      </c>
      <c r="U819" s="15">
        <v>6</v>
      </c>
      <c r="V819" s="15">
        <v>31</v>
      </c>
      <c r="W819" s="15">
        <v>43</v>
      </c>
      <c r="X819" t="s">
        <v>39</v>
      </c>
      <c r="Y819" t="s">
        <v>62</v>
      </c>
      <c r="Z819" s="14">
        <v>0.2</v>
      </c>
      <c r="AA819" s="12">
        <f>YEAR(Table1[Hire_Date])</f>
        <v>2026</v>
      </c>
      <c r="AB81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820" spans="1:28" x14ac:dyDescent="0.25">
      <c r="A820" t="s">
        <v>3401</v>
      </c>
      <c r="B820" s="16" t="s">
        <v>3402</v>
      </c>
      <c r="C820" s="16" t="s">
        <v>3403</v>
      </c>
      <c r="D820" t="s">
        <v>29</v>
      </c>
      <c r="E820" s="15">
        <v>43</v>
      </c>
      <c r="F820" s="16" t="s">
        <v>124</v>
      </c>
      <c r="G820" s="16" t="s">
        <v>104</v>
      </c>
      <c r="H820" s="16" t="s">
        <v>56</v>
      </c>
      <c r="I820" s="16" t="s">
        <v>33</v>
      </c>
      <c r="J820" s="16" t="s">
        <v>34</v>
      </c>
      <c r="K820" s="17" t="s">
        <v>3404</v>
      </c>
      <c r="M820" t="s">
        <v>36</v>
      </c>
      <c r="N820" t="s">
        <v>229</v>
      </c>
      <c r="O820" t="s">
        <v>60</v>
      </c>
      <c r="P820" s="15">
        <v>29</v>
      </c>
      <c r="Q820" s="18">
        <v>127444</v>
      </c>
      <c r="R820" s="19">
        <v>20</v>
      </c>
      <c r="S820" s="14">
        <v>3.7</v>
      </c>
      <c r="T820" s="7">
        <v>87</v>
      </c>
      <c r="U820" s="15">
        <v>7</v>
      </c>
      <c r="V820" s="15">
        <v>11</v>
      </c>
      <c r="W820" s="15">
        <v>36</v>
      </c>
      <c r="X820" t="s">
        <v>61</v>
      </c>
      <c r="Y820" t="s">
        <v>40</v>
      </c>
      <c r="Z820" s="14">
        <v>8.9</v>
      </c>
      <c r="AA820" s="12">
        <f>YEAR(Table1[Hire_Date])</f>
        <v>2017</v>
      </c>
      <c r="AB82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821" spans="1:28" x14ac:dyDescent="0.25">
      <c r="A821" t="s">
        <v>3405</v>
      </c>
      <c r="B821" s="16" t="s">
        <v>3406</v>
      </c>
      <c r="C821" s="16" t="s">
        <v>3407</v>
      </c>
      <c r="D821" t="s">
        <v>44</v>
      </c>
      <c r="E821" s="15">
        <v>41</v>
      </c>
      <c r="F821" s="16" t="s">
        <v>124</v>
      </c>
      <c r="G821" s="16" t="s">
        <v>13</v>
      </c>
      <c r="H821" s="16" t="s">
        <v>56</v>
      </c>
      <c r="I821" s="16" t="s">
        <v>57</v>
      </c>
      <c r="J821" s="16" t="s">
        <v>34</v>
      </c>
      <c r="K821" s="17" t="s">
        <v>3408</v>
      </c>
      <c r="M821" t="s">
        <v>36</v>
      </c>
      <c r="N821" t="s">
        <v>419</v>
      </c>
      <c r="O821" t="s">
        <v>52</v>
      </c>
      <c r="P821" s="15">
        <v>0</v>
      </c>
      <c r="Q821" s="18">
        <v>158930</v>
      </c>
      <c r="R821" s="19">
        <v>7</v>
      </c>
      <c r="S821" s="14">
        <v>4.5999999999999996</v>
      </c>
      <c r="T821" s="7">
        <v>56</v>
      </c>
      <c r="U821" s="15">
        <v>8</v>
      </c>
      <c r="V821" s="15">
        <v>13</v>
      </c>
      <c r="W821" s="15">
        <v>33</v>
      </c>
      <c r="X821" t="s">
        <v>39</v>
      </c>
      <c r="Y821" t="s">
        <v>62</v>
      </c>
      <c r="Z821" s="14">
        <v>2.9</v>
      </c>
      <c r="AA821" s="12">
        <f>YEAR(Table1[Hire_Date])</f>
        <v>2023</v>
      </c>
      <c r="AB82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822" spans="1:28" x14ac:dyDescent="0.25">
      <c r="A822" t="s">
        <v>3409</v>
      </c>
      <c r="B822" s="16" t="s">
        <v>3410</v>
      </c>
      <c r="C822" s="16" t="s">
        <v>3411</v>
      </c>
      <c r="D822" t="s">
        <v>29</v>
      </c>
      <c r="E822" s="15">
        <v>37</v>
      </c>
      <c r="F822" s="16" t="s">
        <v>103</v>
      </c>
      <c r="G822" s="16" t="s">
        <v>13</v>
      </c>
      <c r="H822" s="16" t="s">
        <v>47</v>
      </c>
      <c r="I822" s="16" t="s">
        <v>33</v>
      </c>
      <c r="J822" s="16" t="s">
        <v>34</v>
      </c>
      <c r="K822" s="17" t="s">
        <v>3412</v>
      </c>
      <c r="M822" t="s">
        <v>36</v>
      </c>
      <c r="N822" t="s">
        <v>277</v>
      </c>
      <c r="O822" t="s">
        <v>38</v>
      </c>
      <c r="P822" s="15">
        <v>24</v>
      </c>
      <c r="Q822" s="18">
        <v>114895</v>
      </c>
      <c r="R822" s="19">
        <v>18</v>
      </c>
      <c r="S822" s="14">
        <v>4.4000000000000004</v>
      </c>
      <c r="T822" s="7">
        <v>51</v>
      </c>
      <c r="U822" s="15">
        <v>18</v>
      </c>
      <c r="V822" s="15">
        <v>14</v>
      </c>
      <c r="W822" s="15">
        <v>61</v>
      </c>
      <c r="X822" t="s">
        <v>39</v>
      </c>
      <c r="Y822" t="s">
        <v>62</v>
      </c>
      <c r="Z822" s="14">
        <v>7.6</v>
      </c>
      <c r="AA822" s="12">
        <f>YEAR(Table1[Hire_Date])</f>
        <v>2019</v>
      </c>
      <c r="AB82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823" spans="1:28" x14ac:dyDescent="0.25">
      <c r="A823" t="s">
        <v>3413</v>
      </c>
      <c r="B823" s="16" t="s">
        <v>3414</v>
      </c>
      <c r="C823" s="16" t="s">
        <v>3415</v>
      </c>
      <c r="D823" t="s">
        <v>29</v>
      </c>
      <c r="E823" s="15">
        <v>31</v>
      </c>
      <c r="F823" s="16" t="s">
        <v>45</v>
      </c>
      <c r="G823" s="16" t="s">
        <v>82</v>
      </c>
      <c r="H823" s="16" t="s">
        <v>47</v>
      </c>
      <c r="I823" s="16" t="s">
        <v>33</v>
      </c>
      <c r="J823" s="16" t="s">
        <v>34</v>
      </c>
      <c r="K823" s="17" t="s">
        <v>3416</v>
      </c>
      <c r="M823" t="s">
        <v>36</v>
      </c>
      <c r="N823" t="s">
        <v>120</v>
      </c>
      <c r="O823" t="s">
        <v>38</v>
      </c>
      <c r="P823" s="15">
        <v>16</v>
      </c>
      <c r="Q823" s="18">
        <v>124658</v>
      </c>
      <c r="R823" s="19">
        <v>23</v>
      </c>
      <c r="S823" s="14">
        <v>3.2</v>
      </c>
      <c r="T823" s="7">
        <v>63</v>
      </c>
      <c r="U823" s="15">
        <v>11</v>
      </c>
      <c r="V823" s="15">
        <v>55</v>
      </c>
      <c r="W823" s="15">
        <v>1</v>
      </c>
      <c r="X823" t="s">
        <v>61</v>
      </c>
      <c r="Y823" t="s">
        <v>40</v>
      </c>
      <c r="Z823" s="14">
        <v>4.2</v>
      </c>
      <c r="AA823" s="12">
        <f>YEAR(Table1[Hire_Date])</f>
        <v>2022</v>
      </c>
      <c r="AB82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824" spans="1:28" x14ac:dyDescent="0.25">
      <c r="A824" t="s">
        <v>3417</v>
      </c>
      <c r="B824" s="16" t="s">
        <v>3418</v>
      </c>
      <c r="C824" s="16" t="s">
        <v>3419</v>
      </c>
      <c r="D824" t="s">
        <v>44</v>
      </c>
      <c r="E824" s="15">
        <v>56</v>
      </c>
      <c r="F824" s="16" t="s">
        <v>30</v>
      </c>
      <c r="G824" s="16" t="s">
        <v>13</v>
      </c>
      <c r="H824" s="16" t="s">
        <v>83</v>
      </c>
      <c r="I824" s="16" t="s">
        <v>48</v>
      </c>
      <c r="J824" s="16" t="s">
        <v>49</v>
      </c>
      <c r="K824" s="17" t="s">
        <v>3420</v>
      </c>
      <c r="M824" t="s">
        <v>36</v>
      </c>
      <c r="N824" t="s">
        <v>314</v>
      </c>
      <c r="O824" t="s">
        <v>60</v>
      </c>
      <c r="P824" s="15">
        <v>24</v>
      </c>
      <c r="Q824" s="18">
        <v>74191</v>
      </c>
      <c r="R824" s="19">
        <v>25</v>
      </c>
      <c r="S824" s="14">
        <v>3.5</v>
      </c>
      <c r="T824" s="7">
        <v>80</v>
      </c>
      <c r="U824" s="15">
        <v>4</v>
      </c>
      <c r="V824" s="15">
        <v>59</v>
      </c>
      <c r="W824" s="15">
        <v>10</v>
      </c>
      <c r="X824" t="s">
        <v>61</v>
      </c>
      <c r="Y824" t="s">
        <v>62</v>
      </c>
      <c r="Z824" s="14">
        <v>10.3</v>
      </c>
      <c r="AA824" s="12">
        <f>YEAR(Table1[Hire_Date])</f>
        <v>2016</v>
      </c>
      <c r="AB82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825" spans="1:28" x14ac:dyDescent="0.25">
      <c r="A825" t="s">
        <v>3421</v>
      </c>
      <c r="B825" s="16" t="s">
        <v>3422</v>
      </c>
      <c r="C825" s="16" t="s">
        <v>3423</v>
      </c>
      <c r="D825" t="s">
        <v>44</v>
      </c>
      <c r="E825" s="15">
        <v>26</v>
      </c>
      <c r="F825" s="16" t="s">
        <v>45</v>
      </c>
      <c r="G825" s="16" t="s">
        <v>82</v>
      </c>
      <c r="H825" s="16" t="s">
        <v>47</v>
      </c>
      <c r="I825" s="16" t="s">
        <v>57</v>
      </c>
      <c r="J825" s="16" t="s">
        <v>49</v>
      </c>
      <c r="K825" s="17" t="s">
        <v>3424</v>
      </c>
      <c r="M825" t="s">
        <v>36</v>
      </c>
      <c r="N825" t="s">
        <v>263</v>
      </c>
      <c r="O825" t="s">
        <v>38</v>
      </c>
      <c r="P825" s="15">
        <v>25</v>
      </c>
      <c r="Q825" s="18">
        <v>73359</v>
      </c>
      <c r="R825" s="19">
        <v>13</v>
      </c>
      <c r="S825" s="14">
        <v>4</v>
      </c>
      <c r="T825" s="7">
        <v>99</v>
      </c>
      <c r="U825" s="15">
        <v>20</v>
      </c>
      <c r="V825" s="15">
        <v>14</v>
      </c>
      <c r="W825" s="15">
        <v>70</v>
      </c>
      <c r="X825" t="s">
        <v>39</v>
      </c>
      <c r="Y825" t="s">
        <v>78</v>
      </c>
      <c r="Z825" s="14">
        <v>4.7</v>
      </c>
      <c r="AA825" s="12">
        <f>YEAR(Table1[Hire_Date])</f>
        <v>2021</v>
      </c>
      <c r="AB82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826" spans="1:28" x14ac:dyDescent="0.25">
      <c r="A826" t="s">
        <v>3425</v>
      </c>
      <c r="B826" s="16" t="s">
        <v>3426</v>
      </c>
      <c r="C826" s="16" t="s">
        <v>3427</v>
      </c>
      <c r="D826" t="s">
        <v>29</v>
      </c>
      <c r="E826" s="15">
        <v>37</v>
      </c>
      <c r="F826" s="16" t="s">
        <v>90</v>
      </c>
      <c r="G826" s="16" t="s">
        <v>13</v>
      </c>
      <c r="H826" s="16" t="s">
        <v>83</v>
      </c>
      <c r="I826" s="16" t="s">
        <v>33</v>
      </c>
      <c r="J826" s="16" t="s">
        <v>34</v>
      </c>
      <c r="K826" s="17" t="s">
        <v>1551</v>
      </c>
      <c r="M826" t="s">
        <v>36</v>
      </c>
      <c r="N826" t="s">
        <v>137</v>
      </c>
      <c r="O826" t="s">
        <v>38</v>
      </c>
      <c r="P826" s="15">
        <v>31</v>
      </c>
      <c r="Q826" s="18">
        <v>63959</v>
      </c>
      <c r="R826" s="19">
        <v>12</v>
      </c>
      <c r="S826" s="14">
        <v>4.4000000000000004</v>
      </c>
      <c r="T826" s="7">
        <v>67</v>
      </c>
      <c r="U826" s="15">
        <v>10</v>
      </c>
      <c r="V826" s="15">
        <v>49</v>
      </c>
      <c r="W826" s="15">
        <v>67</v>
      </c>
      <c r="X826" t="s">
        <v>39</v>
      </c>
      <c r="Y826" t="s">
        <v>78</v>
      </c>
      <c r="Z826" s="14">
        <v>8</v>
      </c>
      <c r="AA826" s="12">
        <f>YEAR(Table1[Hire_Date])</f>
        <v>2018</v>
      </c>
      <c r="AB82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827" spans="1:28" x14ac:dyDescent="0.25">
      <c r="A827" t="s">
        <v>3428</v>
      </c>
      <c r="B827" s="16" t="s">
        <v>3429</v>
      </c>
      <c r="C827" s="16" t="s">
        <v>3430</v>
      </c>
      <c r="D827" t="s">
        <v>29</v>
      </c>
      <c r="E827" s="15">
        <v>45</v>
      </c>
      <c r="F827" s="16" t="s">
        <v>90</v>
      </c>
      <c r="G827" s="16" t="s">
        <v>13</v>
      </c>
      <c r="H827" s="16" t="s">
        <v>56</v>
      </c>
      <c r="I827" s="16" t="s">
        <v>33</v>
      </c>
      <c r="J827" s="16" t="s">
        <v>34</v>
      </c>
      <c r="K827" s="17" t="s">
        <v>3431</v>
      </c>
      <c r="M827" t="s">
        <v>36</v>
      </c>
      <c r="N827" t="s">
        <v>93</v>
      </c>
      <c r="O827" t="s">
        <v>60</v>
      </c>
      <c r="P827" s="15">
        <v>23</v>
      </c>
      <c r="Q827" s="18">
        <v>89802</v>
      </c>
      <c r="R827" s="19">
        <v>11</v>
      </c>
      <c r="S827" s="14">
        <v>3.3</v>
      </c>
      <c r="T827" s="7">
        <v>72</v>
      </c>
      <c r="U827" s="15">
        <v>16</v>
      </c>
      <c r="V827" s="15">
        <v>9</v>
      </c>
      <c r="W827" s="15">
        <v>38</v>
      </c>
      <c r="X827" t="s">
        <v>39</v>
      </c>
      <c r="Y827" t="s">
        <v>62</v>
      </c>
      <c r="Z827" s="14">
        <v>4.3</v>
      </c>
      <c r="AA827" s="12">
        <f>YEAR(Table1[Hire_Date])</f>
        <v>2022</v>
      </c>
      <c r="AB82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828" spans="1:28" x14ac:dyDescent="0.25">
      <c r="A828" t="s">
        <v>3432</v>
      </c>
      <c r="B828" s="16" t="s">
        <v>3433</v>
      </c>
      <c r="C828" s="16" t="s">
        <v>3434</v>
      </c>
      <c r="D828" t="s">
        <v>29</v>
      </c>
      <c r="E828" s="15">
        <v>50</v>
      </c>
      <c r="F828" s="16" t="s">
        <v>30</v>
      </c>
      <c r="G828" s="16" t="s">
        <v>31</v>
      </c>
      <c r="H828" s="16" t="s">
        <v>66</v>
      </c>
      <c r="I828" s="16" t="s">
        <v>33</v>
      </c>
      <c r="J828" s="16" t="s">
        <v>34</v>
      </c>
      <c r="K828" s="17" t="s">
        <v>3435</v>
      </c>
      <c r="L828" s="17" t="s">
        <v>3436</v>
      </c>
      <c r="M828" t="s">
        <v>76</v>
      </c>
      <c r="N828" t="s">
        <v>111</v>
      </c>
      <c r="O828" t="s">
        <v>38</v>
      </c>
      <c r="P828" s="15">
        <v>26</v>
      </c>
      <c r="Q828" s="18">
        <v>97892</v>
      </c>
      <c r="R828" s="19">
        <v>20</v>
      </c>
      <c r="S828" s="14">
        <v>2.5</v>
      </c>
      <c r="T828" s="7">
        <v>79</v>
      </c>
      <c r="U828" s="15">
        <v>4</v>
      </c>
      <c r="V828" s="15">
        <v>36</v>
      </c>
      <c r="W828" s="15">
        <v>5</v>
      </c>
      <c r="X828" t="s">
        <v>39</v>
      </c>
      <c r="Y828" t="s">
        <v>78</v>
      </c>
      <c r="Z828" s="14">
        <v>2.6</v>
      </c>
      <c r="AA828" s="12">
        <f>YEAR(Table1[Hire_Date])</f>
        <v>2024</v>
      </c>
      <c r="AB82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829" spans="1:28" x14ac:dyDescent="0.25">
      <c r="A829" t="s">
        <v>3437</v>
      </c>
      <c r="B829" s="16" t="s">
        <v>3438</v>
      </c>
      <c r="C829" s="16" t="s">
        <v>3439</v>
      </c>
      <c r="D829" t="s">
        <v>44</v>
      </c>
      <c r="E829" s="15">
        <v>49</v>
      </c>
      <c r="F829" s="16" t="s">
        <v>30</v>
      </c>
      <c r="G829" s="16" t="s">
        <v>31</v>
      </c>
      <c r="H829" s="16" t="s">
        <v>47</v>
      </c>
      <c r="I829" s="16" t="s">
        <v>33</v>
      </c>
      <c r="J829" s="16" t="s">
        <v>34</v>
      </c>
      <c r="K829" s="17" t="s">
        <v>1938</v>
      </c>
      <c r="M829" t="s">
        <v>36</v>
      </c>
      <c r="N829" t="s">
        <v>1237</v>
      </c>
      <c r="O829" t="s">
        <v>52</v>
      </c>
      <c r="P829" s="15">
        <v>12</v>
      </c>
      <c r="Q829" s="18">
        <v>80062</v>
      </c>
      <c r="R829" s="19">
        <v>24</v>
      </c>
      <c r="S829" s="14">
        <v>4</v>
      </c>
      <c r="T829" s="7">
        <v>66</v>
      </c>
      <c r="U829" s="15">
        <v>19</v>
      </c>
      <c r="V829" s="15">
        <v>27</v>
      </c>
      <c r="W829" s="15">
        <v>10</v>
      </c>
      <c r="X829" t="s">
        <v>61</v>
      </c>
      <c r="Y829" t="s">
        <v>78</v>
      </c>
      <c r="Z829" s="14">
        <v>0.8</v>
      </c>
      <c r="AA829" s="12">
        <f>YEAR(Table1[Hire_Date])</f>
        <v>2025</v>
      </c>
      <c r="AB82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830" spans="1:28" x14ac:dyDescent="0.25">
      <c r="A830" t="s">
        <v>3440</v>
      </c>
      <c r="B830" s="16" t="s">
        <v>3441</v>
      </c>
      <c r="C830" s="16" t="s">
        <v>3442</v>
      </c>
      <c r="D830" t="s">
        <v>44</v>
      </c>
      <c r="E830" s="15">
        <v>22</v>
      </c>
      <c r="F830" s="16" t="s">
        <v>124</v>
      </c>
      <c r="G830" s="16" t="s">
        <v>141</v>
      </c>
      <c r="H830" s="16" t="s">
        <v>56</v>
      </c>
      <c r="I830" s="16" t="s">
        <v>33</v>
      </c>
      <c r="J830" s="16" t="s">
        <v>34</v>
      </c>
      <c r="K830" s="17" t="s">
        <v>743</v>
      </c>
      <c r="M830" t="s">
        <v>36</v>
      </c>
      <c r="N830" t="s">
        <v>333</v>
      </c>
      <c r="O830" t="s">
        <v>52</v>
      </c>
      <c r="P830" s="15">
        <v>16</v>
      </c>
      <c r="Q830" s="18">
        <v>172064</v>
      </c>
      <c r="R830" s="19">
        <v>18</v>
      </c>
      <c r="S830" s="14">
        <v>4.5999999999999996</v>
      </c>
      <c r="T830" s="7">
        <v>84</v>
      </c>
      <c r="U830" s="15">
        <v>15</v>
      </c>
      <c r="V830" s="15">
        <v>1</v>
      </c>
      <c r="W830" s="15">
        <v>52</v>
      </c>
      <c r="X830" t="s">
        <v>61</v>
      </c>
      <c r="Y830" t="s">
        <v>78</v>
      </c>
      <c r="Z830" s="14">
        <v>9.1</v>
      </c>
      <c r="AA830" s="12">
        <f>YEAR(Table1[Hire_Date])</f>
        <v>2017</v>
      </c>
      <c r="AB83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831" spans="1:28" x14ac:dyDescent="0.25">
      <c r="A831" t="s">
        <v>3443</v>
      </c>
      <c r="B831" s="16" t="s">
        <v>3444</v>
      </c>
      <c r="C831" s="16" t="s">
        <v>3445</v>
      </c>
      <c r="D831" t="s">
        <v>44</v>
      </c>
      <c r="E831" s="15">
        <v>46</v>
      </c>
      <c r="F831" s="16" t="s">
        <v>30</v>
      </c>
      <c r="G831" s="16" t="s">
        <v>31</v>
      </c>
      <c r="H831" s="16" t="s">
        <v>47</v>
      </c>
      <c r="I831" s="16" t="s">
        <v>48</v>
      </c>
      <c r="J831" s="16" t="s">
        <v>49</v>
      </c>
      <c r="K831" s="17" t="s">
        <v>3446</v>
      </c>
      <c r="L831" s="17" t="s">
        <v>3447</v>
      </c>
      <c r="M831" t="s">
        <v>76</v>
      </c>
      <c r="N831" t="s">
        <v>367</v>
      </c>
      <c r="O831" t="s">
        <v>38</v>
      </c>
      <c r="P831" s="15">
        <v>30</v>
      </c>
      <c r="Q831" s="18">
        <v>151736</v>
      </c>
      <c r="R831" s="19">
        <v>7</v>
      </c>
      <c r="S831" s="14">
        <v>3.4</v>
      </c>
      <c r="T831" s="7">
        <v>94</v>
      </c>
      <c r="U831" s="15">
        <v>4</v>
      </c>
      <c r="V831" s="15">
        <v>40</v>
      </c>
      <c r="W831" s="15">
        <v>11</v>
      </c>
      <c r="X831" t="s">
        <v>39</v>
      </c>
      <c r="Y831" t="s">
        <v>78</v>
      </c>
      <c r="Z831" s="14">
        <v>2.2000000000000002</v>
      </c>
      <c r="AA831" s="12">
        <f>YEAR(Table1[Hire_Date])</f>
        <v>2024</v>
      </c>
      <c r="AB83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832" spans="1:28" x14ac:dyDescent="0.25">
      <c r="A832" t="s">
        <v>3448</v>
      </c>
      <c r="B832" s="16" t="s">
        <v>3449</v>
      </c>
      <c r="C832" s="16" t="s">
        <v>3450</v>
      </c>
      <c r="D832" t="s">
        <v>44</v>
      </c>
      <c r="E832" s="15">
        <v>50</v>
      </c>
      <c r="F832" s="16" t="s">
        <v>72</v>
      </c>
      <c r="G832" s="16" t="s">
        <v>97</v>
      </c>
      <c r="H832" s="16" t="s">
        <v>66</v>
      </c>
      <c r="I832" s="16" t="s">
        <v>33</v>
      </c>
      <c r="J832" s="16" t="s">
        <v>49</v>
      </c>
      <c r="K832" s="17" t="s">
        <v>3451</v>
      </c>
      <c r="M832" t="s">
        <v>36</v>
      </c>
      <c r="N832" t="s">
        <v>120</v>
      </c>
      <c r="O832" t="s">
        <v>60</v>
      </c>
      <c r="P832" s="15">
        <v>26</v>
      </c>
      <c r="Q832" s="18">
        <v>54444</v>
      </c>
      <c r="R832" s="19">
        <v>24</v>
      </c>
      <c r="S832" s="14">
        <v>3</v>
      </c>
      <c r="T832" s="7">
        <v>61</v>
      </c>
      <c r="U832" s="15">
        <v>20</v>
      </c>
      <c r="V832" s="15">
        <v>3</v>
      </c>
      <c r="W832" s="15">
        <v>59</v>
      </c>
      <c r="X832" t="s">
        <v>39</v>
      </c>
      <c r="Y832" t="s">
        <v>62</v>
      </c>
      <c r="Z832" s="14">
        <v>6.1</v>
      </c>
      <c r="AA832" s="12">
        <f>YEAR(Table1[Hire_Date])</f>
        <v>2020</v>
      </c>
      <c r="AB83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833" spans="1:28" x14ac:dyDescent="0.25">
      <c r="A833" t="s">
        <v>3452</v>
      </c>
      <c r="B833" s="16" t="s">
        <v>3453</v>
      </c>
      <c r="C833" s="16" t="s">
        <v>3454</v>
      </c>
      <c r="D833" t="s">
        <v>29</v>
      </c>
      <c r="E833" s="15">
        <v>37</v>
      </c>
      <c r="F833" s="16" t="s">
        <v>30</v>
      </c>
      <c r="G833" s="16" t="s">
        <v>31</v>
      </c>
      <c r="H833" s="16" t="s">
        <v>83</v>
      </c>
      <c r="I833" s="16" t="s">
        <v>33</v>
      </c>
      <c r="J833" s="16" t="s">
        <v>49</v>
      </c>
      <c r="K833" s="17" t="s">
        <v>3455</v>
      </c>
      <c r="M833" t="s">
        <v>36</v>
      </c>
      <c r="N833" t="s">
        <v>229</v>
      </c>
      <c r="O833" t="s">
        <v>38</v>
      </c>
      <c r="P833" s="15">
        <v>20</v>
      </c>
      <c r="Q833" s="18">
        <v>100835</v>
      </c>
      <c r="R833" s="19">
        <v>9</v>
      </c>
      <c r="S833" s="14">
        <v>3.6</v>
      </c>
      <c r="T833" s="7">
        <v>51</v>
      </c>
      <c r="U833" s="15">
        <v>0</v>
      </c>
      <c r="V833" s="15">
        <v>31</v>
      </c>
      <c r="W833" s="15">
        <v>41</v>
      </c>
      <c r="X833" t="s">
        <v>61</v>
      </c>
      <c r="Y833" t="s">
        <v>62</v>
      </c>
      <c r="Z833" s="14">
        <v>4.7</v>
      </c>
      <c r="AA833" s="12">
        <f>YEAR(Table1[Hire_Date])</f>
        <v>2021</v>
      </c>
      <c r="AB83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834" spans="1:28" x14ac:dyDescent="0.25">
      <c r="A834" t="s">
        <v>3456</v>
      </c>
      <c r="B834" s="16" t="s">
        <v>3457</v>
      </c>
      <c r="C834" s="16" t="s">
        <v>3458</v>
      </c>
      <c r="D834" t="s">
        <v>44</v>
      </c>
      <c r="E834" s="15">
        <v>55</v>
      </c>
      <c r="F834" s="16" t="s">
        <v>124</v>
      </c>
      <c r="G834" s="16" t="s">
        <v>13</v>
      </c>
      <c r="H834" s="16" t="s">
        <v>56</v>
      </c>
      <c r="I834" s="16" t="s">
        <v>57</v>
      </c>
      <c r="J834" s="16" t="s">
        <v>49</v>
      </c>
      <c r="K834" s="17" t="s">
        <v>3459</v>
      </c>
      <c r="M834" t="s">
        <v>36</v>
      </c>
      <c r="N834" t="s">
        <v>333</v>
      </c>
      <c r="O834" t="s">
        <v>52</v>
      </c>
      <c r="P834" s="15">
        <v>27</v>
      </c>
      <c r="Q834" s="18">
        <v>102215</v>
      </c>
      <c r="R834" s="19">
        <v>19</v>
      </c>
      <c r="S834" s="14">
        <v>4.8</v>
      </c>
      <c r="T834" s="7">
        <v>94</v>
      </c>
      <c r="U834" s="15">
        <v>10</v>
      </c>
      <c r="V834" s="15">
        <v>17</v>
      </c>
      <c r="W834" s="15">
        <v>69</v>
      </c>
      <c r="X834" t="s">
        <v>61</v>
      </c>
      <c r="Y834" t="s">
        <v>40</v>
      </c>
      <c r="Z834" s="14">
        <v>6.7</v>
      </c>
      <c r="AA834" s="12">
        <f>YEAR(Table1[Hire_Date])</f>
        <v>2019</v>
      </c>
      <c r="AB83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835" spans="1:28" x14ac:dyDescent="0.25">
      <c r="A835" t="s">
        <v>3460</v>
      </c>
      <c r="B835" s="16" t="s">
        <v>3461</v>
      </c>
      <c r="C835" s="16" t="s">
        <v>3462</v>
      </c>
      <c r="D835" t="s">
        <v>29</v>
      </c>
      <c r="E835" s="15">
        <v>30</v>
      </c>
      <c r="F835" s="16" t="s">
        <v>72</v>
      </c>
      <c r="G835" s="16" t="s">
        <v>135</v>
      </c>
      <c r="H835" s="16" t="s">
        <v>32</v>
      </c>
      <c r="I835" s="16" t="s">
        <v>48</v>
      </c>
      <c r="J835" s="16" t="s">
        <v>49</v>
      </c>
      <c r="K835" s="17" t="s">
        <v>3463</v>
      </c>
      <c r="L835" s="17" t="s">
        <v>3464</v>
      </c>
      <c r="M835" t="s">
        <v>76</v>
      </c>
      <c r="N835" t="s">
        <v>149</v>
      </c>
      <c r="O835" t="s">
        <v>38</v>
      </c>
      <c r="P835" s="15">
        <v>25</v>
      </c>
      <c r="Q835" s="18">
        <v>86541</v>
      </c>
      <c r="R835" s="19">
        <v>15</v>
      </c>
      <c r="S835" s="14">
        <v>4.4000000000000004</v>
      </c>
      <c r="T835" s="7">
        <v>75</v>
      </c>
      <c r="U835" s="15">
        <v>5</v>
      </c>
      <c r="V835" s="15">
        <v>43</v>
      </c>
      <c r="W835" s="15">
        <v>14</v>
      </c>
      <c r="X835" t="s">
        <v>61</v>
      </c>
      <c r="Y835" t="s">
        <v>40</v>
      </c>
      <c r="Z835" s="14">
        <v>7.7</v>
      </c>
      <c r="AA835" s="12">
        <f>YEAR(Table1[Hire_Date])</f>
        <v>2018</v>
      </c>
      <c r="AB83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836" spans="1:28" x14ac:dyDescent="0.25">
      <c r="A836" t="s">
        <v>3465</v>
      </c>
      <c r="B836" s="16" t="s">
        <v>3466</v>
      </c>
      <c r="C836" s="16" t="s">
        <v>3467</v>
      </c>
      <c r="D836" t="s">
        <v>29</v>
      </c>
      <c r="E836" s="15">
        <v>28</v>
      </c>
      <c r="F836" s="16" t="s">
        <v>72</v>
      </c>
      <c r="G836" s="16" t="s">
        <v>97</v>
      </c>
      <c r="H836" s="16" t="s">
        <v>66</v>
      </c>
      <c r="I836" s="16" t="s">
        <v>33</v>
      </c>
      <c r="J836" s="16" t="s">
        <v>49</v>
      </c>
      <c r="K836" s="17" t="s">
        <v>3468</v>
      </c>
      <c r="M836" t="s">
        <v>36</v>
      </c>
      <c r="N836" t="s">
        <v>328</v>
      </c>
      <c r="O836" t="s">
        <v>38</v>
      </c>
      <c r="P836" s="15">
        <v>29</v>
      </c>
      <c r="Q836" s="18">
        <v>123948</v>
      </c>
      <c r="R836" s="19">
        <v>8</v>
      </c>
      <c r="S836" s="14">
        <v>3.8</v>
      </c>
      <c r="T836" s="7">
        <v>67</v>
      </c>
      <c r="U836" s="15">
        <v>19</v>
      </c>
      <c r="V836" s="15">
        <v>17</v>
      </c>
      <c r="W836" s="15">
        <v>38</v>
      </c>
      <c r="X836" t="s">
        <v>39</v>
      </c>
      <c r="Y836" t="s">
        <v>62</v>
      </c>
      <c r="Z836" s="14">
        <v>7.7</v>
      </c>
      <c r="AA836" s="12">
        <f>YEAR(Table1[Hire_Date])</f>
        <v>2018</v>
      </c>
      <c r="AB83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837" spans="1:28" x14ac:dyDescent="0.25">
      <c r="A837" t="s">
        <v>3469</v>
      </c>
      <c r="B837" s="16" t="s">
        <v>3470</v>
      </c>
      <c r="C837" s="16" t="s">
        <v>3471</v>
      </c>
      <c r="D837" t="s">
        <v>29</v>
      </c>
      <c r="E837" s="15">
        <v>58</v>
      </c>
      <c r="F837" s="16" t="s">
        <v>30</v>
      </c>
      <c r="G837" s="16" t="s">
        <v>31</v>
      </c>
      <c r="H837" s="16" t="s">
        <v>83</v>
      </c>
      <c r="I837" s="16" t="s">
        <v>48</v>
      </c>
      <c r="J837" s="16" t="s">
        <v>34</v>
      </c>
      <c r="K837" s="17" t="s">
        <v>3472</v>
      </c>
      <c r="M837" t="s">
        <v>36</v>
      </c>
      <c r="N837" t="s">
        <v>309</v>
      </c>
      <c r="O837" t="s">
        <v>60</v>
      </c>
      <c r="P837" s="15">
        <v>9</v>
      </c>
      <c r="Q837" s="18">
        <v>136610</v>
      </c>
      <c r="R837" s="19">
        <v>8</v>
      </c>
      <c r="S837" s="14">
        <v>3.3</v>
      </c>
      <c r="T837" s="7">
        <v>55</v>
      </c>
      <c r="U837" s="15">
        <v>9</v>
      </c>
      <c r="V837" s="15">
        <v>43</v>
      </c>
      <c r="W837" s="15">
        <v>45</v>
      </c>
      <c r="X837" t="s">
        <v>39</v>
      </c>
      <c r="Y837" t="s">
        <v>78</v>
      </c>
      <c r="Z837" s="14">
        <v>5.5</v>
      </c>
      <c r="AA837" s="12">
        <f>YEAR(Table1[Hire_Date])</f>
        <v>2021</v>
      </c>
      <c r="AB83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838" spans="1:28" x14ac:dyDescent="0.25">
      <c r="A838" t="s">
        <v>3473</v>
      </c>
      <c r="B838" s="16" t="s">
        <v>3474</v>
      </c>
      <c r="C838" s="16" t="s">
        <v>3475</v>
      </c>
      <c r="D838" t="s">
        <v>44</v>
      </c>
      <c r="E838" s="15">
        <v>44</v>
      </c>
      <c r="F838" s="16" t="s">
        <v>90</v>
      </c>
      <c r="G838" s="16" t="s">
        <v>13</v>
      </c>
      <c r="H838" s="16" t="s">
        <v>83</v>
      </c>
      <c r="I838" s="16" t="s">
        <v>33</v>
      </c>
      <c r="J838" s="16" t="s">
        <v>49</v>
      </c>
      <c r="K838" s="17" t="s">
        <v>3476</v>
      </c>
      <c r="L838" s="17" t="s">
        <v>3477</v>
      </c>
      <c r="M838" t="s">
        <v>76</v>
      </c>
      <c r="N838" t="s">
        <v>149</v>
      </c>
      <c r="O838" t="s">
        <v>52</v>
      </c>
      <c r="P838" s="15">
        <v>5</v>
      </c>
      <c r="Q838" s="18">
        <v>76689</v>
      </c>
      <c r="R838" s="19">
        <v>9</v>
      </c>
      <c r="S838" s="14">
        <v>3.6</v>
      </c>
      <c r="T838" s="7">
        <v>62</v>
      </c>
      <c r="U838" s="15">
        <v>7</v>
      </c>
      <c r="V838" s="15">
        <v>51</v>
      </c>
      <c r="W838" s="15">
        <v>60</v>
      </c>
      <c r="X838" t="s">
        <v>39</v>
      </c>
      <c r="Y838" t="s">
        <v>40</v>
      </c>
      <c r="Z838" s="14">
        <v>1.1000000000000001</v>
      </c>
      <c r="AA838" s="12">
        <f>YEAR(Table1[Hire_Date])</f>
        <v>2025</v>
      </c>
      <c r="AB83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839" spans="1:28" x14ac:dyDescent="0.25">
      <c r="A839" t="s">
        <v>3478</v>
      </c>
      <c r="B839" s="16" t="s">
        <v>3479</v>
      </c>
      <c r="C839" s="16" t="s">
        <v>3480</v>
      </c>
      <c r="D839" t="s">
        <v>44</v>
      </c>
      <c r="E839" s="15">
        <v>31</v>
      </c>
      <c r="F839" s="16" t="s">
        <v>124</v>
      </c>
      <c r="G839" s="16" t="s">
        <v>141</v>
      </c>
      <c r="H839" s="16" t="s">
        <v>83</v>
      </c>
      <c r="I839" s="16" t="s">
        <v>48</v>
      </c>
      <c r="J839" s="16" t="s">
        <v>49</v>
      </c>
      <c r="K839" s="17" t="s">
        <v>1965</v>
      </c>
      <c r="M839" t="s">
        <v>36</v>
      </c>
      <c r="N839" t="s">
        <v>286</v>
      </c>
      <c r="O839" t="s">
        <v>52</v>
      </c>
      <c r="P839" s="15">
        <v>32</v>
      </c>
      <c r="Q839" s="18">
        <v>109972</v>
      </c>
      <c r="R839" s="19">
        <v>21</v>
      </c>
      <c r="S839" s="14">
        <v>3.5</v>
      </c>
      <c r="T839" s="7">
        <v>61</v>
      </c>
      <c r="U839" s="15">
        <v>8</v>
      </c>
      <c r="V839" s="15">
        <v>12</v>
      </c>
      <c r="W839" s="15">
        <v>12</v>
      </c>
      <c r="X839" t="s">
        <v>39</v>
      </c>
      <c r="Y839" t="s">
        <v>78</v>
      </c>
      <c r="Z839" s="14">
        <v>6</v>
      </c>
      <c r="AA839" s="12">
        <f>YEAR(Table1[Hire_Date])</f>
        <v>2020</v>
      </c>
      <c r="AB83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840" spans="1:28" x14ac:dyDescent="0.25">
      <c r="A840" t="s">
        <v>3481</v>
      </c>
      <c r="B840" s="16" t="s">
        <v>3482</v>
      </c>
      <c r="C840" s="16" t="s">
        <v>3483</v>
      </c>
      <c r="D840" t="s">
        <v>29</v>
      </c>
      <c r="E840" s="15">
        <v>43</v>
      </c>
      <c r="F840" s="16" t="s">
        <v>124</v>
      </c>
      <c r="G840" s="16" t="s">
        <v>104</v>
      </c>
      <c r="H840" s="16" t="s">
        <v>56</v>
      </c>
      <c r="I840" s="16" t="s">
        <v>33</v>
      </c>
      <c r="J840" s="16" t="s">
        <v>49</v>
      </c>
      <c r="K840" s="17" t="s">
        <v>3484</v>
      </c>
      <c r="M840" t="s">
        <v>36</v>
      </c>
      <c r="N840" t="s">
        <v>137</v>
      </c>
      <c r="O840" t="s">
        <v>38</v>
      </c>
      <c r="P840" s="15">
        <v>32</v>
      </c>
      <c r="Q840" s="18">
        <v>144156</v>
      </c>
      <c r="R840" s="19">
        <v>25</v>
      </c>
      <c r="S840" s="14">
        <v>2.7</v>
      </c>
      <c r="T840" s="7">
        <v>65</v>
      </c>
      <c r="U840" s="15">
        <v>3</v>
      </c>
      <c r="V840" s="15">
        <v>45</v>
      </c>
      <c r="W840" s="15">
        <v>15</v>
      </c>
      <c r="X840" t="s">
        <v>61</v>
      </c>
      <c r="Y840" t="s">
        <v>62</v>
      </c>
      <c r="Z840" s="14">
        <v>8.5</v>
      </c>
      <c r="AA840" s="12">
        <f>YEAR(Table1[Hire_Date])</f>
        <v>2018</v>
      </c>
      <c r="AB84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841" spans="1:28" x14ac:dyDescent="0.25">
      <c r="A841" t="s">
        <v>3485</v>
      </c>
      <c r="B841" s="16" t="s">
        <v>3486</v>
      </c>
      <c r="C841" s="16" t="s">
        <v>3487</v>
      </c>
      <c r="D841" t="s">
        <v>44</v>
      </c>
      <c r="E841" s="15">
        <v>33</v>
      </c>
      <c r="F841" s="16" t="s">
        <v>30</v>
      </c>
      <c r="G841" s="16" t="s">
        <v>13</v>
      </c>
      <c r="H841" s="16" t="s">
        <v>56</v>
      </c>
      <c r="I841" s="16" t="s">
        <v>48</v>
      </c>
      <c r="J841" s="16" t="s">
        <v>49</v>
      </c>
      <c r="K841" s="17" t="s">
        <v>3488</v>
      </c>
      <c r="M841" t="s">
        <v>36</v>
      </c>
      <c r="N841" t="s">
        <v>86</v>
      </c>
      <c r="O841" t="s">
        <v>60</v>
      </c>
      <c r="P841" s="15">
        <v>33</v>
      </c>
      <c r="Q841" s="18">
        <v>118333</v>
      </c>
      <c r="R841" s="19">
        <v>18</v>
      </c>
      <c r="S841" s="14">
        <v>3.2</v>
      </c>
      <c r="T841" s="7">
        <v>76</v>
      </c>
      <c r="U841" s="15">
        <v>8</v>
      </c>
      <c r="V841" s="15">
        <v>55</v>
      </c>
      <c r="W841" s="15">
        <v>78</v>
      </c>
      <c r="X841" t="s">
        <v>61</v>
      </c>
      <c r="Y841" t="s">
        <v>40</v>
      </c>
      <c r="Z841" s="14">
        <v>2.5</v>
      </c>
      <c r="AA841" s="12">
        <f>YEAR(Table1[Hire_Date])</f>
        <v>2024</v>
      </c>
      <c r="AB84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842" spans="1:28" x14ac:dyDescent="0.25">
      <c r="A842" t="s">
        <v>3489</v>
      </c>
      <c r="B842" s="16" t="s">
        <v>3490</v>
      </c>
      <c r="C842" s="16" t="s">
        <v>3491</v>
      </c>
      <c r="D842" t="s">
        <v>29</v>
      </c>
      <c r="E842" s="15">
        <v>42</v>
      </c>
      <c r="F842" s="16" t="s">
        <v>124</v>
      </c>
      <c r="G842" s="16" t="s">
        <v>141</v>
      </c>
      <c r="H842" s="16" t="s">
        <v>66</v>
      </c>
      <c r="I842" s="16" t="s">
        <v>33</v>
      </c>
      <c r="J842" s="16" t="s">
        <v>34</v>
      </c>
      <c r="K842" s="17" t="s">
        <v>3492</v>
      </c>
      <c r="M842" t="s">
        <v>36</v>
      </c>
      <c r="N842" t="s">
        <v>419</v>
      </c>
      <c r="O842" t="s">
        <v>52</v>
      </c>
      <c r="P842" s="15">
        <v>28</v>
      </c>
      <c r="Q842" s="18">
        <v>103604</v>
      </c>
      <c r="R842" s="19">
        <v>6</v>
      </c>
      <c r="S842" s="14">
        <v>4.3</v>
      </c>
      <c r="T842" s="7">
        <v>58</v>
      </c>
      <c r="U842" s="15">
        <v>19</v>
      </c>
      <c r="V842" s="15">
        <v>50</v>
      </c>
      <c r="W842" s="15">
        <v>32</v>
      </c>
      <c r="X842" t="s">
        <v>39</v>
      </c>
      <c r="Y842" t="s">
        <v>78</v>
      </c>
      <c r="Z842" s="14">
        <v>8</v>
      </c>
      <c r="AA842" s="12">
        <f>YEAR(Table1[Hire_Date])</f>
        <v>2018</v>
      </c>
      <c r="AB84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843" spans="1:28" x14ac:dyDescent="0.25">
      <c r="A843" t="s">
        <v>3493</v>
      </c>
      <c r="B843" s="16" t="s">
        <v>3494</v>
      </c>
      <c r="C843" s="16" t="s">
        <v>3495</v>
      </c>
      <c r="D843" t="s">
        <v>44</v>
      </c>
      <c r="E843" s="15">
        <v>50</v>
      </c>
      <c r="F843" s="16" t="s">
        <v>90</v>
      </c>
      <c r="G843" s="16" t="s">
        <v>281</v>
      </c>
      <c r="H843" s="16" t="s">
        <v>56</v>
      </c>
      <c r="I843" s="16" t="s">
        <v>57</v>
      </c>
      <c r="J843" s="16" t="s">
        <v>34</v>
      </c>
      <c r="K843" s="17" t="s">
        <v>3496</v>
      </c>
      <c r="M843" t="s">
        <v>36</v>
      </c>
      <c r="N843" t="s">
        <v>353</v>
      </c>
      <c r="O843" t="s">
        <v>52</v>
      </c>
      <c r="P843" s="15">
        <v>11</v>
      </c>
      <c r="Q843" s="18">
        <v>139464</v>
      </c>
      <c r="R843" s="19">
        <v>20</v>
      </c>
      <c r="S843" s="14">
        <v>3</v>
      </c>
      <c r="T843" s="7">
        <v>58</v>
      </c>
      <c r="U843" s="15">
        <v>8</v>
      </c>
      <c r="V843" s="15">
        <v>15</v>
      </c>
      <c r="W843" s="15">
        <v>7</v>
      </c>
      <c r="X843" t="s">
        <v>39</v>
      </c>
      <c r="Y843" t="s">
        <v>78</v>
      </c>
      <c r="Z843" s="14">
        <v>0.5</v>
      </c>
      <c r="AA843" s="12">
        <f>YEAR(Table1[Hire_Date])</f>
        <v>2026</v>
      </c>
      <c r="AB84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844" spans="1:28" x14ac:dyDescent="0.25">
      <c r="A844" t="s">
        <v>3497</v>
      </c>
      <c r="B844" s="16" t="s">
        <v>3498</v>
      </c>
      <c r="C844" s="16" t="s">
        <v>3499</v>
      </c>
      <c r="D844" t="s">
        <v>29</v>
      </c>
      <c r="E844" s="15">
        <v>21</v>
      </c>
      <c r="F844" s="16" t="s">
        <v>103</v>
      </c>
      <c r="G844" s="16" t="s">
        <v>147</v>
      </c>
      <c r="H844" s="16" t="s">
        <v>56</v>
      </c>
      <c r="I844" s="16" t="s">
        <v>33</v>
      </c>
      <c r="J844" s="16" t="s">
        <v>49</v>
      </c>
      <c r="K844" s="17" t="s">
        <v>3500</v>
      </c>
      <c r="M844" t="s">
        <v>36</v>
      </c>
      <c r="N844" t="s">
        <v>243</v>
      </c>
      <c r="O844" t="s">
        <v>52</v>
      </c>
      <c r="P844" s="15">
        <v>0</v>
      </c>
      <c r="Q844" s="18">
        <v>44315</v>
      </c>
      <c r="R844" s="19">
        <v>13</v>
      </c>
      <c r="S844" s="14">
        <v>3.1</v>
      </c>
      <c r="T844" s="7">
        <v>69</v>
      </c>
      <c r="U844" s="15">
        <v>5</v>
      </c>
      <c r="V844" s="15">
        <v>50</v>
      </c>
      <c r="W844" s="15">
        <v>64</v>
      </c>
      <c r="X844" t="s">
        <v>39</v>
      </c>
      <c r="Y844" t="s">
        <v>62</v>
      </c>
      <c r="Z844" s="14">
        <v>9.3000000000000007</v>
      </c>
      <c r="AA844" s="12">
        <f>YEAR(Table1[Hire_Date])</f>
        <v>2017</v>
      </c>
      <c r="AB84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845" spans="1:28" x14ac:dyDescent="0.25">
      <c r="A845" t="s">
        <v>3501</v>
      </c>
      <c r="B845" s="16" t="s">
        <v>3502</v>
      </c>
      <c r="C845" s="16" t="s">
        <v>3503</v>
      </c>
      <c r="D845" t="s">
        <v>29</v>
      </c>
      <c r="E845" s="15">
        <v>42</v>
      </c>
      <c r="F845" s="16" t="s">
        <v>45</v>
      </c>
      <c r="G845" s="16" t="s">
        <v>82</v>
      </c>
      <c r="H845" s="16" t="s">
        <v>32</v>
      </c>
      <c r="I845" s="16" t="s">
        <v>33</v>
      </c>
      <c r="J845" s="16" t="s">
        <v>34</v>
      </c>
      <c r="K845" s="17" t="s">
        <v>3504</v>
      </c>
      <c r="M845" t="s">
        <v>36</v>
      </c>
      <c r="N845" t="s">
        <v>229</v>
      </c>
      <c r="O845" t="s">
        <v>52</v>
      </c>
      <c r="P845" s="15">
        <v>19</v>
      </c>
      <c r="Q845" s="18">
        <v>148592</v>
      </c>
      <c r="R845" s="19">
        <v>17</v>
      </c>
      <c r="S845" s="14">
        <v>2.5</v>
      </c>
      <c r="T845" s="7">
        <v>53</v>
      </c>
      <c r="U845" s="15">
        <v>19</v>
      </c>
      <c r="V845" s="15">
        <v>42</v>
      </c>
      <c r="W845" s="15">
        <v>17</v>
      </c>
      <c r="X845" t="s">
        <v>61</v>
      </c>
      <c r="Y845" t="s">
        <v>78</v>
      </c>
      <c r="Z845" s="14">
        <v>10.5</v>
      </c>
      <c r="AA845" s="12">
        <f>YEAR(Table1[Hire_Date])</f>
        <v>2016</v>
      </c>
      <c r="AB84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846" spans="1:28" x14ac:dyDescent="0.25">
      <c r="A846" t="s">
        <v>3505</v>
      </c>
      <c r="B846" s="16" t="s">
        <v>3506</v>
      </c>
      <c r="C846" s="16" t="s">
        <v>3507</v>
      </c>
      <c r="D846" t="s">
        <v>29</v>
      </c>
      <c r="E846" s="15">
        <v>33</v>
      </c>
      <c r="F846" s="16" t="s">
        <v>124</v>
      </c>
      <c r="G846" s="16" t="s">
        <v>141</v>
      </c>
      <c r="H846" s="16" t="s">
        <v>83</v>
      </c>
      <c r="I846" s="16" t="s">
        <v>57</v>
      </c>
      <c r="J846" s="16" t="s">
        <v>34</v>
      </c>
      <c r="K846" s="17" t="s">
        <v>3508</v>
      </c>
      <c r="M846" t="s">
        <v>36</v>
      </c>
      <c r="N846" t="s">
        <v>588</v>
      </c>
      <c r="O846" t="s">
        <v>52</v>
      </c>
      <c r="P846" s="15">
        <v>32</v>
      </c>
      <c r="Q846" s="18">
        <v>151878</v>
      </c>
      <c r="R846" s="19">
        <v>15</v>
      </c>
      <c r="S846" s="14">
        <v>2.8</v>
      </c>
      <c r="T846" s="7">
        <v>92</v>
      </c>
      <c r="U846" s="15">
        <v>5</v>
      </c>
      <c r="V846" s="15">
        <v>17</v>
      </c>
      <c r="W846" s="15">
        <v>24</v>
      </c>
      <c r="X846" t="s">
        <v>61</v>
      </c>
      <c r="Y846" t="s">
        <v>40</v>
      </c>
      <c r="Z846" s="14">
        <v>9.1999999999999993</v>
      </c>
      <c r="AA846" s="12">
        <f>YEAR(Table1[Hire_Date])</f>
        <v>2017</v>
      </c>
      <c r="AB84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847" spans="1:28" x14ac:dyDescent="0.25">
      <c r="A847" t="s">
        <v>3509</v>
      </c>
      <c r="B847" s="16" t="s">
        <v>3510</v>
      </c>
      <c r="C847" s="16" t="s">
        <v>3511</v>
      </c>
      <c r="D847" t="s">
        <v>44</v>
      </c>
      <c r="E847" s="15">
        <v>26</v>
      </c>
      <c r="F847" s="16" t="s">
        <v>124</v>
      </c>
      <c r="G847" s="16" t="s">
        <v>13</v>
      </c>
      <c r="H847" s="16" t="s">
        <v>66</v>
      </c>
      <c r="I847" s="16" t="s">
        <v>33</v>
      </c>
      <c r="J847" s="16" t="s">
        <v>34</v>
      </c>
      <c r="K847" s="17" t="s">
        <v>3512</v>
      </c>
      <c r="M847" t="s">
        <v>36</v>
      </c>
      <c r="N847" t="s">
        <v>86</v>
      </c>
      <c r="O847" t="s">
        <v>60</v>
      </c>
      <c r="P847" s="15">
        <v>9</v>
      </c>
      <c r="Q847" s="18">
        <v>70439</v>
      </c>
      <c r="R847" s="19">
        <v>8</v>
      </c>
      <c r="S847" s="14">
        <v>4.3</v>
      </c>
      <c r="T847" s="7">
        <v>71</v>
      </c>
      <c r="U847" s="15">
        <v>20</v>
      </c>
      <c r="V847" s="15">
        <v>26</v>
      </c>
      <c r="W847" s="15">
        <v>72</v>
      </c>
      <c r="X847" t="s">
        <v>61</v>
      </c>
      <c r="Y847" t="s">
        <v>78</v>
      </c>
      <c r="Z847" s="14">
        <v>0.7</v>
      </c>
      <c r="AA847" s="12">
        <f>YEAR(Table1[Hire_Date])</f>
        <v>2025</v>
      </c>
      <c r="AB84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848" spans="1:28" x14ac:dyDescent="0.25">
      <c r="A848" t="s">
        <v>3513</v>
      </c>
      <c r="B848" s="16" t="s">
        <v>3514</v>
      </c>
      <c r="C848" s="16" t="s">
        <v>3515</v>
      </c>
      <c r="D848" t="s">
        <v>44</v>
      </c>
      <c r="E848" s="15">
        <v>54</v>
      </c>
      <c r="F848" s="16" t="s">
        <v>124</v>
      </c>
      <c r="G848" s="16" t="s">
        <v>13</v>
      </c>
      <c r="H848" s="16" t="s">
        <v>47</v>
      </c>
      <c r="I848" s="16" t="s">
        <v>48</v>
      </c>
      <c r="J848" s="16" t="s">
        <v>34</v>
      </c>
      <c r="K848" s="17" t="s">
        <v>3516</v>
      </c>
      <c r="M848" t="s">
        <v>36</v>
      </c>
      <c r="N848" t="s">
        <v>131</v>
      </c>
      <c r="O848" t="s">
        <v>52</v>
      </c>
      <c r="P848" s="15">
        <v>20</v>
      </c>
      <c r="Q848" s="18">
        <v>110666</v>
      </c>
      <c r="R848" s="19">
        <v>7</v>
      </c>
      <c r="S848" s="14">
        <v>4.5999999999999996</v>
      </c>
      <c r="T848" s="7">
        <v>55</v>
      </c>
      <c r="U848" s="15">
        <v>0</v>
      </c>
      <c r="V848" s="15">
        <v>34</v>
      </c>
      <c r="W848" s="15">
        <v>12</v>
      </c>
      <c r="X848" t="s">
        <v>61</v>
      </c>
      <c r="Y848" t="s">
        <v>40</v>
      </c>
      <c r="Z848" s="14">
        <v>10.3</v>
      </c>
      <c r="AA848" s="12">
        <f>YEAR(Table1[Hire_Date])</f>
        <v>2016</v>
      </c>
      <c r="AB84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849" spans="1:28" x14ac:dyDescent="0.25">
      <c r="A849" t="s">
        <v>3517</v>
      </c>
      <c r="B849" s="16" t="s">
        <v>3518</v>
      </c>
      <c r="C849" s="16" t="s">
        <v>3519</v>
      </c>
      <c r="D849" t="s">
        <v>29</v>
      </c>
      <c r="E849" s="15">
        <v>53</v>
      </c>
      <c r="F849" s="16" t="s">
        <v>124</v>
      </c>
      <c r="G849" s="16" t="s">
        <v>13</v>
      </c>
      <c r="H849" s="16" t="s">
        <v>56</v>
      </c>
      <c r="I849" s="16" t="s">
        <v>48</v>
      </c>
      <c r="J849" s="16" t="s">
        <v>49</v>
      </c>
      <c r="K849" s="17" t="s">
        <v>816</v>
      </c>
      <c r="M849" t="s">
        <v>36</v>
      </c>
      <c r="N849" t="s">
        <v>268</v>
      </c>
      <c r="O849" t="s">
        <v>52</v>
      </c>
      <c r="P849" s="15">
        <v>14</v>
      </c>
      <c r="Q849" s="18">
        <v>78733</v>
      </c>
      <c r="R849" s="19">
        <v>9</v>
      </c>
      <c r="S849" s="14">
        <v>4.2</v>
      </c>
      <c r="T849" s="7">
        <v>98</v>
      </c>
      <c r="U849" s="15">
        <v>2</v>
      </c>
      <c r="V849" s="15">
        <v>10</v>
      </c>
      <c r="W849" s="15">
        <v>34</v>
      </c>
      <c r="X849" t="s">
        <v>61</v>
      </c>
      <c r="Y849" t="s">
        <v>78</v>
      </c>
      <c r="Z849" s="14">
        <v>5.2</v>
      </c>
      <c r="AA849" s="12">
        <f>YEAR(Table1[Hire_Date])</f>
        <v>2021</v>
      </c>
      <c r="AB84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850" spans="1:28" x14ac:dyDescent="0.25">
      <c r="A850" t="s">
        <v>3520</v>
      </c>
      <c r="B850" s="16" t="s">
        <v>3521</v>
      </c>
      <c r="C850" s="16" t="s">
        <v>3522</v>
      </c>
      <c r="D850" t="s">
        <v>29</v>
      </c>
      <c r="E850" s="15">
        <v>53</v>
      </c>
      <c r="F850" s="16" t="s">
        <v>72</v>
      </c>
      <c r="G850" s="16" t="s">
        <v>135</v>
      </c>
      <c r="H850" s="16" t="s">
        <v>66</v>
      </c>
      <c r="I850" s="16" t="s">
        <v>48</v>
      </c>
      <c r="J850" s="16" t="s">
        <v>49</v>
      </c>
      <c r="K850" s="17" t="s">
        <v>2156</v>
      </c>
      <c r="L850" s="17" t="s">
        <v>2861</v>
      </c>
      <c r="M850" t="s">
        <v>76</v>
      </c>
      <c r="N850" t="s">
        <v>510</v>
      </c>
      <c r="O850" t="s">
        <v>52</v>
      </c>
      <c r="P850" s="15">
        <v>12</v>
      </c>
      <c r="Q850" s="18">
        <v>147771</v>
      </c>
      <c r="R850" s="19">
        <v>19</v>
      </c>
      <c r="S850" s="14">
        <v>3.9</v>
      </c>
      <c r="T850" s="7">
        <v>72</v>
      </c>
      <c r="U850" s="15">
        <v>20</v>
      </c>
      <c r="V850" s="15">
        <v>14</v>
      </c>
      <c r="W850" s="15">
        <v>57</v>
      </c>
      <c r="X850" t="s">
        <v>39</v>
      </c>
      <c r="Y850" t="s">
        <v>78</v>
      </c>
      <c r="Z850" s="14">
        <v>6.3</v>
      </c>
      <c r="AA850" s="12">
        <f>YEAR(Table1[Hire_Date])</f>
        <v>2020</v>
      </c>
      <c r="AB85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851" spans="1:28" x14ac:dyDescent="0.25">
      <c r="A851" t="s">
        <v>3523</v>
      </c>
      <c r="B851" s="16" t="s">
        <v>3524</v>
      </c>
      <c r="C851" s="16" t="s">
        <v>3525</v>
      </c>
      <c r="D851" t="s">
        <v>29</v>
      </c>
      <c r="E851" s="15">
        <v>55</v>
      </c>
      <c r="F851" s="16" t="s">
        <v>30</v>
      </c>
      <c r="G851" s="16" t="s">
        <v>13</v>
      </c>
      <c r="H851" s="16" t="s">
        <v>56</v>
      </c>
      <c r="I851" s="16" t="s">
        <v>48</v>
      </c>
      <c r="J851" s="16" t="s">
        <v>34</v>
      </c>
      <c r="K851" s="17" t="s">
        <v>3526</v>
      </c>
      <c r="L851" s="17" t="s">
        <v>3527</v>
      </c>
      <c r="M851" t="s">
        <v>76</v>
      </c>
      <c r="N851" t="s">
        <v>505</v>
      </c>
      <c r="O851" t="s">
        <v>60</v>
      </c>
      <c r="P851" s="15">
        <v>18</v>
      </c>
      <c r="Q851" s="18">
        <v>46438</v>
      </c>
      <c r="R851" s="19">
        <v>18</v>
      </c>
      <c r="S851" s="14">
        <v>3.3</v>
      </c>
      <c r="T851" s="7">
        <v>64</v>
      </c>
      <c r="U851" s="15">
        <v>9</v>
      </c>
      <c r="V851" s="15">
        <v>14</v>
      </c>
      <c r="W851" s="15">
        <v>35</v>
      </c>
      <c r="X851" t="s">
        <v>61</v>
      </c>
      <c r="Y851" t="s">
        <v>78</v>
      </c>
      <c r="Z851" s="14">
        <v>7.9</v>
      </c>
      <c r="AA851" s="12">
        <f>YEAR(Table1[Hire_Date])</f>
        <v>2018</v>
      </c>
      <c r="AB85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852" spans="1:28" x14ac:dyDescent="0.25">
      <c r="A852" t="s">
        <v>3528</v>
      </c>
      <c r="B852" s="16" t="s">
        <v>3529</v>
      </c>
      <c r="C852" s="16" t="s">
        <v>3530</v>
      </c>
      <c r="D852" t="s">
        <v>29</v>
      </c>
      <c r="E852" s="15">
        <v>23</v>
      </c>
      <c r="F852" s="16" t="s">
        <v>90</v>
      </c>
      <c r="G852" s="16" t="s">
        <v>13</v>
      </c>
      <c r="H852" s="16" t="s">
        <v>56</v>
      </c>
      <c r="I852" s="16" t="s">
        <v>48</v>
      </c>
      <c r="J852" s="16" t="s">
        <v>49</v>
      </c>
      <c r="K852" s="17" t="s">
        <v>3531</v>
      </c>
      <c r="M852" t="s">
        <v>36</v>
      </c>
      <c r="N852" t="s">
        <v>243</v>
      </c>
      <c r="O852" t="s">
        <v>38</v>
      </c>
      <c r="P852" s="15">
        <v>16</v>
      </c>
      <c r="Q852" s="18">
        <v>76837</v>
      </c>
      <c r="R852" s="19">
        <v>20</v>
      </c>
      <c r="S852" s="14">
        <v>4.3</v>
      </c>
      <c r="T852" s="7">
        <v>75</v>
      </c>
      <c r="U852" s="15">
        <v>18</v>
      </c>
      <c r="V852" s="15">
        <v>1</v>
      </c>
      <c r="W852" s="15">
        <v>24</v>
      </c>
      <c r="X852" t="s">
        <v>39</v>
      </c>
      <c r="Y852" t="s">
        <v>62</v>
      </c>
      <c r="Z852" s="14">
        <v>8.3000000000000007</v>
      </c>
      <c r="AA852" s="12">
        <f>YEAR(Table1[Hire_Date])</f>
        <v>2018</v>
      </c>
      <c r="AB85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853" spans="1:28" x14ac:dyDescent="0.25">
      <c r="A853" t="s">
        <v>3532</v>
      </c>
      <c r="B853" s="16" t="s">
        <v>3533</v>
      </c>
      <c r="C853" s="16" t="s">
        <v>3534</v>
      </c>
      <c r="D853" t="s">
        <v>44</v>
      </c>
      <c r="E853" s="15">
        <v>54</v>
      </c>
      <c r="F853" s="16" t="s">
        <v>30</v>
      </c>
      <c r="G853" s="16" t="s">
        <v>13</v>
      </c>
      <c r="H853" s="16" t="s">
        <v>47</v>
      </c>
      <c r="I853" s="16" t="s">
        <v>33</v>
      </c>
      <c r="J853" s="16" t="s">
        <v>49</v>
      </c>
      <c r="K853" s="17" t="s">
        <v>3535</v>
      </c>
      <c r="M853" t="s">
        <v>36</v>
      </c>
      <c r="N853" t="s">
        <v>194</v>
      </c>
      <c r="O853" t="s">
        <v>60</v>
      </c>
      <c r="P853" s="15">
        <v>11</v>
      </c>
      <c r="Q853" s="18">
        <v>85282</v>
      </c>
      <c r="R853" s="19">
        <v>22</v>
      </c>
      <c r="S853" s="14">
        <v>2.6</v>
      </c>
      <c r="T853" s="7">
        <v>89</v>
      </c>
      <c r="U853" s="15">
        <v>1</v>
      </c>
      <c r="V853" s="15">
        <v>58</v>
      </c>
      <c r="W853" s="15">
        <v>40</v>
      </c>
      <c r="X853" t="s">
        <v>39</v>
      </c>
      <c r="Y853" t="s">
        <v>78</v>
      </c>
      <c r="Z853" s="14">
        <v>10.5</v>
      </c>
      <c r="AA853" s="12">
        <f>YEAR(Table1[Hire_Date])</f>
        <v>2016</v>
      </c>
      <c r="AB85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854" spans="1:28" x14ac:dyDescent="0.25">
      <c r="A854" t="s">
        <v>3536</v>
      </c>
      <c r="B854" s="16" t="s">
        <v>3537</v>
      </c>
      <c r="C854" s="16" t="s">
        <v>3538</v>
      </c>
      <c r="D854" t="s">
        <v>44</v>
      </c>
      <c r="E854" s="15">
        <v>55</v>
      </c>
      <c r="F854" s="16" t="s">
        <v>72</v>
      </c>
      <c r="G854" s="16" t="s">
        <v>97</v>
      </c>
      <c r="H854" s="16" t="s">
        <v>66</v>
      </c>
      <c r="I854" s="16" t="s">
        <v>33</v>
      </c>
      <c r="J854" s="16" t="s">
        <v>49</v>
      </c>
      <c r="K854" s="17" t="s">
        <v>3539</v>
      </c>
      <c r="M854" t="s">
        <v>36</v>
      </c>
      <c r="N854" t="s">
        <v>137</v>
      </c>
      <c r="O854" t="s">
        <v>60</v>
      </c>
      <c r="P854" s="15">
        <v>32</v>
      </c>
      <c r="Q854" s="18">
        <v>177783</v>
      </c>
      <c r="R854" s="19">
        <v>16</v>
      </c>
      <c r="S854" s="14">
        <v>4.8</v>
      </c>
      <c r="T854" s="7">
        <v>77</v>
      </c>
      <c r="U854" s="15">
        <v>15</v>
      </c>
      <c r="V854" s="15">
        <v>2</v>
      </c>
      <c r="W854" s="15">
        <v>21</v>
      </c>
      <c r="X854" t="s">
        <v>61</v>
      </c>
      <c r="Y854" t="s">
        <v>40</v>
      </c>
      <c r="Z854" s="14">
        <v>0.3</v>
      </c>
      <c r="AA854" s="12">
        <f>YEAR(Table1[Hire_Date])</f>
        <v>2026</v>
      </c>
      <c r="AB85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855" spans="1:28" x14ac:dyDescent="0.25">
      <c r="A855" t="s">
        <v>3540</v>
      </c>
      <c r="B855" s="16" t="s">
        <v>3541</v>
      </c>
      <c r="C855" s="16" t="s">
        <v>3542</v>
      </c>
      <c r="D855" t="s">
        <v>44</v>
      </c>
      <c r="E855" s="15">
        <v>47</v>
      </c>
      <c r="F855" s="16" t="s">
        <v>45</v>
      </c>
      <c r="G855" s="16" t="s">
        <v>82</v>
      </c>
      <c r="H855" s="16" t="s">
        <v>32</v>
      </c>
      <c r="I855" s="16" t="s">
        <v>57</v>
      </c>
      <c r="J855" s="16" t="s">
        <v>34</v>
      </c>
      <c r="K855" s="17" t="s">
        <v>3543</v>
      </c>
      <c r="M855" t="s">
        <v>36</v>
      </c>
      <c r="N855" t="s">
        <v>214</v>
      </c>
      <c r="O855" t="s">
        <v>60</v>
      </c>
      <c r="P855" s="15">
        <v>28</v>
      </c>
      <c r="Q855" s="18">
        <v>98581</v>
      </c>
      <c r="R855" s="19">
        <v>22</v>
      </c>
      <c r="S855" s="14">
        <v>4.3</v>
      </c>
      <c r="T855" s="7">
        <v>61</v>
      </c>
      <c r="U855" s="15">
        <v>5</v>
      </c>
      <c r="V855" s="15">
        <v>42</v>
      </c>
      <c r="W855" s="15">
        <v>10</v>
      </c>
      <c r="X855" t="s">
        <v>39</v>
      </c>
      <c r="Y855" t="s">
        <v>40</v>
      </c>
      <c r="Z855" s="14">
        <v>6.9</v>
      </c>
      <c r="AA855" s="12">
        <f>YEAR(Table1[Hire_Date])</f>
        <v>2019</v>
      </c>
      <c r="AB85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856" spans="1:28" x14ac:dyDescent="0.25">
      <c r="A856" t="s">
        <v>3544</v>
      </c>
      <c r="B856" s="16" t="s">
        <v>3545</v>
      </c>
      <c r="C856" s="16" t="s">
        <v>3546</v>
      </c>
      <c r="D856" t="s">
        <v>44</v>
      </c>
      <c r="E856" s="15">
        <v>43</v>
      </c>
      <c r="F856" s="16" t="s">
        <v>30</v>
      </c>
      <c r="G856" s="16" t="s">
        <v>31</v>
      </c>
      <c r="H856" s="16" t="s">
        <v>56</v>
      </c>
      <c r="I856" s="16" t="s">
        <v>57</v>
      </c>
      <c r="J856" s="16" t="s">
        <v>34</v>
      </c>
      <c r="K856" s="17" t="s">
        <v>3547</v>
      </c>
      <c r="M856" t="s">
        <v>36</v>
      </c>
      <c r="N856" t="s">
        <v>126</v>
      </c>
      <c r="O856" t="s">
        <v>60</v>
      </c>
      <c r="P856" s="15">
        <v>9</v>
      </c>
      <c r="Q856" s="18">
        <v>139776</v>
      </c>
      <c r="R856" s="19">
        <v>18</v>
      </c>
      <c r="S856" s="14">
        <v>4</v>
      </c>
      <c r="T856" s="7">
        <v>60</v>
      </c>
      <c r="U856" s="15">
        <v>0</v>
      </c>
      <c r="V856" s="15">
        <v>52</v>
      </c>
      <c r="W856" s="15">
        <v>45</v>
      </c>
      <c r="X856" t="s">
        <v>39</v>
      </c>
      <c r="Y856" t="s">
        <v>40</v>
      </c>
      <c r="Z856" s="14">
        <v>8.5</v>
      </c>
      <c r="AA856" s="12">
        <f>YEAR(Table1[Hire_Date])</f>
        <v>2018</v>
      </c>
      <c r="AB85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857" spans="1:28" x14ac:dyDescent="0.25">
      <c r="A857" t="s">
        <v>3548</v>
      </c>
      <c r="B857" s="16" t="s">
        <v>3549</v>
      </c>
      <c r="C857" s="16" t="s">
        <v>3550</v>
      </c>
      <c r="D857" t="s">
        <v>44</v>
      </c>
      <c r="E857" s="15">
        <v>49</v>
      </c>
      <c r="F857" s="16" t="s">
        <v>30</v>
      </c>
      <c r="G857" s="16" t="s">
        <v>31</v>
      </c>
      <c r="H857" s="16" t="s">
        <v>83</v>
      </c>
      <c r="I857" s="16" t="s">
        <v>48</v>
      </c>
      <c r="J857" s="16" t="s">
        <v>49</v>
      </c>
      <c r="K857" s="17" t="s">
        <v>3551</v>
      </c>
      <c r="M857" t="s">
        <v>36</v>
      </c>
      <c r="N857" t="s">
        <v>234</v>
      </c>
      <c r="O857" t="s">
        <v>52</v>
      </c>
      <c r="P857" s="15">
        <v>2</v>
      </c>
      <c r="Q857" s="18">
        <v>103292</v>
      </c>
      <c r="R857" s="19">
        <v>20</v>
      </c>
      <c r="S857" s="14">
        <v>3</v>
      </c>
      <c r="T857" s="7">
        <v>57</v>
      </c>
      <c r="U857" s="15">
        <v>10</v>
      </c>
      <c r="V857" s="15">
        <v>26</v>
      </c>
      <c r="W857" s="15">
        <v>6</v>
      </c>
      <c r="X857" t="s">
        <v>61</v>
      </c>
      <c r="Y857" t="s">
        <v>78</v>
      </c>
      <c r="Z857" s="14">
        <v>4.8</v>
      </c>
      <c r="AA857" s="12">
        <f>YEAR(Table1[Hire_Date])</f>
        <v>2021</v>
      </c>
      <c r="AB85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858" spans="1:28" x14ac:dyDescent="0.25">
      <c r="A858" t="s">
        <v>3552</v>
      </c>
      <c r="B858" s="16" t="s">
        <v>3553</v>
      </c>
      <c r="C858" s="16" t="s">
        <v>3554</v>
      </c>
      <c r="D858" t="s">
        <v>29</v>
      </c>
      <c r="E858" s="15">
        <v>40</v>
      </c>
      <c r="F858" s="16" t="s">
        <v>45</v>
      </c>
      <c r="G858" s="16" t="s">
        <v>82</v>
      </c>
      <c r="H858" s="16" t="s">
        <v>47</v>
      </c>
      <c r="I858" s="16" t="s">
        <v>57</v>
      </c>
      <c r="J858" s="16" t="s">
        <v>49</v>
      </c>
      <c r="K858" s="17" t="s">
        <v>3555</v>
      </c>
      <c r="M858" t="s">
        <v>36</v>
      </c>
      <c r="N858" t="s">
        <v>2294</v>
      </c>
      <c r="O858" t="s">
        <v>60</v>
      </c>
      <c r="P858" s="15">
        <v>11</v>
      </c>
      <c r="Q858" s="18">
        <v>115411</v>
      </c>
      <c r="R858" s="19">
        <v>13</v>
      </c>
      <c r="S858" s="14">
        <v>3.6</v>
      </c>
      <c r="T858" s="7">
        <v>83</v>
      </c>
      <c r="U858" s="15">
        <v>18</v>
      </c>
      <c r="V858" s="15">
        <v>17</v>
      </c>
      <c r="W858" s="15">
        <v>51</v>
      </c>
      <c r="X858" t="s">
        <v>39</v>
      </c>
      <c r="Y858" t="s">
        <v>40</v>
      </c>
      <c r="Z858" s="14">
        <v>9.6999999999999993</v>
      </c>
      <c r="AA858" s="12">
        <f>YEAR(Table1[Hire_Date])</f>
        <v>2016</v>
      </c>
      <c r="AB85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859" spans="1:28" x14ac:dyDescent="0.25">
      <c r="A859" t="s">
        <v>3556</v>
      </c>
      <c r="B859" s="16" t="s">
        <v>3557</v>
      </c>
      <c r="C859" s="16" t="s">
        <v>3558</v>
      </c>
      <c r="D859" t="s">
        <v>44</v>
      </c>
      <c r="E859" s="15">
        <v>27</v>
      </c>
      <c r="F859" s="16" t="s">
        <v>90</v>
      </c>
      <c r="G859" s="16" t="s">
        <v>281</v>
      </c>
      <c r="H859" s="16" t="s">
        <v>83</v>
      </c>
      <c r="I859" s="16" t="s">
        <v>33</v>
      </c>
      <c r="J859" s="16" t="s">
        <v>49</v>
      </c>
      <c r="K859" s="17" t="s">
        <v>3559</v>
      </c>
      <c r="M859" t="s">
        <v>36</v>
      </c>
      <c r="N859" t="s">
        <v>491</v>
      </c>
      <c r="O859" t="s">
        <v>38</v>
      </c>
      <c r="P859" s="15">
        <v>35</v>
      </c>
      <c r="Q859" s="18">
        <v>161997</v>
      </c>
      <c r="R859" s="19">
        <v>19</v>
      </c>
      <c r="S859" s="14">
        <v>3.2</v>
      </c>
      <c r="T859" s="7">
        <v>54</v>
      </c>
      <c r="U859" s="15">
        <v>9</v>
      </c>
      <c r="V859" s="15">
        <v>5</v>
      </c>
      <c r="W859" s="15">
        <v>25</v>
      </c>
      <c r="X859" t="s">
        <v>61</v>
      </c>
      <c r="Y859" t="s">
        <v>78</v>
      </c>
      <c r="Z859" s="14">
        <v>5.2</v>
      </c>
      <c r="AA859" s="12">
        <f>YEAR(Table1[Hire_Date])</f>
        <v>2021</v>
      </c>
      <c r="AB85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860" spans="1:28" x14ac:dyDescent="0.25">
      <c r="A860" t="s">
        <v>3560</v>
      </c>
      <c r="B860" s="16" t="s">
        <v>3561</v>
      </c>
      <c r="C860" s="16" t="s">
        <v>3562</v>
      </c>
      <c r="D860" t="s">
        <v>29</v>
      </c>
      <c r="E860" s="15">
        <v>44</v>
      </c>
      <c r="F860" s="16" t="s">
        <v>30</v>
      </c>
      <c r="G860" s="16" t="s">
        <v>31</v>
      </c>
      <c r="H860" s="16" t="s">
        <v>56</v>
      </c>
      <c r="I860" s="16" t="s">
        <v>48</v>
      </c>
      <c r="J860" s="16" t="s">
        <v>34</v>
      </c>
      <c r="K860" s="17" t="s">
        <v>3563</v>
      </c>
      <c r="L860" s="17" t="s">
        <v>3564</v>
      </c>
      <c r="M860" t="s">
        <v>76</v>
      </c>
      <c r="N860" t="s">
        <v>155</v>
      </c>
      <c r="O860" t="s">
        <v>52</v>
      </c>
      <c r="P860" s="15">
        <v>14</v>
      </c>
      <c r="Q860" s="18">
        <v>113285</v>
      </c>
      <c r="R860" s="19">
        <v>7</v>
      </c>
      <c r="S860" s="14">
        <v>4.7</v>
      </c>
      <c r="T860" s="7">
        <v>60</v>
      </c>
      <c r="U860" s="15">
        <v>2</v>
      </c>
      <c r="V860" s="15">
        <v>59</v>
      </c>
      <c r="W860" s="15">
        <v>46</v>
      </c>
      <c r="X860" t="s">
        <v>39</v>
      </c>
      <c r="Y860" t="s">
        <v>62</v>
      </c>
      <c r="Z860" s="14">
        <v>9.6</v>
      </c>
      <c r="AA860" s="12">
        <f>YEAR(Table1[Hire_Date])</f>
        <v>2017</v>
      </c>
      <c r="AB86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861" spans="1:28" x14ac:dyDescent="0.25">
      <c r="A861" t="s">
        <v>3565</v>
      </c>
      <c r="B861" s="16" t="s">
        <v>3566</v>
      </c>
      <c r="C861" s="16" t="s">
        <v>3567</v>
      </c>
      <c r="D861" t="s">
        <v>29</v>
      </c>
      <c r="E861" s="15">
        <v>50</v>
      </c>
      <c r="F861" s="16" t="s">
        <v>124</v>
      </c>
      <c r="G861" s="16" t="s">
        <v>104</v>
      </c>
      <c r="H861" s="16" t="s">
        <v>56</v>
      </c>
      <c r="I861" s="16" t="s">
        <v>33</v>
      </c>
      <c r="J861" s="16" t="s">
        <v>34</v>
      </c>
      <c r="K861" s="17" t="s">
        <v>3568</v>
      </c>
      <c r="M861" t="s">
        <v>36</v>
      </c>
      <c r="N861" t="s">
        <v>1237</v>
      </c>
      <c r="O861" t="s">
        <v>38</v>
      </c>
      <c r="P861" s="15">
        <v>25</v>
      </c>
      <c r="Q861" s="18">
        <v>92286</v>
      </c>
      <c r="R861" s="19">
        <v>22</v>
      </c>
      <c r="S861" s="14">
        <v>4.7</v>
      </c>
      <c r="T861" s="7">
        <v>97</v>
      </c>
      <c r="U861" s="15">
        <v>9</v>
      </c>
      <c r="V861" s="15">
        <v>52</v>
      </c>
      <c r="W861" s="15">
        <v>62</v>
      </c>
      <c r="X861" t="s">
        <v>39</v>
      </c>
      <c r="Y861" t="s">
        <v>62</v>
      </c>
      <c r="Z861" s="14">
        <v>4.8</v>
      </c>
      <c r="AA861" s="12">
        <f>YEAR(Table1[Hire_Date])</f>
        <v>2021</v>
      </c>
      <c r="AB86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862" spans="1:28" x14ac:dyDescent="0.25">
      <c r="A862" t="s">
        <v>3569</v>
      </c>
      <c r="B862" s="16" t="s">
        <v>3570</v>
      </c>
      <c r="C862" s="16" t="s">
        <v>3571</v>
      </c>
      <c r="D862" t="s">
        <v>29</v>
      </c>
      <c r="E862" s="15">
        <v>27</v>
      </c>
      <c r="F862" s="16" t="s">
        <v>103</v>
      </c>
      <c r="G862" s="16" t="s">
        <v>13</v>
      </c>
      <c r="H862" s="16" t="s">
        <v>66</v>
      </c>
      <c r="I862" s="16" t="s">
        <v>48</v>
      </c>
      <c r="J862" s="16" t="s">
        <v>49</v>
      </c>
      <c r="K862" s="17" t="s">
        <v>2055</v>
      </c>
      <c r="M862" t="s">
        <v>36</v>
      </c>
      <c r="N862" t="s">
        <v>149</v>
      </c>
      <c r="O862" t="s">
        <v>60</v>
      </c>
      <c r="P862" s="15">
        <v>12</v>
      </c>
      <c r="Q862" s="18">
        <v>46154</v>
      </c>
      <c r="R862" s="19">
        <v>18</v>
      </c>
      <c r="S862" s="14">
        <v>4.5999999999999996</v>
      </c>
      <c r="T862" s="7">
        <v>94</v>
      </c>
      <c r="U862" s="15">
        <v>6</v>
      </c>
      <c r="V862" s="15">
        <v>60</v>
      </c>
      <c r="W862" s="15">
        <v>32</v>
      </c>
      <c r="X862" t="s">
        <v>39</v>
      </c>
      <c r="Y862" t="s">
        <v>78</v>
      </c>
      <c r="Z862" s="14">
        <v>7</v>
      </c>
      <c r="AA862" s="12">
        <f>YEAR(Table1[Hire_Date])</f>
        <v>2019</v>
      </c>
      <c r="AB86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863" spans="1:28" x14ac:dyDescent="0.25">
      <c r="A863" t="s">
        <v>3572</v>
      </c>
      <c r="B863" s="16" t="s">
        <v>3573</v>
      </c>
      <c r="C863" s="16" t="s">
        <v>3574</v>
      </c>
      <c r="D863" t="s">
        <v>29</v>
      </c>
      <c r="E863" s="15">
        <v>48</v>
      </c>
      <c r="F863" s="16" t="s">
        <v>124</v>
      </c>
      <c r="G863" s="16" t="s">
        <v>141</v>
      </c>
      <c r="H863" s="16" t="s">
        <v>83</v>
      </c>
      <c r="I863" s="16" t="s">
        <v>33</v>
      </c>
      <c r="J863" s="16" t="s">
        <v>49</v>
      </c>
      <c r="K863" s="17" t="s">
        <v>3575</v>
      </c>
      <c r="M863" t="s">
        <v>36</v>
      </c>
      <c r="N863" t="s">
        <v>120</v>
      </c>
      <c r="O863" t="s">
        <v>60</v>
      </c>
      <c r="P863" s="15">
        <v>20</v>
      </c>
      <c r="Q863" s="18">
        <v>115058</v>
      </c>
      <c r="R863" s="19">
        <v>18</v>
      </c>
      <c r="S863" s="14">
        <v>2.5</v>
      </c>
      <c r="T863" s="7">
        <v>61</v>
      </c>
      <c r="U863" s="15">
        <v>10</v>
      </c>
      <c r="V863" s="15">
        <v>38</v>
      </c>
      <c r="W863" s="15">
        <v>30</v>
      </c>
      <c r="X863" t="s">
        <v>61</v>
      </c>
      <c r="Y863" t="s">
        <v>40</v>
      </c>
      <c r="Z863" s="14">
        <v>7.2</v>
      </c>
      <c r="AA863" s="12">
        <f>YEAR(Table1[Hire_Date])</f>
        <v>2019</v>
      </c>
      <c r="AB86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864" spans="1:28" x14ac:dyDescent="0.25">
      <c r="A864" t="s">
        <v>3576</v>
      </c>
      <c r="B864" s="16" t="s">
        <v>3577</v>
      </c>
      <c r="C864" s="16" t="s">
        <v>3578</v>
      </c>
      <c r="D864" t="s">
        <v>29</v>
      </c>
      <c r="E864" s="15">
        <v>38</v>
      </c>
      <c r="F864" s="16" t="s">
        <v>45</v>
      </c>
      <c r="G864" s="16" t="s">
        <v>46</v>
      </c>
      <c r="H864" s="16" t="s">
        <v>56</v>
      </c>
      <c r="I864" s="16" t="s">
        <v>57</v>
      </c>
      <c r="J864" s="16" t="s">
        <v>49</v>
      </c>
      <c r="K864" s="17" t="s">
        <v>3579</v>
      </c>
      <c r="M864" t="s">
        <v>36</v>
      </c>
      <c r="N864" t="s">
        <v>469</v>
      </c>
      <c r="O864" t="s">
        <v>38</v>
      </c>
      <c r="P864" s="15">
        <v>15</v>
      </c>
      <c r="Q864" s="18">
        <v>74662</v>
      </c>
      <c r="R864" s="19">
        <v>23</v>
      </c>
      <c r="S864" s="14">
        <v>3.4</v>
      </c>
      <c r="T864" s="7">
        <v>70</v>
      </c>
      <c r="U864" s="15">
        <v>18</v>
      </c>
      <c r="V864" s="15">
        <v>19</v>
      </c>
      <c r="W864" s="15">
        <v>22</v>
      </c>
      <c r="X864" t="s">
        <v>39</v>
      </c>
      <c r="Y864" t="s">
        <v>78</v>
      </c>
      <c r="Z864" s="14">
        <v>8</v>
      </c>
      <c r="AA864" s="12">
        <f>YEAR(Table1[Hire_Date])</f>
        <v>2018</v>
      </c>
      <c r="AB86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865" spans="1:28" x14ac:dyDescent="0.25">
      <c r="A865" t="s">
        <v>3580</v>
      </c>
      <c r="B865" s="16" t="s">
        <v>3581</v>
      </c>
      <c r="C865" s="16" t="s">
        <v>3582</v>
      </c>
      <c r="D865" t="s">
        <v>44</v>
      </c>
      <c r="E865" s="15">
        <v>40</v>
      </c>
      <c r="F865" s="16" t="s">
        <v>72</v>
      </c>
      <c r="G865" s="16" t="s">
        <v>73</v>
      </c>
      <c r="H865" s="16" t="s">
        <v>66</v>
      </c>
      <c r="I865" s="16" t="s">
        <v>57</v>
      </c>
      <c r="J865" s="16" t="s">
        <v>49</v>
      </c>
      <c r="K865" s="17" t="s">
        <v>3583</v>
      </c>
      <c r="M865" t="s">
        <v>36</v>
      </c>
      <c r="N865" t="s">
        <v>120</v>
      </c>
      <c r="O865" t="s">
        <v>38</v>
      </c>
      <c r="P865" s="15">
        <v>22</v>
      </c>
      <c r="Q865" s="18">
        <v>47333</v>
      </c>
      <c r="R865" s="19">
        <v>20</v>
      </c>
      <c r="S865" s="14">
        <v>3.5</v>
      </c>
      <c r="T865" s="7">
        <v>76</v>
      </c>
      <c r="U865" s="15">
        <v>18</v>
      </c>
      <c r="V865" s="15">
        <v>12</v>
      </c>
      <c r="W865" s="15">
        <v>63</v>
      </c>
      <c r="X865" t="s">
        <v>61</v>
      </c>
      <c r="Y865" t="s">
        <v>40</v>
      </c>
      <c r="Z865" s="14">
        <v>5.8</v>
      </c>
      <c r="AA865" s="12">
        <f>YEAR(Table1[Hire_Date])</f>
        <v>2020</v>
      </c>
      <c r="AB86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866" spans="1:28" x14ac:dyDescent="0.25">
      <c r="A866" t="s">
        <v>3584</v>
      </c>
      <c r="B866" s="16" t="s">
        <v>3585</v>
      </c>
      <c r="C866" s="16" t="s">
        <v>3586</v>
      </c>
      <c r="D866" t="s">
        <v>44</v>
      </c>
      <c r="E866" s="15">
        <v>55</v>
      </c>
      <c r="F866" s="16" t="s">
        <v>103</v>
      </c>
      <c r="G866" s="16" t="s">
        <v>13</v>
      </c>
      <c r="H866" s="16" t="s">
        <v>32</v>
      </c>
      <c r="I866" s="16" t="s">
        <v>33</v>
      </c>
      <c r="J866" s="16" t="s">
        <v>34</v>
      </c>
      <c r="K866" s="17" t="s">
        <v>3587</v>
      </c>
      <c r="M866" t="s">
        <v>36</v>
      </c>
      <c r="N866" t="s">
        <v>77</v>
      </c>
      <c r="O866" t="s">
        <v>52</v>
      </c>
      <c r="P866" s="15">
        <v>3</v>
      </c>
      <c r="Q866" s="18">
        <v>70694</v>
      </c>
      <c r="R866" s="19">
        <v>9</v>
      </c>
      <c r="S866" s="14">
        <v>2.9</v>
      </c>
      <c r="T866" s="7">
        <v>79</v>
      </c>
      <c r="U866" s="15">
        <v>4</v>
      </c>
      <c r="V866" s="15">
        <v>24</v>
      </c>
      <c r="W866" s="15">
        <v>67</v>
      </c>
      <c r="X866" t="s">
        <v>61</v>
      </c>
      <c r="Y866" t="s">
        <v>78</v>
      </c>
      <c r="Z866" s="14">
        <v>1.7</v>
      </c>
      <c r="AA866" s="12">
        <f>YEAR(Table1[Hire_Date])</f>
        <v>2024</v>
      </c>
      <c r="AB86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867" spans="1:28" x14ac:dyDescent="0.25">
      <c r="A867" t="s">
        <v>3588</v>
      </c>
      <c r="B867" s="16" t="s">
        <v>3589</v>
      </c>
      <c r="C867" s="16" t="s">
        <v>3590</v>
      </c>
      <c r="D867" t="s">
        <v>44</v>
      </c>
      <c r="E867" s="15">
        <v>43</v>
      </c>
      <c r="F867" s="16" t="s">
        <v>90</v>
      </c>
      <c r="G867" s="16" t="s">
        <v>281</v>
      </c>
      <c r="H867" s="16" t="s">
        <v>47</v>
      </c>
      <c r="I867" s="16" t="s">
        <v>33</v>
      </c>
      <c r="J867" s="16" t="s">
        <v>49</v>
      </c>
      <c r="K867" s="17" t="s">
        <v>2820</v>
      </c>
      <c r="M867" t="s">
        <v>36</v>
      </c>
      <c r="N867" t="s">
        <v>896</v>
      </c>
      <c r="O867" t="s">
        <v>52</v>
      </c>
      <c r="P867" s="15">
        <v>13</v>
      </c>
      <c r="Q867" s="18">
        <v>82684</v>
      </c>
      <c r="R867" s="19">
        <v>6</v>
      </c>
      <c r="S867" s="14">
        <v>4.5</v>
      </c>
      <c r="T867" s="7">
        <v>91</v>
      </c>
      <c r="U867" s="15">
        <v>0</v>
      </c>
      <c r="V867" s="15">
        <v>19</v>
      </c>
      <c r="W867" s="15">
        <v>14</v>
      </c>
      <c r="X867" t="s">
        <v>39</v>
      </c>
      <c r="Y867" t="s">
        <v>78</v>
      </c>
      <c r="Z867" s="14">
        <v>1.1000000000000001</v>
      </c>
      <c r="AA867" s="12">
        <f>YEAR(Table1[Hire_Date])</f>
        <v>2025</v>
      </c>
      <c r="AB86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868" spans="1:28" x14ac:dyDescent="0.25">
      <c r="A868" t="s">
        <v>3591</v>
      </c>
      <c r="B868" s="16" t="s">
        <v>3592</v>
      </c>
      <c r="C868" s="16" t="s">
        <v>3593</v>
      </c>
      <c r="D868" t="s">
        <v>44</v>
      </c>
      <c r="E868" s="15">
        <v>30</v>
      </c>
      <c r="F868" s="16" t="s">
        <v>90</v>
      </c>
      <c r="G868" s="16" t="s">
        <v>13</v>
      </c>
      <c r="H868" s="16" t="s">
        <v>83</v>
      </c>
      <c r="I868" s="16" t="s">
        <v>48</v>
      </c>
      <c r="J868" s="16" t="s">
        <v>49</v>
      </c>
      <c r="K868" s="17" t="s">
        <v>3594</v>
      </c>
      <c r="L868" s="17" t="s">
        <v>1813</v>
      </c>
      <c r="M868" t="s">
        <v>76</v>
      </c>
      <c r="N868" t="s">
        <v>180</v>
      </c>
      <c r="O868" t="s">
        <v>52</v>
      </c>
      <c r="P868" s="15">
        <v>31</v>
      </c>
      <c r="Q868" s="18">
        <v>154703</v>
      </c>
      <c r="R868" s="19">
        <v>15</v>
      </c>
      <c r="S868" s="14">
        <v>4.8</v>
      </c>
      <c r="T868" s="7">
        <v>79</v>
      </c>
      <c r="U868" s="15">
        <v>19</v>
      </c>
      <c r="V868" s="15">
        <v>16</v>
      </c>
      <c r="W868" s="15">
        <v>41</v>
      </c>
      <c r="X868" t="s">
        <v>39</v>
      </c>
      <c r="Y868" t="s">
        <v>40</v>
      </c>
      <c r="Z868" s="14">
        <v>5</v>
      </c>
      <c r="AA868" s="12">
        <f>YEAR(Table1[Hire_Date])</f>
        <v>2021</v>
      </c>
      <c r="AB86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869" spans="1:28" x14ac:dyDescent="0.25">
      <c r="A869" t="s">
        <v>3595</v>
      </c>
      <c r="B869" s="16" t="s">
        <v>3596</v>
      </c>
      <c r="C869" s="16" t="s">
        <v>3597</v>
      </c>
      <c r="D869" t="s">
        <v>29</v>
      </c>
      <c r="E869" s="15">
        <v>36</v>
      </c>
      <c r="F869" s="16" t="s">
        <v>124</v>
      </c>
      <c r="G869" s="16" t="s">
        <v>141</v>
      </c>
      <c r="H869" s="16" t="s">
        <v>47</v>
      </c>
      <c r="I869" s="16" t="s">
        <v>33</v>
      </c>
      <c r="J869" s="16" t="s">
        <v>34</v>
      </c>
      <c r="K869" s="17" t="s">
        <v>3598</v>
      </c>
      <c r="M869" t="s">
        <v>36</v>
      </c>
      <c r="N869" t="s">
        <v>550</v>
      </c>
      <c r="O869" t="s">
        <v>60</v>
      </c>
      <c r="P869" s="15">
        <v>35</v>
      </c>
      <c r="Q869" s="18">
        <v>148916</v>
      </c>
      <c r="R869" s="19">
        <v>20</v>
      </c>
      <c r="S869" s="14">
        <v>4.9000000000000004</v>
      </c>
      <c r="T869" s="7">
        <v>76</v>
      </c>
      <c r="U869" s="15">
        <v>18</v>
      </c>
      <c r="V869" s="15">
        <v>3</v>
      </c>
      <c r="W869" s="15">
        <v>74</v>
      </c>
      <c r="X869" t="s">
        <v>61</v>
      </c>
      <c r="Y869" t="s">
        <v>78</v>
      </c>
      <c r="Z869" s="14">
        <v>0.7</v>
      </c>
      <c r="AA869" s="12">
        <f>YEAR(Table1[Hire_Date])</f>
        <v>2025</v>
      </c>
      <c r="AB86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870" spans="1:28" x14ac:dyDescent="0.25">
      <c r="A870" t="s">
        <v>3599</v>
      </c>
      <c r="B870" s="16" t="s">
        <v>3600</v>
      </c>
      <c r="C870" s="16" t="s">
        <v>3601</v>
      </c>
      <c r="D870" t="s">
        <v>29</v>
      </c>
      <c r="E870" s="15">
        <v>32</v>
      </c>
      <c r="F870" s="16" t="s">
        <v>90</v>
      </c>
      <c r="G870" s="16" t="s">
        <v>13</v>
      </c>
      <c r="H870" s="16" t="s">
        <v>32</v>
      </c>
      <c r="I870" s="16" t="s">
        <v>57</v>
      </c>
      <c r="J870" s="16" t="s">
        <v>34</v>
      </c>
      <c r="K870" s="17" t="s">
        <v>3602</v>
      </c>
      <c r="M870" t="s">
        <v>36</v>
      </c>
      <c r="N870" t="s">
        <v>669</v>
      </c>
      <c r="O870" t="s">
        <v>38</v>
      </c>
      <c r="P870" s="15">
        <v>1</v>
      </c>
      <c r="Q870" s="18">
        <v>124001</v>
      </c>
      <c r="R870" s="19">
        <v>22</v>
      </c>
      <c r="S870" s="14">
        <v>3.6</v>
      </c>
      <c r="T870" s="7">
        <v>89</v>
      </c>
      <c r="U870" s="15">
        <v>6</v>
      </c>
      <c r="V870" s="15">
        <v>8</v>
      </c>
      <c r="W870" s="15">
        <v>31</v>
      </c>
      <c r="X870" t="s">
        <v>61</v>
      </c>
      <c r="Y870" t="s">
        <v>40</v>
      </c>
      <c r="Z870" s="14">
        <v>6.8</v>
      </c>
      <c r="AA870" s="12">
        <f>YEAR(Table1[Hire_Date])</f>
        <v>2019</v>
      </c>
      <c r="AB87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871" spans="1:28" x14ac:dyDescent="0.25">
      <c r="A871" t="s">
        <v>3603</v>
      </c>
      <c r="B871" s="16" t="s">
        <v>3604</v>
      </c>
      <c r="C871" s="16" t="s">
        <v>3605</v>
      </c>
      <c r="D871" t="s">
        <v>44</v>
      </c>
      <c r="E871" s="15">
        <v>53</v>
      </c>
      <c r="F871" s="16" t="s">
        <v>103</v>
      </c>
      <c r="G871" s="16" t="s">
        <v>147</v>
      </c>
      <c r="H871" s="16" t="s">
        <v>56</v>
      </c>
      <c r="I871" s="16" t="s">
        <v>48</v>
      </c>
      <c r="J871" s="16" t="s">
        <v>34</v>
      </c>
      <c r="K871" s="17" t="s">
        <v>3606</v>
      </c>
      <c r="M871" t="s">
        <v>36</v>
      </c>
      <c r="N871" t="s">
        <v>277</v>
      </c>
      <c r="O871" t="s">
        <v>60</v>
      </c>
      <c r="P871" s="15">
        <v>35</v>
      </c>
      <c r="Q871" s="18">
        <v>85003</v>
      </c>
      <c r="R871" s="19">
        <v>7</v>
      </c>
      <c r="S871" s="14">
        <v>4.7</v>
      </c>
      <c r="T871" s="7">
        <v>63</v>
      </c>
      <c r="U871" s="15">
        <v>17</v>
      </c>
      <c r="V871" s="15">
        <v>53</v>
      </c>
      <c r="W871" s="15">
        <v>55</v>
      </c>
      <c r="X871" t="s">
        <v>39</v>
      </c>
      <c r="Y871" t="s">
        <v>78</v>
      </c>
      <c r="Z871" s="14">
        <v>6</v>
      </c>
      <c r="AA871" s="12">
        <f>YEAR(Table1[Hire_Date])</f>
        <v>2020</v>
      </c>
      <c r="AB87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872" spans="1:28" x14ac:dyDescent="0.25">
      <c r="A872" t="s">
        <v>3607</v>
      </c>
      <c r="B872" s="16" t="s">
        <v>3608</v>
      </c>
      <c r="C872" s="16" t="s">
        <v>3609</v>
      </c>
      <c r="D872" t="s">
        <v>29</v>
      </c>
      <c r="E872" s="15">
        <v>36</v>
      </c>
      <c r="F872" s="16" t="s">
        <v>90</v>
      </c>
      <c r="G872" s="16" t="s">
        <v>13</v>
      </c>
      <c r="H872" s="16" t="s">
        <v>66</v>
      </c>
      <c r="I872" s="16" t="s">
        <v>48</v>
      </c>
      <c r="J872" s="16" t="s">
        <v>49</v>
      </c>
      <c r="K872" s="17" t="s">
        <v>3610</v>
      </c>
      <c r="M872" t="s">
        <v>36</v>
      </c>
      <c r="N872" t="s">
        <v>896</v>
      </c>
      <c r="O872" t="s">
        <v>60</v>
      </c>
      <c r="P872" s="15">
        <v>2</v>
      </c>
      <c r="Q872" s="18">
        <v>101576</v>
      </c>
      <c r="R872" s="19">
        <v>13</v>
      </c>
      <c r="S872" s="14">
        <v>4.9000000000000004</v>
      </c>
      <c r="T872" s="7">
        <v>69</v>
      </c>
      <c r="U872" s="15">
        <v>16</v>
      </c>
      <c r="V872" s="15">
        <v>10</v>
      </c>
      <c r="W872" s="15">
        <v>20</v>
      </c>
      <c r="X872" t="s">
        <v>61</v>
      </c>
      <c r="Y872" t="s">
        <v>78</v>
      </c>
      <c r="Z872" s="14">
        <v>7.2</v>
      </c>
      <c r="AA872" s="12">
        <f>YEAR(Table1[Hire_Date])</f>
        <v>2019</v>
      </c>
      <c r="AB87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873" spans="1:28" x14ac:dyDescent="0.25">
      <c r="A873" t="s">
        <v>3611</v>
      </c>
      <c r="B873" s="16" t="s">
        <v>3612</v>
      </c>
      <c r="C873" s="16" t="s">
        <v>3613</v>
      </c>
      <c r="D873" t="s">
        <v>29</v>
      </c>
      <c r="E873" s="15">
        <v>42</v>
      </c>
      <c r="F873" s="16" t="s">
        <v>103</v>
      </c>
      <c r="G873" s="16" t="s">
        <v>147</v>
      </c>
      <c r="H873" s="16" t="s">
        <v>47</v>
      </c>
      <c r="I873" s="16" t="s">
        <v>48</v>
      </c>
      <c r="J873" s="16" t="s">
        <v>49</v>
      </c>
      <c r="K873" s="17" t="s">
        <v>3614</v>
      </c>
      <c r="L873" s="17" t="s">
        <v>3615</v>
      </c>
      <c r="M873" t="s">
        <v>76</v>
      </c>
      <c r="N873" t="s">
        <v>180</v>
      </c>
      <c r="O873" t="s">
        <v>52</v>
      </c>
      <c r="P873" s="15">
        <v>13</v>
      </c>
      <c r="Q873" s="18">
        <v>61587</v>
      </c>
      <c r="R873" s="19">
        <v>7</v>
      </c>
      <c r="S873" s="14">
        <v>4</v>
      </c>
      <c r="T873" s="7">
        <v>86</v>
      </c>
      <c r="U873" s="15">
        <v>7</v>
      </c>
      <c r="V873" s="15">
        <v>37</v>
      </c>
      <c r="W873" s="15">
        <v>38</v>
      </c>
      <c r="X873" t="s">
        <v>39</v>
      </c>
      <c r="Y873" t="s">
        <v>62</v>
      </c>
      <c r="Z873" s="14">
        <v>5.2</v>
      </c>
      <c r="AA873" s="12">
        <f>YEAR(Table1[Hire_Date])</f>
        <v>2021</v>
      </c>
      <c r="AB87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874" spans="1:28" x14ac:dyDescent="0.25">
      <c r="A874" t="s">
        <v>3616</v>
      </c>
      <c r="B874" s="16" t="s">
        <v>3617</v>
      </c>
      <c r="C874" s="16" t="s">
        <v>3618</v>
      </c>
      <c r="D874" t="s">
        <v>44</v>
      </c>
      <c r="E874" s="15">
        <v>25</v>
      </c>
      <c r="F874" s="16" t="s">
        <v>124</v>
      </c>
      <c r="G874" s="16" t="s">
        <v>141</v>
      </c>
      <c r="H874" s="16" t="s">
        <v>66</v>
      </c>
      <c r="I874" s="16" t="s">
        <v>48</v>
      </c>
      <c r="J874" s="16" t="s">
        <v>34</v>
      </c>
      <c r="K874" s="17" t="s">
        <v>3619</v>
      </c>
      <c r="M874" t="s">
        <v>36</v>
      </c>
      <c r="N874" t="s">
        <v>631</v>
      </c>
      <c r="O874" t="s">
        <v>38</v>
      </c>
      <c r="P874" s="15">
        <v>16</v>
      </c>
      <c r="Q874" s="18">
        <v>136123</v>
      </c>
      <c r="R874" s="19">
        <v>8</v>
      </c>
      <c r="S874" s="14">
        <v>3.5</v>
      </c>
      <c r="T874" s="7">
        <v>69</v>
      </c>
      <c r="U874" s="15">
        <v>6</v>
      </c>
      <c r="V874" s="15">
        <v>49</v>
      </c>
      <c r="W874" s="15">
        <v>51</v>
      </c>
      <c r="X874" t="s">
        <v>39</v>
      </c>
      <c r="Y874" t="s">
        <v>40</v>
      </c>
      <c r="Z874" s="14">
        <v>6.6</v>
      </c>
      <c r="AA874" s="12">
        <f>YEAR(Table1[Hire_Date])</f>
        <v>2019</v>
      </c>
      <c r="AB87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875" spans="1:28" x14ac:dyDescent="0.25">
      <c r="A875" t="s">
        <v>3620</v>
      </c>
      <c r="B875" s="16" t="s">
        <v>3621</v>
      </c>
      <c r="C875" s="16" t="s">
        <v>3622</v>
      </c>
      <c r="D875" t="s">
        <v>44</v>
      </c>
      <c r="E875" s="15">
        <v>47</v>
      </c>
      <c r="F875" s="16" t="s">
        <v>30</v>
      </c>
      <c r="G875" s="16" t="s">
        <v>13</v>
      </c>
      <c r="H875" s="16" t="s">
        <v>32</v>
      </c>
      <c r="I875" s="16" t="s">
        <v>33</v>
      </c>
      <c r="J875" s="16" t="s">
        <v>34</v>
      </c>
      <c r="K875" s="17" t="s">
        <v>3623</v>
      </c>
      <c r="M875" t="s">
        <v>36</v>
      </c>
      <c r="N875" t="s">
        <v>93</v>
      </c>
      <c r="O875" t="s">
        <v>52</v>
      </c>
      <c r="P875" s="15">
        <v>26</v>
      </c>
      <c r="Q875" s="18">
        <v>94949</v>
      </c>
      <c r="R875" s="19">
        <v>23</v>
      </c>
      <c r="S875" s="14">
        <v>4.4000000000000004</v>
      </c>
      <c r="T875" s="7">
        <v>70</v>
      </c>
      <c r="U875" s="15">
        <v>0</v>
      </c>
      <c r="V875" s="15">
        <v>41</v>
      </c>
      <c r="W875" s="15">
        <v>52</v>
      </c>
      <c r="X875" t="s">
        <v>61</v>
      </c>
      <c r="Y875" t="s">
        <v>40</v>
      </c>
      <c r="Z875" s="14">
        <v>6.9</v>
      </c>
      <c r="AA875" s="12">
        <f>YEAR(Table1[Hire_Date])</f>
        <v>2019</v>
      </c>
      <c r="AB87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876" spans="1:28" x14ac:dyDescent="0.25">
      <c r="A876" t="s">
        <v>3624</v>
      </c>
      <c r="B876" s="16" t="s">
        <v>3625</v>
      </c>
      <c r="C876" s="16" t="s">
        <v>3626</v>
      </c>
      <c r="D876" t="s">
        <v>29</v>
      </c>
      <c r="E876" s="15">
        <v>27</v>
      </c>
      <c r="F876" s="16" t="s">
        <v>90</v>
      </c>
      <c r="G876" s="16" t="s">
        <v>281</v>
      </c>
      <c r="H876" s="16" t="s">
        <v>56</v>
      </c>
      <c r="I876" s="16" t="s">
        <v>33</v>
      </c>
      <c r="J876" s="16" t="s">
        <v>34</v>
      </c>
      <c r="K876" s="17" t="s">
        <v>2084</v>
      </c>
      <c r="L876" s="17" t="s">
        <v>3627</v>
      </c>
      <c r="M876" t="s">
        <v>76</v>
      </c>
      <c r="N876" t="s">
        <v>165</v>
      </c>
      <c r="O876" t="s">
        <v>60</v>
      </c>
      <c r="P876" s="15">
        <v>17</v>
      </c>
      <c r="Q876" s="18">
        <v>113605</v>
      </c>
      <c r="R876" s="19">
        <v>22</v>
      </c>
      <c r="S876" s="14">
        <v>4.5</v>
      </c>
      <c r="T876" s="7">
        <v>80</v>
      </c>
      <c r="U876" s="15">
        <v>0</v>
      </c>
      <c r="V876" s="15">
        <v>28</v>
      </c>
      <c r="W876" s="15">
        <v>7</v>
      </c>
      <c r="X876" t="s">
        <v>39</v>
      </c>
      <c r="Y876" t="s">
        <v>40</v>
      </c>
      <c r="Z876" s="14">
        <v>6.3</v>
      </c>
      <c r="AA876" s="12">
        <f>YEAR(Table1[Hire_Date])</f>
        <v>2020</v>
      </c>
      <c r="AB87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877" spans="1:28" x14ac:dyDescent="0.25">
      <c r="A877" t="s">
        <v>3628</v>
      </c>
      <c r="B877" s="16" t="s">
        <v>3629</v>
      </c>
      <c r="C877" s="16" t="s">
        <v>3630</v>
      </c>
      <c r="D877" t="s">
        <v>29</v>
      </c>
      <c r="E877" s="15">
        <v>31</v>
      </c>
      <c r="F877" s="16" t="s">
        <v>103</v>
      </c>
      <c r="G877" s="16" t="s">
        <v>13</v>
      </c>
      <c r="H877" s="16" t="s">
        <v>47</v>
      </c>
      <c r="I877" s="16" t="s">
        <v>33</v>
      </c>
      <c r="J877" s="16" t="s">
        <v>34</v>
      </c>
      <c r="K877" s="17" t="s">
        <v>1623</v>
      </c>
      <c r="M877" t="s">
        <v>36</v>
      </c>
      <c r="N877" t="s">
        <v>180</v>
      </c>
      <c r="O877" t="s">
        <v>38</v>
      </c>
      <c r="P877" s="15">
        <v>25</v>
      </c>
      <c r="Q877" s="18">
        <v>60918</v>
      </c>
      <c r="R877" s="19">
        <v>23</v>
      </c>
      <c r="S877" s="14">
        <v>3.5</v>
      </c>
      <c r="T877" s="7">
        <v>52</v>
      </c>
      <c r="U877" s="15">
        <v>20</v>
      </c>
      <c r="V877" s="15">
        <v>26</v>
      </c>
      <c r="W877" s="15">
        <v>2</v>
      </c>
      <c r="X877" t="s">
        <v>39</v>
      </c>
      <c r="Y877" t="s">
        <v>40</v>
      </c>
      <c r="Z877" s="14">
        <v>9.5</v>
      </c>
      <c r="AA877" s="12">
        <f>YEAR(Table1[Hire_Date])</f>
        <v>2017</v>
      </c>
      <c r="AB87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878" spans="1:28" x14ac:dyDescent="0.25">
      <c r="A878" t="s">
        <v>3631</v>
      </c>
      <c r="B878" s="16" t="s">
        <v>3632</v>
      </c>
      <c r="C878" s="16" t="s">
        <v>3633</v>
      </c>
      <c r="D878" t="s">
        <v>29</v>
      </c>
      <c r="E878" s="15">
        <v>40</v>
      </c>
      <c r="F878" s="16" t="s">
        <v>90</v>
      </c>
      <c r="G878" s="16" t="s">
        <v>281</v>
      </c>
      <c r="H878" s="16" t="s">
        <v>47</v>
      </c>
      <c r="I878" s="16" t="s">
        <v>48</v>
      </c>
      <c r="J878" s="16" t="s">
        <v>34</v>
      </c>
      <c r="K878" s="17" t="s">
        <v>3634</v>
      </c>
      <c r="L878" s="17" t="s">
        <v>3635</v>
      </c>
      <c r="M878" t="s">
        <v>76</v>
      </c>
      <c r="N878" t="s">
        <v>243</v>
      </c>
      <c r="O878" t="s">
        <v>52</v>
      </c>
      <c r="P878" s="15">
        <v>17</v>
      </c>
      <c r="Q878" s="18">
        <v>102380</v>
      </c>
      <c r="R878" s="19">
        <v>14</v>
      </c>
      <c r="S878" s="14">
        <v>3.4</v>
      </c>
      <c r="T878" s="7">
        <v>57</v>
      </c>
      <c r="U878" s="15">
        <v>3</v>
      </c>
      <c r="V878" s="15">
        <v>6</v>
      </c>
      <c r="W878" s="15">
        <v>73</v>
      </c>
      <c r="X878" t="s">
        <v>61</v>
      </c>
      <c r="Y878" t="s">
        <v>62</v>
      </c>
      <c r="Z878" s="14">
        <v>8</v>
      </c>
      <c r="AA878" s="12">
        <f>YEAR(Table1[Hire_Date])</f>
        <v>2018</v>
      </c>
      <c r="AB87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879" spans="1:28" x14ac:dyDescent="0.25">
      <c r="A879" t="s">
        <v>3636</v>
      </c>
      <c r="B879" s="16" t="s">
        <v>3637</v>
      </c>
      <c r="C879" s="16" t="s">
        <v>3638</v>
      </c>
      <c r="D879" t="s">
        <v>44</v>
      </c>
      <c r="E879" s="15">
        <v>42</v>
      </c>
      <c r="F879" s="16" t="s">
        <v>103</v>
      </c>
      <c r="G879" s="16" t="s">
        <v>104</v>
      </c>
      <c r="H879" s="16" t="s">
        <v>56</v>
      </c>
      <c r="I879" s="16" t="s">
        <v>48</v>
      </c>
      <c r="J879" s="16" t="s">
        <v>34</v>
      </c>
      <c r="K879" s="17" t="s">
        <v>3639</v>
      </c>
      <c r="M879" t="s">
        <v>36</v>
      </c>
      <c r="N879" t="s">
        <v>286</v>
      </c>
      <c r="O879" t="s">
        <v>38</v>
      </c>
      <c r="P879" s="15">
        <v>13</v>
      </c>
      <c r="Q879" s="18">
        <v>152890</v>
      </c>
      <c r="R879" s="19">
        <v>18</v>
      </c>
      <c r="S879" s="14">
        <v>4.9000000000000004</v>
      </c>
      <c r="T879" s="7">
        <v>78</v>
      </c>
      <c r="U879" s="15">
        <v>0</v>
      </c>
      <c r="V879" s="15">
        <v>8</v>
      </c>
      <c r="W879" s="15">
        <v>46</v>
      </c>
      <c r="X879" t="s">
        <v>61</v>
      </c>
      <c r="Y879" t="s">
        <v>62</v>
      </c>
      <c r="Z879" s="14">
        <v>4.0999999999999996</v>
      </c>
      <c r="AA879" s="12">
        <f>YEAR(Table1[Hire_Date])</f>
        <v>2022</v>
      </c>
      <c r="AB87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880" spans="1:28" x14ac:dyDescent="0.25">
      <c r="A880" t="s">
        <v>3640</v>
      </c>
      <c r="B880" s="16" t="s">
        <v>3641</v>
      </c>
      <c r="C880" s="16" t="s">
        <v>3642</v>
      </c>
      <c r="D880" t="s">
        <v>29</v>
      </c>
      <c r="E880" s="15">
        <v>41</v>
      </c>
      <c r="F880" s="16" t="s">
        <v>103</v>
      </c>
      <c r="G880" s="16" t="s">
        <v>104</v>
      </c>
      <c r="H880" s="16" t="s">
        <v>32</v>
      </c>
      <c r="I880" s="16" t="s">
        <v>33</v>
      </c>
      <c r="J880" s="16" t="s">
        <v>49</v>
      </c>
      <c r="K880" s="17" t="s">
        <v>3643</v>
      </c>
      <c r="M880" t="s">
        <v>36</v>
      </c>
      <c r="N880" t="s">
        <v>155</v>
      </c>
      <c r="O880" t="s">
        <v>38</v>
      </c>
      <c r="P880" s="15">
        <v>18</v>
      </c>
      <c r="Q880" s="18">
        <v>177475</v>
      </c>
      <c r="R880" s="19">
        <v>14</v>
      </c>
      <c r="S880" s="14">
        <v>4.3</v>
      </c>
      <c r="T880" s="7">
        <v>81</v>
      </c>
      <c r="U880" s="15">
        <v>3</v>
      </c>
      <c r="V880" s="15">
        <v>11</v>
      </c>
      <c r="W880" s="15">
        <v>66</v>
      </c>
      <c r="X880" t="s">
        <v>39</v>
      </c>
      <c r="Y880" t="s">
        <v>62</v>
      </c>
      <c r="Z880" s="14">
        <v>3.4</v>
      </c>
      <c r="AA880" s="12">
        <f>YEAR(Table1[Hire_Date])</f>
        <v>2023</v>
      </c>
      <c r="AB88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881" spans="1:28" x14ac:dyDescent="0.25">
      <c r="A881" t="s">
        <v>3644</v>
      </c>
      <c r="B881" s="16" t="s">
        <v>3645</v>
      </c>
      <c r="C881" s="16" t="s">
        <v>3646</v>
      </c>
      <c r="D881" t="s">
        <v>29</v>
      </c>
      <c r="E881" s="15">
        <v>27</v>
      </c>
      <c r="F881" s="16" t="s">
        <v>45</v>
      </c>
      <c r="G881" s="16" t="s">
        <v>46</v>
      </c>
      <c r="H881" s="16" t="s">
        <v>56</v>
      </c>
      <c r="I881" s="16" t="s">
        <v>33</v>
      </c>
      <c r="J881" s="16" t="s">
        <v>49</v>
      </c>
      <c r="K881" s="17" t="s">
        <v>3647</v>
      </c>
      <c r="M881" t="s">
        <v>36</v>
      </c>
      <c r="N881" t="s">
        <v>385</v>
      </c>
      <c r="O881" t="s">
        <v>60</v>
      </c>
      <c r="P881" s="15">
        <v>4</v>
      </c>
      <c r="Q881" s="18">
        <v>49337</v>
      </c>
      <c r="R881" s="19">
        <v>11</v>
      </c>
      <c r="S881" s="14">
        <v>3.3</v>
      </c>
      <c r="T881" s="7">
        <v>98</v>
      </c>
      <c r="U881" s="15">
        <v>10</v>
      </c>
      <c r="V881" s="15">
        <v>24</v>
      </c>
      <c r="W881" s="15">
        <v>30</v>
      </c>
      <c r="X881" t="s">
        <v>61</v>
      </c>
      <c r="Y881" t="s">
        <v>40</v>
      </c>
      <c r="Z881" s="14">
        <v>2.9</v>
      </c>
      <c r="AA881" s="12">
        <f>YEAR(Table1[Hire_Date])</f>
        <v>2023</v>
      </c>
      <c r="AB88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882" spans="1:28" x14ac:dyDescent="0.25">
      <c r="A882" t="s">
        <v>3648</v>
      </c>
      <c r="B882" s="16" t="s">
        <v>3649</v>
      </c>
      <c r="C882" s="16" t="s">
        <v>3650</v>
      </c>
      <c r="D882" t="s">
        <v>44</v>
      </c>
      <c r="E882" s="15">
        <v>42</v>
      </c>
      <c r="F882" s="16" t="s">
        <v>90</v>
      </c>
      <c r="G882" s="16" t="s">
        <v>281</v>
      </c>
      <c r="H882" s="16" t="s">
        <v>56</v>
      </c>
      <c r="I882" s="16" t="s">
        <v>57</v>
      </c>
      <c r="J882" s="16" t="s">
        <v>34</v>
      </c>
      <c r="K882" s="17" t="s">
        <v>3651</v>
      </c>
      <c r="M882" t="s">
        <v>36</v>
      </c>
      <c r="N882" t="s">
        <v>691</v>
      </c>
      <c r="O882" t="s">
        <v>60</v>
      </c>
      <c r="P882" s="15">
        <v>4</v>
      </c>
      <c r="Q882" s="18">
        <v>150005</v>
      </c>
      <c r="R882" s="19">
        <v>6</v>
      </c>
      <c r="S882" s="14">
        <v>2.9</v>
      </c>
      <c r="T882" s="7">
        <v>59</v>
      </c>
      <c r="U882" s="15">
        <v>13</v>
      </c>
      <c r="V882" s="15">
        <v>14</v>
      </c>
      <c r="W882" s="15">
        <v>46</v>
      </c>
      <c r="X882" t="s">
        <v>39</v>
      </c>
      <c r="Y882" t="s">
        <v>78</v>
      </c>
      <c r="Z882" s="14">
        <v>1.4</v>
      </c>
      <c r="AA882" s="12">
        <f>YEAR(Table1[Hire_Date])</f>
        <v>2025</v>
      </c>
      <c r="AB88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883" spans="1:28" x14ac:dyDescent="0.25">
      <c r="A883" t="s">
        <v>3652</v>
      </c>
      <c r="B883" s="16" t="s">
        <v>3653</v>
      </c>
      <c r="C883" s="16" t="s">
        <v>3654</v>
      </c>
      <c r="D883" t="s">
        <v>29</v>
      </c>
      <c r="E883" s="15">
        <v>23</v>
      </c>
      <c r="F883" s="16" t="s">
        <v>45</v>
      </c>
      <c r="G883" s="16" t="s">
        <v>46</v>
      </c>
      <c r="H883" s="16" t="s">
        <v>47</v>
      </c>
      <c r="I883" s="16" t="s">
        <v>33</v>
      </c>
      <c r="J883" s="16" t="s">
        <v>34</v>
      </c>
      <c r="K883" s="17" t="s">
        <v>3655</v>
      </c>
      <c r="M883" t="s">
        <v>36</v>
      </c>
      <c r="N883" t="s">
        <v>131</v>
      </c>
      <c r="O883" t="s">
        <v>60</v>
      </c>
      <c r="P883" s="15">
        <v>1</v>
      </c>
      <c r="Q883" s="18">
        <v>166191</v>
      </c>
      <c r="R883" s="19">
        <v>24</v>
      </c>
      <c r="S883" s="14">
        <v>3.5</v>
      </c>
      <c r="T883" s="7">
        <v>87</v>
      </c>
      <c r="U883" s="15">
        <v>20</v>
      </c>
      <c r="V883" s="15">
        <v>50</v>
      </c>
      <c r="W883" s="15">
        <v>55</v>
      </c>
      <c r="X883" t="s">
        <v>39</v>
      </c>
      <c r="Y883" t="s">
        <v>62</v>
      </c>
      <c r="Z883" s="14">
        <v>4.3</v>
      </c>
      <c r="AA883" s="12">
        <f>YEAR(Table1[Hire_Date])</f>
        <v>2022</v>
      </c>
      <c r="AB88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884" spans="1:28" x14ac:dyDescent="0.25">
      <c r="A884" t="s">
        <v>3656</v>
      </c>
      <c r="B884" s="16" t="s">
        <v>3657</v>
      </c>
      <c r="C884" s="16" t="s">
        <v>3658</v>
      </c>
      <c r="D884" t="s">
        <v>29</v>
      </c>
      <c r="E884" s="15">
        <v>31</v>
      </c>
      <c r="F884" s="16" t="s">
        <v>30</v>
      </c>
      <c r="G884" s="16" t="s">
        <v>13</v>
      </c>
      <c r="H884" s="16" t="s">
        <v>56</v>
      </c>
      <c r="I884" s="16" t="s">
        <v>57</v>
      </c>
      <c r="J884" s="16" t="s">
        <v>49</v>
      </c>
      <c r="K884" s="17" t="s">
        <v>3659</v>
      </c>
      <c r="L884" s="17" t="s">
        <v>3660</v>
      </c>
      <c r="M884" t="s">
        <v>76</v>
      </c>
      <c r="N884" t="s">
        <v>126</v>
      </c>
      <c r="O884" t="s">
        <v>60</v>
      </c>
      <c r="P884" s="15">
        <v>2</v>
      </c>
      <c r="Q884" s="18">
        <v>160701</v>
      </c>
      <c r="R884" s="19">
        <v>7</v>
      </c>
      <c r="S884" s="14">
        <v>2.8</v>
      </c>
      <c r="T884" s="7">
        <v>55</v>
      </c>
      <c r="U884" s="15">
        <v>14</v>
      </c>
      <c r="V884" s="15">
        <v>38</v>
      </c>
      <c r="W884" s="15">
        <v>47</v>
      </c>
      <c r="X884" t="s">
        <v>39</v>
      </c>
      <c r="Y884" t="s">
        <v>40</v>
      </c>
      <c r="Z884" s="14">
        <v>1.4</v>
      </c>
      <c r="AA884" s="12">
        <f>YEAR(Table1[Hire_Date])</f>
        <v>2025</v>
      </c>
      <c r="AB88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885" spans="1:28" x14ac:dyDescent="0.25">
      <c r="A885" t="s">
        <v>3661</v>
      </c>
      <c r="B885" s="16" t="s">
        <v>3662</v>
      </c>
      <c r="C885" s="16" t="s">
        <v>3663</v>
      </c>
      <c r="D885" t="s">
        <v>29</v>
      </c>
      <c r="E885" s="15">
        <v>44</v>
      </c>
      <c r="F885" s="16" t="s">
        <v>103</v>
      </c>
      <c r="G885" s="16" t="s">
        <v>13</v>
      </c>
      <c r="H885" s="16" t="s">
        <v>32</v>
      </c>
      <c r="I885" s="16" t="s">
        <v>48</v>
      </c>
      <c r="J885" s="16" t="s">
        <v>34</v>
      </c>
      <c r="K885" s="17" t="s">
        <v>3664</v>
      </c>
      <c r="L885" s="17" t="s">
        <v>3665</v>
      </c>
      <c r="M885" t="s">
        <v>76</v>
      </c>
      <c r="N885" t="s">
        <v>99</v>
      </c>
      <c r="O885" t="s">
        <v>60</v>
      </c>
      <c r="P885" s="15">
        <v>30</v>
      </c>
      <c r="Q885" s="18">
        <v>98703</v>
      </c>
      <c r="R885" s="19">
        <v>5</v>
      </c>
      <c r="S885" s="14">
        <v>3.3</v>
      </c>
      <c r="T885" s="7">
        <v>55</v>
      </c>
      <c r="U885" s="15">
        <v>4</v>
      </c>
      <c r="V885" s="15">
        <v>14</v>
      </c>
      <c r="W885" s="15">
        <v>70</v>
      </c>
      <c r="X885" t="s">
        <v>61</v>
      </c>
      <c r="Y885" t="s">
        <v>40</v>
      </c>
      <c r="Z885" s="14">
        <v>1.8</v>
      </c>
      <c r="AA885" s="12">
        <f>YEAR(Table1[Hire_Date])</f>
        <v>2024</v>
      </c>
      <c r="AB88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886" spans="1:28" x14ac:dyDescent="0.25">
      <c r="A886" t="s">
        <v>3666</v>
      </c>
      <c r="B886" s="16" t="s">
        <v>3667</v>
      </c>
      <c r="C886" s="16" t="s">
        <v>3668</v>
      </c>
      <c r="D886" t="s">
        <v>44</v>
      </c>
      <c r="E886" s="15">
        <v>47</v>
      </c>
      <c r="F886" s="16" t="s">
        <v>45</v>
      </c>
      <c r="G886" s="16" t="s">
        <v>82</v>
      </c>
      <c r="H886" s="16" t="s">
        <v>32</v>
      </c>
      <c r="I886" s="16" t="s">
        <v>48</v>
      </c>
      <c r="J886" s="16" t="s">
        <v>34</v>
      </c>
      <c r="K886" s="17" t="s">
        <v>3669</v>
      </c>
      <c r="M886" t="s">
        <v>36</v>
      </c>
      <c r="N886" t="s">
        <v>358</v>
      </c>
      <c r="O886" t="s">
        <v>60</v>
      </c>
      <c r="P886" s="15">
        <v>6</v>
      </c>
      <c r="Q886" s="18">
        <v>97318</v>
      </c>
      <c r="R886" s="19">
        <v>14</v>
      </c>
      <c r="S886" s="14">
        <v>4.8</v>
      </c>
      <c r="T886" s="7">
        <v>60</v>
      </c>
      <c r="U886" s="15">
        <v>1</v>
      </c>
      <c r="V886" s="15">
        <v>7</v>
      </c>
      <c r="W886" s="15">
        <v>35</v>
      </c>
      <c r="X886" t="s">
        <v>61</v>
      </c>
      <c r="Y886" t="s">
        <v>62</v>
      </c>
      <c r="Z886" s="14">
        <v>7.3</v>
      </c>
      <c r="AA886" s="12">
        <f>YEAR(Table1[Hire_Date])</f>
        <v>2019</v>
      </c>
      <c r="AB88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887" spans="1:28" x14ac:dyDescent="0.25">
      <c r="A887" t="s">
        <v>3670</v>
      </c>
      <c r="B887" s="16" t="s">
        <v>3671</v>
      </c>
      <c r="C887" s="16" t="s">
        <v>3672</v>
      </c>
      <c r="D887" t="s">
        <v>44</v>
      </c>
      <c r="E887" s="15">
        <v>29</v>
      </c>
      <c r="F887" s="16" t="s">
        <v>103</v>
      </c>
      <c r="G887" s="16" t="s">
        <v>104</v>
      </c>
      <c r="H887" s="16" t="s">
        <v>66</v>
      </c>
      <c r="I887" s="16" t="s">
        <v>48</v>
      </c>
      <c r="J887" s="16" t="s">
        <v>49</v>
      </c>
      <c r="K887" s="17" t="s">
        <v>3673</v>
      </c>
      <c r="L887" s="17" t="s">
        <v>3674</v>
      </c>
      <c r="M887" t="s">
        <v>76</v>
      </c>
      <c r="N887" t="s">
        <v>691</v>
      </c>
      <c r="O887" t="s">
        <v>38</v>
      </c>
      <c r="P887" s="15">
        <v>24</v>
      </c>
      <c r="Q887" s="18">
        <v>70347</v>
      </c>
      <c r="R887" s="19">
        <v>16</v>
      </c>
      <c r="S887" s="14">
        <v>3</v>
      </c>
      <c r="T887" s="7">
        <v>63</v>
      </c>
      <c r="U887" s="15">
        <v>8</v>
      </c>
      <c r="V887" s="15">
        <v>40</v>
      </c>
      <c r="W887" s="15">
        <v>73</v>
      </c>
      <c r="X887" t="s">
        <v>61</v>
      </c>
      <c r="Y887" t="s">
        <v>78</v>
      </c>
      <c r="Z887" s="14">
        <v>7.4</v>
      </c>
      <c r="AA887" s="12">
        <f>YEAR(Table1[Hire_Date])</f>
        <v>2019</v>
      </c>
      <c r="AB88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888" spans="1:28" x14ac:dyDescent="0.25">
      <c r="A888" t="s">
        <v>3675</v>
      </c>
      <c r="B888" s="16" t="s">
        <v>3676</v>
      </c>
      <c r="C888" s="16" t="s">
        <v>3677</v>
      </c>
      <c r="D888" t="s">
        <v>44</v>
      </c>
      <c r="E888" s="15">
        <v>41</v>
      </c>
      <c r="F888" s="16" t="s">
        <v>30</v>
      </c>
      <c r="G888" s="16" t="s">
        <v>13</v>
      </c>
      <c r="H888" s="16" t="s">
        <v>47</v>
      </c>
      <c r="I888" s="16" t="s">
        <v>48</v>
      </c>
      <c r="J888" s="16" t="s">
        <v>34</v>
      </c>
      <c r="K888" s="17" t="s">
        <v>3678</v>
      </c>
      <c r="M888" t="s">
        <v>36</v>
      </c>
      <c r="N888" t="s">
        <v>229</v>
      </c>
      <c r="O888" t="s">
        <v>52</v>
      </c>
      <c r="P888" s="15">
        <v>17</v>
      </c>
      <c r="Q888" s="18">
        <v>135160</v>
      </c>
      <c r="R888" s="19">
        <v>17</v>
      </c>
      <c r="S888" s="14">
        <v>2.5</v>
      </c>
      <c r="T888" s="7">
        <v>78</v>
      </c>
      <c r="U888" s="15">
        <v>16</v>
      </c>
      <c r="V888" s="15">
        <v>6</v>
      </c>
      <c r="W888" s="15">
        <v>63</v>
      </c>
      <c r="X888" t="s">
        <v>61</v>
      </c>
      <c r="Y888" t="s">
        <v>40</v>
      </c>
      <c r="Z888" s="14">
        <v>3.1</v>
      </c>
      <c r="AA888" s="12">
        <f>YEAR(Table1[Hire_Date])</f>
        <v>2023</v>
      </c>
      <c r="AB88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889" spans="1:28" x14ac:dyDescent="0.25">
      <c r="A889" t="s">
        <v>3679</v>
      </c>
      <c r="B889" s="16" t="s">
        <v>3680</v>
      </c>
      <c r="C889" s="16" t="s">
        <v>3681</v>
      </c>
      <c r="D889" t="s">
        <v>44</v>
      </c>
      <c r="E889" s="15">
        <v>44</v>
      </c>
      <c r="F889" s="16" t="s">
        <v>30</v>
      </c>
      <c r="G889" s="16" t="s">
        <v>31</v>
      </c>
      <c r="H889" s="16" t="s">
        <v>83</v>
      </c>
      <c r="I889" s="16" t="s">
        <v>33</v>
      </c>
      <c r="J889" s="16" t="s">
        <v>49</v>
      </c>
      <c r="K889" s="17" t="s">
        <v>3682</v>
      </c>
      <c r="M889" t="s">
        <v>36</v>
      </c>
      <c r="N889" t="s">
        <v>277</v>
      </c>
      <c r="O889" t="s">
        <v>52</v>
      </c>
      <c r="P889" s="15">
        <v>26</v>
      </c>
      <c r="Q889" s="18">
        <v>130318</v>
      </c>
      <c r="R889" s="19">
        <v>23</v>
      </c>
      <c r="S889" s="14">
        <v>4.3</v>
      </c>
      <c r="T889" s="7">
        <v>78</v>
      </c>
      <c r="U889" s="15">
        <v>12</v>
      </c>
      <c r="V889" s="15">
        <v>18</v>
      </c>
      <c r="W889" s="15">
        <v>64</v>
      </c>
      <c r="X889" t="s">
        <v>61</v>
      </c>
      <c r="Y889" t="s">
        <v>62</v>
      </c>
      <c r="Z889" s="14">
        <v>3.9</v>
      </c>
      <c r="AA889" s="12">
        <f>YEAR(Table1[Hire_Date])</f>
        <v>2022</v>
      </c>
      <c r="AB88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890" spans="1:28" x14ac:dyDescent="0.25">
      <c r="A890" t="s">
        <v>3683</v>
      </c>
      <c r="B890" s="16" t="s">
        <v>3684</v>
      </c>
      <c r="C890" s="16" t="s">
        <v>3685</v>
      </c>
      <c r="D890" t="s">
        <v>29</v>
      </c>
      <c r="E890" s="15">
        <v>39</v>
      </c>
      <c r="F890" s="16" t="s">
        <v>103</v>
      </c>
      <c r="G890" s="16" t="s">
        <v>147</v>
      </c>
      <c r="H890" s="16" t="s">
        <v>47</v>
      </c>
      <c r="I890" s="16" t="s">
        <v>33</v>
      </c>
      <c r="J890" s="16" t="s">
        <v>34</v>
      </c>
      <c r="K890" s="17" t="s">
        <v>3686</v>
      </c>
      <c r="M890" t="s">
        <v>36</v>
      </c>
      <c r="N890" t="s">
        <v>731</v>
      </c>
      <c r="O890" t="s">
        <v>60</v>
      </c>
      <c r="P890" s="15">
        <v>27</v>
      </c>
      <c r="Q890" s="18">
        <v>103475</v>
      </c>
      <c r="R890" s="19">
        <v>13</v>
      </c>
      <c r="S890" s="14">
        <v>4.3</v>
      </c>
      <c r="T890" s="7">
        <v>71</v>
      </c>
      <c r="U890" s="15">
        <v>7</v>
      </c>
      <c r="V890" s="15">
        <v>2</v>
      </c>
      <c r="W890" s="15">
        <v>59</v>
      </c>
      <c r="X890" t="s">
        <v>39</v>
      </c>
      <c r="Y890" t="s">
        <v>40</v>
      </c>
      <c r="Z890" s="14">
        <v>4.4000000000000004</v>
      </c>
      <c r="AA890" s="12">
        <f>YEAR(Table1[Hire_Date])</f>
        <v>2022</v>
      </c>
      <c r="AB89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891" spans="1:28" x14ac:dyDescent="0.25">
      <c r="A891" t="s">
        <v>3687</v>
      </c>
      <c r="B891" s="16" t="s">
        <v>3688</v>
      </c>
      <c r="C891" s="16" t="s">
        <v>3689</v>
      </c>
      <c r="D891" t="s">
        <v>44</v>
      </c>
      <c r="E891" s="15">
        <v>47</v>
      </c>
      <c r="F891" s="16" t="s">
        <v>30</v>
      </c>
      <c r="G891" s="16" t="s">
        <v>13</v>
      </c>
      <c r="H891" s="16" t="s">
        <v>47</v>
      </c>
      <c r="I891" s="16" t="s">
        <v>57</v>
      </c>
      <c r="J891" s="16" t="s">
        <v>49</v>
      </c>
      <c r="K891" s="17" t="s">
        <v>3690</v>
      </c>
      <c r="M891" t="s">
        <v>36</v>
      </c>
      <c r="N891" t="s">
        <v>219</v>
      </c>
      <c r="O891" t="s">
        <v>52</v>
      </c>
      <c r="P891" s="15">
        <v>20</v>
      </c>
      <c r="Q891" s="18">
        <v>156317</v>
      </c>
      <c r="R891" s="19">
        <v>6</v>
      </c>
      <c r="S891" s="14">
        <v>3.8</v>
      </c>
      <c r="T891" s="7">
        <v>68</v>
      </c>
      <c r="U891" s="15">
        <v>1</v>
      </c>
      <c r="V891" s="15">
        <v>39</v>
      </c>
      <c r="W891" s="15">
        <v>63</v>
      </c>
      <c r="X891" t="s">
        <v>39</v>
      </c>
      <c r="Y891" t="s">
        <v>40</v>
      </c>
      <c r="Z891" s="14">
        <v>3.1</v>
      </c>
      <c r="AA891" s="12">
        <f>YEAR(Table1[Hire_Date])</f>
        <v>2023</v>
      </c>
      <c r="AB89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892" spans="1:28" x14ac:dyDescent="0.25">
      <c r="A892" t="s">
        <v>3691</v>
      </c>
      <c r="B892" s="16" t="s">
        <v>3692</v>
      </c>
      <c r="C892" s="16" t="s">
        <v>3693</v>
      </c>
      <c r="D892" t="s">
        <v>44</v>
      </c>
      <c r="E892" s="15">
        <v>49</v>
      </c>
      <c r="F892" s="16" t="s">
        <v>90</v>
      </c>
      <c r="G892" s="16" t="s">
        <v>281</v>
      </c>
      <c r="H892" s="16" t="s">
        <v>56</v>
      </c>
      <c r="I892" s="16" t="s">
        <v>48</v>
      </c>
      <c r="J892" s="16" t="s">
        <v>49</v>
      </c>
      <c r="K892" s="17" t="s">
        <v>3694</v>
      </c>
      <c r="M892" t="s">
        <v>36</v>
      </c>
      <c r="N892" t="s">
        <v>1694</v>
      </c>
      <c r="O892" t="s">
        <v>52</v>
      </c>
      <c r="P892" s="15">
        <v>5</v>
      </c>
      <c r="Q892" s="18">
        <v>166548</v>
      </c>
      <c r="R892" s="19">
        <v>22</v>
      </c>
      <c r="S892" s="14">
        <v>4.9000000000000004</v>
      </c>
      <c r="T892" s="7">
        <v>96</v>
      </c>
      <c r="U892" s="15">
        <v>13</v>
      </c>
      <c r="V892" s="15">
        <v>25</v>
      </c>
      <c r="W892" s="15">
        <v>43</v>
      </c>
      <c r="X892" t="s">
        <v>61</v>
      </c>
      <c r="Y892" t="s">
        <v>62</v>
      </c>
      <c r="Z892" s="14">
        <v>8.1999999999999993</v>
      </c>
      <c r="AA892" s="12">
        <f>YEAR(Table1[Hire_Date])</f>
        <v>2018</v>
      </c>
      <c r="AB89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893" spans="1:28" x14ac:dyDescent="0.25">
      <c r="A893" t="s">
        <v>3695</v>
      </c>
      <c r="B893" s="16" t="s">
        <v>3696</v>
      </c>
      <c r="C893" s="16" t="s">
        <v>3697</v>
      </c>
      <c r="D893" t="s">
        <v>44</v>
      </c>
      <c r="E893" s="15">
        <v>30</v>
      </c>
      <c r="F893" s="16" t="s">
        <v>45</v>
      </c>
      <c r="G893" s="16" t="s">
        <v>46</v>
      </c>
      <c r="H893" s="16" t="s">
        <v>47</v>
      </c>
      <c r="I893" s="16" t="s">
        <v>48</v>
      </c>
      <c r="J893" s="16" t="s">
        <v>34</v>
      </c>
      <c r="K893" s="17" t="s">
        <v>3698</v>
      </c>
      <c r="M893" t="s">
        <v>36</v>
      </c>
      <c r="N893" t="s">
        <v>605</v>
      </c>
      <c r="O893" t="s">
        <v>38</v>
      </c>
      <c r="P893" s="15">
        <v>1</v>
      </c>
      <c r="Q893" s="18">
        <v>82024</v>
      </c>
      <c r="R893" s="19">
        <v>23</v>
      </c>
      <c r="S893" s="14">
        <v>4.4000000000000004</v>
      </c>
      <c r="T893" s="7">
        <v>96</v>
      </c>
      <c r="U893" s="15">
        <v>2</v>
      </c>
      <c r="V893" s="15">
        <v>43</v>
      </c>
      <c r="W893" s="15">
        <v>48</v>
      </c>
      <c r="X893" t="s">
        <v>61</v>
      </c>
      <c r="Y893" t="s">
        <v>62</v>
      </c>
      <c r="Z893" s="14">
        <v>6.1</v>
      </c>
      <c r="AA893" s="12">
        <f>YEAR(Table1[Hire_Date])</f>
        <v>2020</v>
      </c>
      <c r="AB89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894" spans="1:28" x14ac:dyDescent="0.25">
      <c r="A894" t="s">
        <v>3699</v>
      </c>
      <c r="B894" s="16" t="s">
        <v>3700</v>
      </c>
      <c r="C894" s="16" t="s">
        <v>3701</v>
      </c>
      <c r="D894" t="s">
        <v>29</v>
      </c>
      <c r="E894" s="15">
        <v>49</v>
      </c>
      <c r="F894" s="16" t="s">
        <v>72</v>
      </c>
      <c r="G894" s="16" t="s">
        <v>135</v>
      </c>
      <c r="H894" s="16" t="s">
        <v>32</v>
      </c>
      <c r="I894" s="16" t="s">
        <v>33</v>
      </c>
      <c r="J894" s="16" t="s">
        <v>34</v>
      </c>
      <c r="K894" s="17" t="s">
        <v>3702</v>
      </c>
      <c r="M894" t="s">
        <v>36</v>
      </c>
      <c r="N894" t="s">
        <v>323</v>
      </c>
      <c r="O894" t="s">
        <v>60</v>
      </c>
      <c r="P894" s="15">
        <v>29</v>
      </c>
      <c r="Q894" s="18">
        <v>97214</v>
      </c>
      <c r="R894" s="19">
        <v>21</v>
      </c>
      <c r="S894" s="14">
        <v>3.3</v>
      </c>
      <c r="T894" s="7">
        <v>56</v>
      </c>
      <c r="U894" s="15">
        <v>8</v>
      </c>
      <c r="V894" s="15">
        <v>11</v>
      </c>
      <c r="W894" s="15">
        <v>51</v>
      </c>
      <c r="X894" t="s">
        <v>39</v>
      </c>
      <c r="Y894" t="s">
        <v>78</v>
      </c>
      <c r="Z894" s="14">
        <v>0.9</v>
      </c>
      <c r="AA894" s="12">
        <f>YEAR(Table1[Hire_Date])</f>
        <v>2025</v>
      </c>
      <c r="AB89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895" spans="1:28" x14ac:dyDescent="0.25">
      <c r="A895" t="s">
        <v>3703</v>
      </c>
      <c r="B895" s="16" t="s">
        <v>3704</v>
      </c>
      <c r="C895" s="16" t="s">
        <v>3705</v>
      </c>
      <c r="D895" t="s">
        <v>44</v>
      </c>
      <c r="E895" s="15">
        <v>52</v>
      </c>
      <c r="F895" s="16" t="s">
        <v>30</v>
      </c>
      <c r="G895" s="16" t="s">
        <v>31</v>
      </c>
      <c r="H895" s="16" t="s">
        <v>66</v>
      </c>
      <c r="I895" s="16" t="s">
        <v>48</v>
      </c>
      <c r="J895" s="16" t="s">
        <v>49</v>
      </c>
      <c r="K895" s="17" t="s">
        <v>3706</v>
      </c>
      <c r="M895" t="s">
        <v>36</v>
      </c>
      <c r="N895" t="s">
        <v>224</v>
      </c>
      <c r="O895" t="s">
        <v>60</v>
      </c>
      <c r="P895" s="15">
        <v>2</v>
      </c>
      <c r="Q895" s="18">
        <v>70766</v>
      </c>
      <c r="R895" s="19">
        <v>19</v>
      </c>
      <c r="S895" s="14">
        <v>4</v>
      </c>
      <c r="T895" s="7">
        <v>62</v>
      </c>
      <c r="U895" s="15">
        <v>11</v>
      </c>
      <c r="V895" s="15">
        <v>15</v>
      </c>
      <c r="W895" s="15">
        <v>50</v>
      </c>
      <c r="X895" t="s">
        <v>61</v>
      </c>
      <c r="Y895" t="s">
        <v>78</v>
      </c>
      <c r="Z895" s="14">
        <v>5.0999999999999996</v>
      </c>
      <c r="AA895" s="12">
        <f>YEAR(Table1[Hire_Date])</f>
        <v>2021</v>
      </c>
      <c r="AB89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896" spans="1:28" x14ac:dyDescent="0.25">
      <c r="A896" t="s">
        <v>3707</v>
      </c>
      <c r="B896" s="16" t="s">
        <v>3708</v>
      </c>
      <c r="C896" s="16" t="s">
        <v>3709</v>
      </c>
      <c r="D896" t="s">
        <v>29</v>
      </c>
      <c r="E896" s="15">
        <v>36</v>
      </c>
      <c r="F896" s="16" t="s">
        <v>124</v>
      </c>
      <c r="G896" s="16" t="s">
        <v>141</v>
      </c>
      <c r="H896" s="16" t="s">
        <v>47</v>
      </c>
      <c r="I896" s="16" t="s">
        <v>48</v>
      </c>
      <c r="J896" s="16" t="s">
        <v>49</v>
      </c>
      <c r="K896" s="17" t="s">
        <v>3710</v>
      </c>
      <c r="M896" t="s">
        <v>36</v>
      </c>
      <c r="N896" t="s">
        <v>1694</v>
      </c>
      <c r="O896" t="s">
        <v>60</v>
      </c>
      <c r="P896" s="15">
        <v>13</v>
      </c>
      <c r="Q896" s="18">
        <v>89467</v>
      </c>
      <c r="R896" s="19">
        <v>16</v>
      </c>
      <c r="S896" s="14">
        <v>2.8</v>
      </c>
      <c r="T896" s="7">
        <v>95</v>
      </c>
      <c r="U896" s="15">
        <v>11</v>
      </c>
      <c r="V896" s="15">
        <v>10</v>
      </c>
      <c r="W896" s="15">
        <v>7</v>
      </c>
      <c r="X896" t="s">
        <v>61</v>
      </c>
      <c r="Y896" t="s">
        <v>40</v>
      </c>
      <c r="Z896" s="14">
        <v>4.2</v>
      </c>
      <c r="AA896" s="12">
        <f>YEAR(Table1[Hire_Date])</f>
        <v>2022</v>
      </c>
      <c r="AB89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897" spans="1:28" x14ac:dyDescent="0.25">
      <c r="A897" t="s">
        <v>3711</v>
      </c>
      <c r="B897" s="16" t="s">
        <v>3712</v>
      </c>
      <c r="C897" s="16" t="s">
        <v>3713</v>
      </c>
      <c r="D897" t="s">
        <v>29</v>
      </c>
      <c r="E897" s="15">
        <v>49</v>
      </c>
      <c r="F897" s="16" t="s">
        <v>124</v>
      </c>
      <c r="G897" s="16" t="s">
        <v>13</v>
      </c>
      <c r="H897" s="16" t="s">
        <v>83</v>
      </c>
      <c r="I897" s="16" t="s">
        <v>48</v>
      </c>
      <c r="J897" s="16" t="s">
        <v>34</v>
      </c>
      <c r="K897" s="17" t="s">
        <v>3714</v>
      </c>
      <c r="M897" t="s">
        <v>36</v>
      </c>
      <c r="N897" t="s">
        <v>309</v>
      </c>
      <c r="O897" t="s">
        <v>52</v>
      </c>
      <c r="P897" s="15">
        <v>8</v>
      </c>
      <c r="Q897" s="18">
        <v>40552</v>
      </c>
      <c r="R897" s="19">
        <v>14</v>
      </c>
      <c r="S897" s="14">
        <v>4</v>
      </c>
      <c r="T897" s="7">
        <v>91</v>
      </c>
      <c r="U897" s="15">
        <v>12</v>
      </c>
      <c r="V897" s="15">
        <v>4</v>
      </c>
      <c r="W897" s="15">
        <v>65</v>
      </c>
      <c r="X897" t="s">
        <v>39</v>
      </c>
      <c r="Y897" t="s">
        <v>40</v>
      </c>
      <c r="Z897" s="14">
        <v>7.7</v>
      </c>
      <c r="AA897" s="12">
        <f>YEAR(Table1[Hire_Date])</f>
        <v>2018</v>
      </c>
      <c r="AB89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898" spans="1:28" x14ac:dyDescent="0.25">
      <c r="A898" t="s">
        <v>3715</v>
      </c>
      <c r="B898" s="16" t="s">
        <v>3716</v>
      </c>
      <c r="C898" s="16" t="s">
        <v>3717</v>
      </c>
      <c r="D898" t="s">
        <v>29</v>
      </c>
      <c r="E898" s="15">
        <v>53</v>
      </c>
      <c r="F898" s="16" t="s">
        <v>124</v>
      </c>
      <c r="G898" s="16" t="s">
        <v>104</v>
      </c>
      <c r="H898" s="16" t="s">
        <v>66</v>
      </c>
      <c r="I898" s="16" t="s">
        <v>33</v>
      </c>
      <c r="J898" s="16" t="s">
        <v>34</v>
      </c>
      <c r="K898" s="17" t="s">
        <v>3718</v>
      </c>
      <c r="M898" t="s">
        <v>36</v>
      </c>
      <c r="N898" t="s">
        <v>229</v>
      </c>
      <c r="O898" t="s">
        <v>52</v>
      </c>
      <c r="P898" s="15">
        <v>1</v>
      </c>
      <c r="Q898" s="18">
        <v>41358</v>
      </c>
      <c r="R898" s="19">
        <v>22</v>
      </c>
      <c r="S898" s="14">
        <v>3.2</v>
      </c>
      <c r="T898" s="7">
        <v>66</v>
      </c>
      <c r="U898" s="15">
        <v>16</v>
      </c>
      <c r="V898" s="15">
        <v>57</v>
      </c>
      <c r="W898" s="15">
        <v>51</v>
      </c>
      <c r="X898" t="s">
        <v>39</v>
      </c>
      <c r="Y898" t="s">
        <v>78</v>
      </c>
      <c r="Z898" s="14">
        <v>9.9</v>
      </c>
      <c r="AA898" s="12">
        <f>YEAR(Table1[Hire_Date])</f>
        <v>2016</v>
      </c>
      <c r="AB89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899" spans="1:28" x14ac:dyDescent="0.25">
      <c r="A899" t="s">
        <v>3719</v>
      </c>
      <c r="B899" s="16" t="s">
        <v>3720</v>
      </c>
      <c r="C899" s="16" t="s">
        <v>3721</v>
      </c>
      <c r="D899" t="s">
        <v>44</v>
      </c>
      <c r="E899" s="15">
        <v>46</v>
      </c>
      <c r="F899" s="16" t="s">
        <v>124</v>
      </c>
      <c r="G899" s="16" t="s">
        <v>104</v>
      </c>
      <c r="H899" s="16" t="s">
        <v>32</v>
      </c>
      <c r="I899" s="16" t="s">
        <v>57</v>
      </c>
      <c r="J899" s="16" t="s">
        <v>34</v>
      </c>
      <c r="K899" s="17" t="s">
        <v>3722</v>
      </c>
      <c r="M899" t="s">
        <v>36</v>
      </c>
      <c r="N899" t="s">
        <v>333</v>
      </c>
      <c r="O899" t="s">
        <v>38</v>
      </c>
      <c r="P899" s="15">
        <v>2</v>
      </c>
      <c r="Q899" s="18">
        <v>141802</v>
      </c>
      <c r="R899" s="19">
        <v>12</v>
      </c>
      <c r="S899" s="14">
        <v>4.3</v>
      </c>
      <c r="T899" s="7">
        <v>80</v>
      </c>
      <c r="U899" s="15">
        <v>2</v>
      </c>
      <c r="V899" s="15">
        <v>52</v>
      </c>
      <c r="W899" s="15">
        <v>49</v>
      </c>
      <c r="X899" t="s">
        <v>39</v>
      </c>
      <c r="Y899" t="s">
        <v>40</v>
      </c>
      <c r="Z899" s="14">
        <v>6.1</v>
      </c>
      <c r="AA899" s="12">
        <f>YEAR(Table1[Hire_Date])</f>
        <v>2020</v>
      </c>
      <c r="AB89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900" spans="1:28" x14ac:dyDescent="0.25">
      <c r="A900" t="s">
        <v>3723</v>
      </c>
      <c r="B900" s="16" t="s">
        <v>3724</v>
      </c>
      <c r="C900" s="16" t="s">
        <v>3725</v>
      </c>
      <c r="D900" t="s">
        <v>44</v>
      </c>
      <c r="E900" s="15">
        <v>46</v>
      </c>
      <c r="F900" s="16" t="s">
        <v>90</v>
      </c>
      <c r="G900" s="16" t="s">
        <v>13</v>
      </c>
      <c r="H900" s="16" t="s">
        <v>83</v>
      </c>
      <c r="I900" s="16" t="s">
        <v>48</v>
      </c>
      <c r="J900" s="16" t="s">
        <v>49</v>
      </c>
      <c r="K900" s="17" t="s">
        <v>3726</v>
      </c>
      <c r="M900" t="s">
        <v>36</v>
      </c>
      <c r="N900" t="s">
        <v>189</v>
      </c>
      <c r="O900" t="s">
        <v>38</v>
      </c>
      <c r="P900" s="15">
        <v>32</v>
      </c>
      <c r="Q900" s="18">
        <v>79663</v>
      </c>
      <c r="R900" s="19">
        <v>11</v>
      </c>
      <c r="S900" s="14">
        <v>4.7</v>
      </c>
      <c r="T900" s="7">
        <v>100</v>
      </c>
      <c r="U900" s="15">
        <v>19</v>
      </c>
      <c r="V900" s="15">
        <v>23</v>
      </c>
      <c r="W900" s="15">
        <v>53</v>
      </c>
      <c r="X900" t="s">
        <v>39</v>
      </c>
      <c r="Y900" t="s">
        <v>62</v>
      </c>
      <c r="Z900" s="14">
        <v>10.199999999999999</v>
      </c>
      <c r="AA900" s="12">
        <f>YEAR(Table1[Hire_Date])</f>
        <v>2016</v>
      </c>
      <c r="AB90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901" spans="1:28" x14ac:dyDescent="0.25">
      <c r="A901" t="s">
        <v>3727</v>
      </c>
      <c r="B901" s="16" t="s">
        <v>3728</v>
      </c>
      <c r="C901" s="16" t="s">
        <v>3729</v>
      </c>
      <c r="D901" t="s">
        <v>44</v>
      </c>
      <c r="E901" s="15">
        <v>25</v>
      </c>
      <c r="F901" s="16" t="s">
        <v>103</v>
      </c>
      <c r="G901" s="16" t="s">
        <v>104</v>
      </c>
      <c r="H901" s="16" t="s">
        <v>83</v>
      </c>
      <c r="I901" s="16" t="s">
        <v>33</v>
      </c>
      <c r="J901" s="16" t="s">
        <v>34</v>
      </c>
      <c r="K901" s="17" t="s">
        <v>3730</v>
      </c>
      <c r="M901" t="s">
        <v>36</v>
      </c>
      <c r="N901" t="s">
        <v>593</v>
      </c>
      <c r="O901" t="s">
        <v>38</v>
      </c>
      <c r="P901" s="15">
        <v>10</v>
      </c>
      <c r="Q901" s="18">
        <v>77281</v>
      </c>
      <c r="R901" s="19">
        <v>11</v>
      </c>
      <c r="S901" s="14">
        <v>4.9000000000000004</v>
      </c>
      <c r="T901" s="7">
        <v>54</v>
      </c>
      <c r="U901" s="15">
        <v>13</v>
      </c>
      <c r="V901" s="15">
        <v>10</v>
      </c>
      <c r="W901" s="15">
        <v>62</v>
      </c>
      <c r="X901" t="s">
        <v>39</v>
      </c>
      <c r="Y901" t="s">
        <v>78</v>
      </c>
      <c r="Z901" s="14">
        <v>7.5</v>
      </c>
      <c r="AA901" s="12">
        <f>YEAR(Table1[Hire_Date])</f>
        <v>2019</v>
      </c>
      <c r="AB90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902" spans="1:28" x14ac:dyDescent="0.25">
      <c r="A902" t="s">
        <v>3731</v>
      </c>
      <c r="B902" s="16" t="s">
        <v>3732</v>
      </c>
      <c r="C902" s="16" t="s">
        <v>3733</v>
      </c>
      <c r="D902" t="s">
        <v>29</v>
      </c>
      <c r="E902" s="15">
        <v>31</v>
      </c>
      <c r="F902" s="16" t="s">
        <v>72</v>
      </c>
      <c r="G902" s="16" t="s">
        <v>135</v>
      </c>
      <c r="H902" s="16" t="s">
        <v>56</v>
      </c>
      <c r="I902" s="16" t="s">
        <v>33</v>
      </c>
      <c r="J902" s="16" t="s">
        <v>34</v>
      </c>
      <c r="K902" s="17" t="s">
        <v>3734</v>
      </c>
      <c r="M902" t="s">
        <v>36</v>
      </c>
      <c r="N902" t="s">
        <v>37</v>
      </c>
      <c r="O902" t="s">
        <v>38</v>
      </c>
      <c r="P902" s="15">
        <v>15</v>
      </c>
      <c r="Q902" s="18">
        <v>47708</v>
      </c>
      <c r="R902" s="19">
        <v>23</v>
      </c>
      <c r="S902" s="14">
        <v>2.6</v>
      </c>
      <c r="T902" s="7">
        <v>100</v>
      </c>
      <c r="U902" s="15">
        <v>15</v>
      </c>
      <c r="V902" s="15">
        <v>55</v>
      </c>
      <c r="W902" s="15">
        <v>43</v>
      </c>
      <c r="X902" t="s">
        <v>61</v>
      </c>
      <c r="Y902" t="s">
        <v>62</v>
      </c>
      <c r="Z902" s="14">
        <v>9.3000000000000007</v>
      </c>
      <c r="AA902" s="12">
        <f>YEAR(Table1[Hire_Date])</f>
        <v>2017</v>
      </c>
      <c r="AB90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903" spans="1:28" x14ac:dyDescent="0.25">
      <c r="A903" t="s">
        <v>3735</v>
      </c>
      <c r="B903" s="16" t="s">
        <v>3736</v>
      </c>
      <c r="C903" s="16" t="s">
        <v>3737</v>
      </c>
      <c r="D903" t="s">
        <v>29</v>
      </c>
      <c r="E903" s="15">
        <v>38</v>
      </c>
      <c r="F903" s="16" t="s">
        <v>45</v>
      </c>
      <c r="G903" s="16" t="s">
        <v>82</v>
      </c>
      <c r="H903" s="16" t="s">
        <v>56</v>
      </c>
      <c r="I903" s="16" t="s">
        <v>57</v>
      </c>
      <c r="J903" s="16" t="s">
        <v>34</v>
      </c>
      <c r="K903" s="17" t="s">
        <v>3738</v>
      </c>
      <c r="M903" t="s">
        <v>36</v>
      </c>
      <c r="N903" t="s">
        <v>309</v>
      </c>
      <c r="O903" t="s">
        <v>60</v>
      </c>
      <c r="P903" s="15">
        <v>13</v>
      </c>
      <c r="Q903" s="18">
        <v>42167</v>
      </c>
      <c r="R903" s="19">
        <v>11</v>
      </c>
      <c r="S903" s="14">
        <v>2.7</v>
      </c>
      <c r="T903" s="7">
        <v>51</v>
      </c>
      <c r="U903" s="15">
        <v>6</v>
      </c>
      <c r="V903" s="15">
        <v>40</v>
      </c>
      <c r="W903" s="15">
        <v>38</v>
      </c>
      <c r="X903" t="s">
        <v>39</v>
      </c>
      <c r="Y903" t="s">
        <v>78</v>
      </c>
      <c r="Z903" s="14">
        <v>3.8</v>
      </c>
      <c r="AA903" s="12">
        <f>YEAR(Table1[Hire_Date])</f>
        <v>2022</v>
      </c>
      <c r="AB90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904" spans="1:28" x14ac:dyDescent="0.25">
      <c r="A904" t="s">
        <v>3739</v>
      </c>
      <c r="B904" s="16" t="s">
        <v>3740</v>
      </c>
      <c r="C904" s="16" t="s">
        <v>3741</v>
      </c>
      <c r="D904" t="s">
        <v>44</v>
      </c>
      <c r="E904" s="15">
        <v>21</v>
      </c>
      <c r="F904" s="16" t="s">
        <v>103</v>
      </c>
      <c r="G904" s="16" t="s">
        <v>147</v>
      </c>
      <c r="H904" s="16" t="s">
        <v>66</v>
      </c>
      <c r="I904" s="16" t="s">
        <v>57</v>
      </c>
      <c r="J904" s="16" t="s">
        <v>34</v>
      </c>
      <c r="K904" s="17" t="s">
        <v>3742</v>
      </c>
      <c r="M904" t="s">
        <v>36</v>
      </c>
      <c r="N904" t="s">
        <v>143</v>
      </c>
      <c r="O904" t="s">
        <v>38</v>
      </c>
      <c r="P904" s="15">
        <v>22</v>
      </c>
      <c r="Q904" s="18">
        <v>91974</v>
      </c>
      <c r="R904" s="19">
        <v>7</v>
      </c>
      <c r="S904" s="14">
        <v>3.2</v>
      </c>
      <c r="T904" s="7">
        <v>59</v>
      </c>
      <c r="U904" s="15">
        <v>13</v>
      </c>
      <c r="V904" s="15">
        <v>30</v>
      </c>
      <c r="W904" s="15">
        <v>77</v>
      </c>
      <c r="X904" t="s">
        <v>39</v>
      </c>
      <c r="Y904" t="s">
        <v>40</v>
      </c>
      <c r="Z904" s="14">
        <v>9.3000000000000007</v>
      </c>
      <c r="AA904" s="12">
        <f>YEAR(Table1[Hire_Date])</f>
        <v>2017</v>
      </c>
      <c r="AB90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905" spans="1:28" x14ac:dyDescent="0.25">
      <c r="A905" t="s">
        <v>3743</v>
      </c>
      <c r="B905" s="16" t="s">
        <v>3744</v>
      </c>
      <c r="C905" s="16" t="s">
        <v>3745</v>
      </c>
      <c r="D905" t="s">
        <v>29</v>
      </c>
      <c r="E905" s="15">
        <v>36</v>
      </c>
      <c r="F905" s="16" t="s">
        <v>90</v>
      </c>
      <c r="G905" s="16" t="s">
        <v>13</v>
      </c>
      <c r="H905" s="16" t="s">
        <v>47</v>
      </c>
      <c r="I905" s="16" t="s">
        <v>33</v>
      </c>
      <c r="J905" s="16" t="s">
        <v>34</v>
      </c>
      <c r="K905" s="17" t="s">
        <v>3746</v>
      </c>
      <c r="L905" s="17" t="s">
        <v>3747</v>
      </c>
      <c r="M905" t="s">
        <v>76</v>
      </c>
      <c r="N905" t="s">
        <v>588</v>
      </c>
      <c r="O905" t="s">
        <v>60</v>
      </c>
      <c r="P905" s="15">
        <v>32</v>
      </c>
      <c r="Q905" s="18">
        <v>50167</v>
      </c>
      <c r="R905" s="19">
        <v>23</v>
      </c>
      <c r="S905" s="14">
        <v>4.5999999999999996</v>
      </c>
      <c r="T905" s="7">
        <v>96</v>
      </c>
      <c r="U905" s="15">
        <v>8</v>
      </c>
      <c r="V905" s="15">
        <v>55</v>
      </c>
      <c r="W905" s="15">
        <v>5</v>
      </c>
      <c r="X905" t="s">
        <v>39</v>
      </c>
      <c r="Y905" t="s">
        <v>40</v>
      </c>
      <c r="Z905" s="14">
        <v>9.4</v>
      </c>
      <c r="AA905" s="12">
        <f>YEAR(Table1[Hire_Date])</f>
        <v>2017</v>
      </c>
      <c r="AB90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906" spans="1:28" x14ac:dyDescent="0.25">
      <c r="A906" t="s">
        <v>3748</v>
      </c>
      <c r="B906" s="16" t="s">
        <v>3749</v>
      </c>
      <c r="C906" s="16" t="s">
        <v>3750</v>
      </c>
      <c r="D906" t="s">
        <v>29</v>
      </c>
      <c r="E906" s="15">
        <v>56</v>
      </c>
      <c r="F906" s="16" t="s">
        <v>72</v>
      </c>
      <c r="G906" s="16" t="s">
        <v>97</v>
      </c>
      <c r="H906" s="16" t="s">
        <v>66</v>
      </c>
      <c r="I906" s="16" t="s">
        <v>57</v>
      </c>
      <c r="J906" s="16" t="s">
        <v>34</v>
      </c>
      <c r="K906" s="17" t="s">
        <v>3751</v>
      </c>
      <c r="M906" t="s">
        <v>36</v>
      </c>
      <c r="N906" t="s">
        <v>59</v>
      </c>
      <c r="O906" t="s">
        <v>38</v>
      </c>
      <c r="P906" s="15">
        <v>34</v>
      </c>
      <c r="Q906" s="18">
        <v>114639</v>
      </c>
      <c r="R906" s="19">
        <v>6</v>
      </c>
      <c r="S906" s="14">
        <v>4.8</v>
      </c>
      <c r="T906" s="7">
        <v>89</v>
      </c>
      <c r="U906" s="15">
        <v>4</v>
      </c>
      <c r="V906" s="15">
        <v>22</v>
      </c>
      <c r="W906" s="15">
        <v>31</v>
      </c>
      <c r="X906" t="s">
        <v>39</v>
      </c>
      <c r="Y906" t="s">
        <v>40</v>
      </c>
      <c r="Z906" s="14">
        <v>6.3</v>
      </c>
      <c r="AA906" s="12">
        <f>YEAR(Table1[Hire_Date])</f>
        <v>2020</v>
      </c>
      <c r="AB90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907" spans="1:28" x14ac:dyDescent="0.25">
      <c r="A907" t="s">
        <v>3752</v>
      </c>
      <c r="B907" s="16" t="s">
        <v>3753</v>
      </c>
      <c r="C907" s="16" t="s">
        <v>3754</v>
      </c>
      <c r="D907" t="s">
        <v>29</v>
      </c>
      <c r="E907" s="15">
        <v>22</v>
      </c>
      <c r="F907" s="16" t="s">
        <v>124</v>
      </c>
      <c r="G907" s="16" t="s">
        <v>13</v>
      </c>
      <c r="H907" s="16" t="s">
        <v>56</v>
      </c>
      <c r="I907" s="16" t="s">
        <v>48</v>
      </c>
      <c r="J907" s="16" t="s">
        <v>34</v>
      </c>
      <c r="K907" s="17" t="s">
        <v>3755</v>
      </c>
      <c r="M907" t="s">
        <v>36</v>
      </c>
      <c r="N907" t="s">
        <v>1791</v>
      </c>
      <c r="O907" t="s">
        <v>52</v>
      </c>
      <c r="P907" s="15">
        <v>7</v>
      </c>
      <c r="Q907" s="18">
        <v>122560</v>
      </c>
      <c r="R907" s="19">
        <v>14</v>
      </c>
      <c r="S907" s="14">
        <v>4.8</v>
      </c>
      <c r="T907" s="7">
        <v>53</v>
      </c>
      <c r="U907" s="15">
        <v>18</v>
      </c>
      <c r="V907" s="15">
        <v>29</v>
      </c>
      <c r="W907" s="15">
        <v>53</v>
      </c>
      <c r="X907" t="s">
        <v>61</v>
      </c>
      <c r="Y907" t="s">
        <v>62</v>
      </c>
      <c r="Z907" s="14">
        <v>3.2</v>
      </c>
      <c r="AA907" s="12">
        <f>YEAR(Table1[Hire_Date])</f>
        <v>2023</v>
      </c>
      <c r="AB90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908" spans="1:28" x14ac:dyDescent="0.25">
      <c r="A908" t="s">
        <v>3756</v>
      </c>
      <c r="B908" s="16" t="s">
        <v>3757</v>
      </c>
      <c r="C908" s="16" t="s">
        <v>3758</v>
      </c>
      <c r="D908" t="s">
        <v>29</v>
      </c>
      <c r="E908" s="15">
        <v>29</v>
      </c>
      <c r="F908" s="16" t="s">
        <v>72</v>
      </c>
      <c r="G908" s="16" t="s">
        <v>97</v>
      </c>
      <c r="H908" s="16" t="s">
        <v>56</v>
      </c>
      <c r="I908" s="16" t="s">
        <v>48</v>
      </c>
      <c r="J908" s="16" t="s">
        <v>49</v>
      </c>
      <c r="K908" s="17" t="s">
        <v>3759</v>
      </c>
      <c r="M908" t="s">
        <v>36</v>
      </c>
      <c r="N908" t="s">
        <v>59</v>
      </c>
      <c r="O908" t="s">
        <v>52</v>
      </c>
      <c r="P908" s="15">
        <v>21</v>
      </c>
      <c r="Q908" s="18">
        <v>48193</v>
      </c>
      <c r="R908" s="19">
        <v>15</v>
      </c>
      <c r="S908" s="14">
        <v>3</v>
      </c>
      <c r="T908" s="7">
        <v>70</v>
      </c>
      <c r="U908" s="15">
        <v>2</v>
      </c>
      <c r="V908" s="15">
        <v>6</v>
      </c>
      <c r="W908" s="15">
        <v>42</v>
      </c>
      <c r="X908" t="s">
        <v>61</v>
      </c>
      <c r="Y908" t="s">
        <v>62</v>
      </c>
      <c r="Z908" s="14">
        <v>7.1</v>
      </c>
      <c r="AA908" s="12">
        <f>YEAR(Table1[Hire_Date])</f>
        <v>2019</v>
      </c>
      <c r="AB90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909" spans="1:28" x14ac:dyDescent="0.25">
      <c r="A909" t="s">
        <v>3760</v>
      </c>
      <c r="B909" s="16" t="s">
        <v>3761</v>
      </c>
      <c r="C909" s="16" t="s">
        <v>3762</v>
      </c>
      <c r="D909" t="s">
        <v>29</v>
      </c>
      <c r="E909" s="15">
        <v>28</v>
      </c>
      <c r="F909" s="16" t="s">
        <v>103</v>
      </c>
      <c r="G909" s="16" t="s">
        <v>147</v>
      </c>
      <c r="H909" s="16" t="s">
        <v>47</v>
      </c>
      <c r="I909" s="16" t="s">
        <v>33</v>
      </c>
      <c r="J909" s="16" t="s">
        <v>34</v>
      </c>
      <c r="K909" s="17" t="s">
        <v>3763</v>
      </c>
      <c r="M909" t="s">
        <v>36</v>
      </c>
      <c r="N909" t="s">
        <v>68</v>
      </c>
      <c r="O909" t="s">
        <v>38</v>
      </c>
      <c r="P909" s="15">
        <v>6</v>
      </c>
      <c r="Q909" s="18">
        <v>152146</v>
      </c>
      <c r="R909" s="19">
        <v>21</v>
      </c>
      <c r="S909" s="14">
        <v>4.5999999999999996</v>
      </c>
      <c r="T909" s="7">
        <v>52</v>
      </c>
      <c r="U909" s="15">
        <v>0</v>
      </c>
      <c r="V909" s="15">
        <v>20</v>
      </c>
      <c r="W909" s="15">
        <v>9</v>
      </c>
      <c r="X909" t="s">
        <v>61</v>
      </c>
      <c r="Y909" t="s">
        <v>62</v>
      </c>
      <c r="Z909" s="14">
        <v>5.4</v>
      </c>
      <c r="AA909" s="12">
        <f>YEAR(Table1[Hire_Date])</f>
        <v>2021</v>
      </c>
      <c r="AB90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910" spans="1:28" x14ac:dyDescent="0.25">
      <c r="A910" t="s">
        <v>3764</v>
      </c>
      <c r="B910" s="16" t="s">
        <v>3765</v>
      </c>
      <c r="C910" s="16" t="s">
        <v>3766</v>
      </c>
      <c r="D910" t="s">
        <v>44</v>
      </c>
      <c r="E910" s="15">
        <v>29</v>
      </c>
      <c r="F910" s="16" t="s">
        <v>72</v>
      </c>
      <c r="G910" s="16" t="s">
        <v>73</v>
      </c>
      <c r="H910" s="16" t="s">
        <v>32</v>
      </c>
      <c r="I910" s="16" t="s">
        <v>57</v>
      </c>
      <c r="J910" s="16" t="s">
        <v>34</v>
      </c>
      <c r="K910" s="17" t="s">
        <v>3767</v>
      </c>
      <c r="M910" t="s">
        <v>36</v>
      </c>
      <c r="N910" t="s">
        <v>309</v>
      </c>
      <c r="O910" t="s">
        <v>38</v>
      </c>
      <c r="P910" s="15">
        <v>10</v>
      </c>
      <c r="Q910" s="18">
        <v>109282</v>
      </c>
      <c r="R910" s="19">
        <v>7</v>
      </c>
      <c r="S910" s="14">
        <v>3.9</v>
      </c>
      <c r="T910" s="7">
        <v>88</v>
      </c>
      <c r="U910" s="15">
        <v>20</v>
      </c>
      <c r="V910" s="15">
        <v>6</v>
      </c>
      <c r="W910" s="15">
        <v>69</v>
      </c>
      <c r="X910" t="s">
        <v>39</v>
      </c>
      <c r="Y910" t="s">
        <v>40</v>
      </c>
      <c r="Z910" s="14">
        <v>6.7</v>
      </c>
      <c r="AA910" s="12">
        <f>YEAR(Table1[Hire_Date])</f>
        <v>2019</v>
      </c>
      <c r="AB91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911" spans="1:28" x14ac:dyDescent="0.25">
      <c r="A911" t="s">
        <v>3768</v>
      </c>
      <c r="B911" s="16" t="s">
        <v>3769</v>
      </c>
      <c r="C911" s="16" t="s">
        <v>3770</v>
      </c>
      <c r="D911" t="s">
        <v>44</v>
      </c>
      <c r="E911" s="15">
        <v>35</v>
      </c>
      <c r="F911" s="16" t="s">
        <v>45</v>
      </c>
      <c r="G911" s="16" t="s">
        <v>46</v>
      </c>
      <c r="H911" s="16" t="s">
        <v>56</v>
      </c>
      <c r="I911" s="16" t="s">
        <v>57</v>
      </c>
      <c r="J911" s="16" t="s">
        <v>34</v>
      </c>
      <c r="K911" s="17" t="s">
        <v>1677</v>
      </c>
      <c r="L911" s="17" t="s">
        <v>3771</v>
      </c>
      <c r="M911" t="s">
        <v>76</v>
      </c>
      <c r="N911" t="s">
        <v>527</v>
      </c>
      <c r="O911" t="s">
        <v>38</v>
      </c>
      <c r="P911" s="15">
        <v>8</v>
      </c>
      <c r="Q911" s="18">
        <v>126281</v>
      </c>
      <c r="R911" s="19">
        <v>9</v>
      </c>
      <c r="S911" s="14">
        <v>4.8</v>
      </c>
      <c r="T911" s="7">
        <v>71</v>
      </c>
      <c r="U911" s="15">
        <v>8</v>
      </c>
      <c r="V911" s="15">
        <v>57</v>
      </c>
      <c r="W911" s="15">
        <v>26</v>
      </c>
      <c r="X911" t="s">
        <v>39</v>
      </c>
      <c r="Y911" t="s">
        <v>78</v>
      </c>
      <c r="Z911" s="14">
        <v>0.3</v>
      </c>
      <c r="AA911" s="12">
        <f>YEAR(Table1[Hire_Date])</f>
        <v>2026</v>
      </c>
      <c r="AB91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912" spans="1:28" x14ac:dyDescent="0.25">
      <c r="A912" t="s">
        <v>3772</v>
      </c>
      <c r="B912" s="16" t="s">
        <v>3773</v>
      </c>
      <c r="C912" s="16" t="s">
        <v>3774</v>
      </c>
      <c r="D912" t="s">
        <v>44</v>
      </c>
      <c r="E912" s="15">
        <v>55</v>
      </c>
      <c r="F912" s="16" t="s">
        <v>124</v>
      </c>
      <c r="G912" s="16" t="s">
        <v>13</v>
      </c>
      <c r="H912" s="16" t="s">
        <v>32</v>
      </c>
      <c r="I912" s="16" t="s">
        <v>48</v>
      </c>
      <c r="J912" s="16" t="s">
        <v>34</v>
      </c>
      <c r="K912" s="17" t="s">
        <v>3775</v>
      </c>
      <c r="M912" t="s">
        <v>36</v>
      </c>
      <c r="N912" t="s">
        <v>263</v>
      </c>
      <c r="O912" t="s">
        <v>60</v>
      </c>
      <c r="P912" s="15">
        <v>27</v>
      </c>
      <c r="Q912" s="18">
        <v>89560</v>
      </c>
      <c r="R912" s="19">
        <v>12</v>
      </c>
      <c r="S912" s="14">
        <v>5</v>
      </c>
      <c r="T912" s="7">
        <v>74</v>
      </c>
      <c r="U912" s="15">
        <v>1</v>
      </c>
      <c r="V912" s="15">
        <v>13</v>
      </c>
      <c r="W912" s="15">
        <v>57</v>
      </c>
      <c r="X912" t="s">
        <v>61</v>
      </c>
      <c r="Y912" t="s">
        <v>62</v>
      </c>
      <c r="Z912" s="14">
        <v>5.3</v>
      </c>
      <c r="AA912" s="12">
        <f>YEAR(Table1[Hire_Date])</f>
        <v>2021</v>
      </c>
      <c r="AB91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913" spans="1:28" x14ac:dyDescent="0.25">
      <c r="A913" t="s">
        <v>3776</v>
      </c>
      <c r="B913" s="16" t="s">
        <v>3777</v>
      </c>
      <c r="C913" s="16" t="s">
        <v>3778</v>
      </c>
      <c r="D913" t="s">
        <v>44</v>
      </c>
      <c r="E913" s="15">
        <v>46</v>
      </c>
      <c r="F913" s="16" t="s">
        <v>124</v>
      </c>
      <c r="G913" s="16" t="s">
        <v>141</v>
      </c>
      <c r="H913" s="16" t="s">
        <v>56</v>
      </c>
      <c r="I913" s="16" t="s">
        <v>33</v>
      </c>
      <c r="J913" s="16" t="s">
        <v>34</v>
      </c>
      <c r="K913" s="17" t="s">
        <v>3779</v>
      </c>
      <c r="M913" t="s">
        <v>36</v>
      </c>
      <c r="N913" t="s">
        <v>175</v>
      </c>
      <c r="O913" t="s">
        <v>38</v>
      </c>
      <c r="P913" s="15">
        <v>22</v>
      </c>
      <c r="Q913" s="18">
        <v>163048</v>
      </c>
      <c r="R913" s="19">
        <v>5</v>
      </c>
      <c r="S913" s="14">
        <v>3.3</v>
      </c>
      <c r="T913" s="7">
        <v>62</v>
      </c>
      <c r="U913" s="15">
        <v>10</v>
      </c>
      <c r="V913" s="15">
        <v>11</v>
      </c>
      <c r="W913" s="15">
        <v>47</v>
      </c>
      <c r="X913" t="s">
        <v>61</v>
      </c>
      <c r="Y913" t="s">
        <v>62</v>
      </c>
      <c r="Z913" s="14">
        <v>5.0999999999999996</v>
      </c>
      <c r="AA913" s="12">
        <f>YEAR(Table1[Hire_Date])</f>
        <v>2021</v>
      </c>
      <c r="AB91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914" spans="1:28" x14ac:dyDescent="0.25">
      <c r="A914" t="s">
        <v>3780</v>
      </c>
      <c r="B914" s="16" t="s">
        <v>3781</v>
      </c>
      <c r="C914" s="16" t="s">
        <v>3782</v>
      </c>
      <c r="D914" t="s">
        <v>44</v>
      </c>
      <c r="E914" s="15">
        <v>51</v>
      </c>
      <c r="F914" s="16" t="s">
        <v>90</v>
      </c>
      <c r="G914" s="16" t="s">
        <v>281</v>
      </c>
      <c r="H914" s="16" t="s">
        <v>47</v>
      </c>
      <c r="I914" s="16" t="s">
        <v>48</v>
      </c>
      <c r="J914" s="16" t="s">
        <v>49</v>
      </c>
      <c r="K914" s="17" t="s">
        <v>3783</v>
      </c>
      <c r="M914" t="s">
        <v>36</v>
      </c>
      <c r="N914" t="s">
        <v>229</v>
      </c>
      <c r="O914" t="s">
        <v>52</v>
      </c>
      <c r="P914" s="15">
        <v>12</v>
      </c>
      <c r="Q914" s="18">
        <v>88907</v>
      </c>
      <c r="R914" s="19">
        <v>6</v>
      </c>
      <c r="S914" s="14">
        <v>2.6</v>
      </c>
      <c r="T914" s="7">
        <v>92</v>
      </c>
      <c r="U914" s="15">
        <v>14</v>
      </c>
      <c r="V914" s="15">
        <v>52</v>
      </c>
      <c r="W914" s="15">
        <v>12</v>
      </c>
      <c r="X914" t="s">
        <v>61</v>
      </c>
      <c r="Y914" t="s">
        <v>78</v>
      </c>
      <c r="Z914" s="14">
        <v>8.6</v>
      </c>
      <c r="AA914" s="12">
        <f>YEAR(Table1[Hire_Date])</f>
        <v>2017</v>
      </c>
      <c r="AB91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915" spans="1:28" x14ac:dyDescent="0.25">
      <c r="A915" t="s">
        <v>3784</v>
      </c>
      <c r="B915" s="16" t="s">
        <v>3785</v>
      </c>
      <c r="C915" s="16" t="s">
        <v>3786</v>
      </c>
      <c r="D915" t="s">
        <v>29</v>
      </c>
      <c r="E915" s="15">
        <v>30</v>
      </c>
      <c r="F915" s="16" t="s">
        <v>103</v>
      </c>
      <c r="G915" s="16" t="s">
        <v>13</v>
      </c>
      <c r="H915" s="16" t="s">
        <v>56</v>
      </c>
      <c r="I915" s="16" t="s">
        <v>33</v>
      </c>
      <c r="J915" s="16" t="s">
        <v>49</v>
      </c>
      <c r="K915" s="17" t="s">
        <v>3787</v>
      </c>
      <c r="M915" t="s">
        <v>36</v>
      </c>
      <c r="N915" t="s">
        <v>131</v>
      </c>
      <c r="O915" t="s">
        <v>60</v>
      </c>
      <c r="P915" s="15">
        <v>30</v>
      </c>
      <c r="Q915" s="18">
        <v>149895</v>
      </c>
      <c r="R915" s="19">
        <v>5</v>
      </c>
      <c r="S915" s="14">
        <v>4.2</v>
      </c>
      <c r="T915" s="7">
        <v>58</v>
      </c>
      <c r="U915" s="15">
        <v>8</v>
      </c>
      <c r="V915" s="15">
        <v>40</v>
      </c>
      <c r="W915" s="15">
        <v>4</v>
      </c>
      <c r="X915" t="s">
        <v>61</v>
      </c>
      <c r="Y915" t="s">
        <v>40</v>
      </c>
      <c r="Z915" s="14">
        <v>2</v>
      </c>
      <c r="AA915" s="12">
        <f>YEAR(Table1[Hire_Date])</f>
        <v>2024</v>
      </c>
      <c r="AB91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916" spans="1:28" x14ac:dyDescent="0.25">
      <c r="A916" t="s">
        <v>3788</v>
      </c>
      <c r="B916" s="16" t="s">
        <v>3789</v>
      </c>
      <c r="C916" s="16" t="s">
        <v>3790</v>
      </c>
      <c r="D916" t="s">
        <v>29</v>
      </c>
      <c r="E916" s="15">
        <v>27</v>
      </c>
      <c r="F916" s="16" t="s">
        <v>90</v>
      </c>
      <c r="G916" s="16" t="s">
        <v>281</v>
      </c>
      <c r="H916" s="16" t="s">
        <v>47</v>
      </c>
      <c r="I916" s="16" t="s">
        <v>33</v>
      </c>
      <c r="J916" s="16" t="s">
        <v>34</v>
      </c>
      <c r="K916" s="17" t="s">
        <v>3791</v>
      </c>
      <c r="M916" t="s">
        <v>36</v>
      </c>
      <c r="N916" t="s">
        <v>1237</v>
      </c>
      <c r="O916" t="s">
        <v>60</v>
      </c>
      <c r="P916" s="15">
        <v>2</v>
      </c>
      <c r="Q916" s="18">
        <v>44288</v>
      </c>
      <c r="R916" s="19">
        <v>18</v>
      </c>
      <c r="S916" s="14">
        <v>3.1</v>
      </c>
      <c r="T916" s="7">
        <v>89</v>
      </c>
      <c r="U916" s="15">
        <v>7</v>
      </c>
      <c r="V916" s="15">
        <v>57</v>
      </c>
      <c r="W916" s="15">
        <v>4</v>
      </c>
      <c r="X916" t="s">
        <v>39</v>
      </c>
      <c r="Y916" t="s">
        <v>40</v>
      </c>
      <c r="Z916" s="14">
        <v>8.6999999999999993</v>
      </c>
      <c r="AA916" s="12">
        <f>YEAR(Table1[Hire_Date])</f>
        <v>2017</v>
      </c>
      <c r="AB91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917" spans="1:28" x14ac:dyDescent="0.25">
      <c r="A917" t="s">
        <v>3792</v>
      </c>
      <c r="B917" s="16" t="s">
        <v>3793</v>
      </c>
      <c r="C917" s="16" t="s">
        <v>3794</v>
      </c>
      <c r="D917" t="s">
        <v>29</v>
      </c>
      <c r="E917" s="15">
        <v>33</v>
      </c>
      <c r="F917" s="16" t="s">
        <v>45</v>
      </c>
      <c r="G917" s="16" t="s">
        <v>46</v>
      </c>
      <c r="H917" s="16" t="s">
        <v>56</v>
      </c>
      <c r="I917" s="16" t="s">
        <v>48</v>
      </c>
      <c r="J917" s="16" t="s">
        <v>34</v>
      </c>
      <c r="K917" s="17" t="s">
        <v>3795</v>
      </c>
      <c r="M917" t="s">
        <v>36</v>
      </c>
      <c r="N917" t="s">
        <v>731</v>
      </c>
      <c r="O917" t="s">
        <v>52</v>
      </c>
      <c r="P917" s="15">
        <v>5</v>
      </c>
      <c r="Q917" s="18">
        <v>149898</v>
      </c>
      <c r="R917" s="19">
        <v>12</v>
      </c>
      <c r="S917" s="14">
        <v>3.2</v>
      </c>
      <c r="T917" s="7">
        <v>77</v>
      </c>
      <c r="U917" s="15">
        <v>17</v>
      </c>
      <c r="V917" s="15">
        <v>29</v>
      </c>
      <c r="W917" s="15">
        <v>16</v>
      </c>
      <c r="X917" t="s">
        <v>61</v>
      </c>
      <c r="Y917" t="s">
        <v>78</v>
      </c>
      <c r="Z917" s="14">
        <v>7.4</v>
      </c>
      <c r="AA917" s="12">
        <f>YEAR(Table1[Hire_Date])</f>
        <v>2019</v>
      </c>
      <c r="AB91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918" spans="1:28" x14ac:dyDescent="0.25">
      <c r="A918" t="s">
        <v>3796</v>
      </c>
      <c r="B918" s="16" t="s">
        <v>3797</v>
      </c>
      <c r="C918" s="16" t="s">
        <v>3798</v>
      </c>
      <c r="D918" t="s">
        <v>29</v>
      </c>
      <c r="E918" s="15">
        <v>42</v>
      </c>
      <c r="F918" s="16" t="s">
        <v>103</v>
      </c>
      <c r="G918" s="16" t="s">
        <v>104</v>
      </c>
      <c r="H918" s="16" t="s">
        <v>83</v>
      </c>
      <c r="I918" s="16" t="s">
        <v>33</v>
      </c>
      <c r="J918" s="16" t="s">
        <v>34</v>
      </c>
      <c r="K918" s="17" t="s">
        <v>677</v>
      </c>
      <c r="M918" t="s">
        <v>36</v>
      </c>
      <c r="N918" t="s">
        <v>300</v>
      </c>
      <c r="O918" t="s">
        <v>60</v>
      </c>
      <c r="P918" s="15">
        <v>0</v>
      </c>
      <c r="Q918" s="18">
        <v>179586</v>
      </c>
      <c r="R918" s="19">
        <v>8</v>
      </c>
      <c r="S918" s="14">
        <v>5</v>
      </c>
      <c r="T918" s="7">
        <v>81</v>
      </c>
      <c r="U918" s="15">
        <v>10</v>
      </c>
      <c r="V918" s="15">
        <v>15</v>
      </c>
      <c r="W918" s="15">
        <v>21</v>
      </c>
      <c r="X918" t="s">
        <v>61</v>
      </c>
      <c r="Y918" t="s">
        <v>78</v>
      </c>
      <c r="Z918" s="14">
        <v>9.6</v>
      </c>
      <c r="AA918" s="12">
        <f>YEAR(Table1[Hire_Date])</f>
        <v>2016</v>
      </c>
      <c r="AB91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919" spans="1:28" x14ac:dyDescent="0.25">
      <c r="A919" t="s">
        <v>3799</v>
      </c>
      <c r="B919" s="16" t="s">
        <v>3800</v>
      </c>
      <c r="C919" s="16" t="s">
        <v>3801</v>
      </c>
      <c r="D919" t="s">
        <v>29</v>
      </c>
      <c r="E919" s="15">
        <v>27</v>
      </c>
      <c r="F919" s="16" t="s">
        <v>72</v>
      </c>
      <c r="G919" s="16" t="s">
        <v>135</v>
      </c>
      <c r="H919" s="16" t="s">
        <v>56</v>
      </c>
      <c r="I919" s="16" t="s">
        <v>48</v>
      </c>
      <c r="J919" s="16" t="s">
        <v>49</v>
      </c>
      <c r="K919" s="17" t="s">
        <v>3802</v>
      </c>
      <c r="M919" t="s">
        <v>36</v>
      </c>
      <c r="N919" t="s">
        <v>536</v>
      </c>
      <c r="O919" t="s">
        <v>38</v>
      </c>
      <c r="P919" s="15">
        <v>25</v>
      </c>
      <c r="Q919" s="18">
        <v>161936</v>
      </c>
      <c r="R919" s="19">
        <v>13</v>
      </c>
      <c r="S919" s="14">
        <v>3.5</v>
      </c>
      <c r="T919" s="7">
        <v>63</v>
      </c>
      <c r="U919" s="15">
        <v>16</v>
      </c>
      <c r="V919" s="15">
        <v>42</v>
      </c>
      <c r="W919" s="15">
        <v>33</v>
      </c>
      <c r="X919" t="s">
        <v>39</v>
      </c>
      <c r="Y919" t="s">
        <v>78</v>
      </c>
      <c r="Z919" s="14">
        <v>0.8</v>
      </c>
      <c r="AA919" s="12">
        <f>YEAR(Table1[Hire_Date])</f>
        <v>2025</v>
      </c>
      <c r="AB91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920" spans="1:28" x14ac:dyDescent="0.25">
      <c r="A920" t="s">
        <v>3803</v>
      </c>
      <c r="B920" s="16" t="s">
        <v>3804</v>
      </c>
      <c r="C920" s="16" t="s">
        <v>3805</v>
      </c>
      <c r="D920" t="s">
        <v>44</v>
      </c>
      <c r="E920" s="15">
        <v>42</v>
      </c>
      <c r="F920" s="16" t="s">
        <v>45</v>
      </c>
      <c r="G920" s="16" t="s">
        <v>82</v>
      </c>
      <c r="H920" s="16" t="s">
        <v>83</v>
      </c>
      <c r="I920" s="16" t="s">
        <v>33</v>
      </c>
      <c r="J920" s="16" t="s">
        <v>34</v>
      </c>
      <c r="K920" s="17" t="s">
        <v>3806</v>
      </c>
      <c r="M920" t="s">
        <v>36</v>
      </c>
      <c r="N920" t="s">
        <v>419</v>
      </c>
      <c r="O920" t="s">
        <v>38</v>
      </c>
      <c r="P920" s="15">
        <v>22</v>
      </c>
      <c r="Q920" s="18">
        <v>173022</v>
      </c>
      <c r="R920" s="19">
        <v>13</v>
      </c>
      <c r="S920" s="14">
        <v>2.8</v>
      </c>
      <c r="T920" s="7">
        <v>51</v>
      </c>
      <c r="U920" s="15">
        <v>17</v>
      </c>
      <c r="V920" s="15">
        <v>7</v>
      </c>
      <c r="W920" s="15">
        <v>50</v>
      </c>
      <c r="X920" t="s">
        <v>39</v>
      </c>
      <c r="Y920" t="s">
        <v>62</v>
      </c>
      <c r="Z920" s="14">
        <v>9.1999999999999993</v>
      </c>
      <c r="AA920" s="12">
        <f>YEAR(Table1[Hire_Date])</f>
        <v>2017</v>
      </c>
      <c r="AB92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921" spans="1:28" x14ac:dyDescent="0.25">
      <c r="A921" t="s">
        <v>3807</v>
      </c>
      <c r="B921" s="16" t="s">
        <v>3808</v>
      </c>
      <c r="C921" s="16" t="s">
        <v>3809</v>
      </c>
      <c r="D921" t="s">
        <v>29</v>
      </c>
      <c r="E921" s="15">
        <v>43</v>
      </c>
      <c r="F921" s="16" t="s">
        <v>45</v>
      </c>
      <c r="G921" s="16" t="s">
        <v>46</v>
      </c>
      <c r="H921" s="16" t="s">
        <v>32</v>
      </c>
      <c r="I921" s="16" t="s">
        <v>57</v>
      </c>
      <c r="J921" s="16" t="s">
        <v>49</v>
      </c>
      <c r="K921" s="17" t="s">
        <v>3810</v>
      </c>
      <c r="L921" s="17" t="s">
        <v>3811</v>
      </c>
      <c r="M921" t="s">
        <v>76</v>
      </c>
      <c r="N921" t="s">
        <v>175</v>
      </c>
      <c r="O921" t="s">
        <v>38</v>
      </c>
      <c r="P921" s="15">
        <v>25</v>
      </c>
      <c r="Q921" s="18">
        <v>77097</v>
      </c>
      <c r="R921" s="19">
        <v>19</v>
      </c>
      <c r="S921" s="14">
        <v>3.9</v>
      </c>
      <c r="T921" s="7">
        <v>51</v>
      </c>
      <c r="U921" s="15">
        <v>4</v>
      </c>
      <c r="V921" s="15">
        <v>25</v>
      </c>
      <c r="W921" s="15">
        <v>23</v>
      </c>
      <c r="X921" t="s">
        <v>61</v>
      </c>
      <c r="Y921" t="s">
        <v>40</v>
      </c>
      <c r="Z921" s="14">
        <v>9.5</v>
      </c>
      <c r="AA921" s="12">
        <f>YEAR(Table1[Hire_Date])</f>
        <v>2017</v>
      </c>
      <c r="AB92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922" spans="1:28" x14ac:dyDescent="0.25">
      <c r="A922" t="s">
        <v>3812</v>
      </c>
      <c r="B922" s="16" t="s">
        <v>3813</v>
      </c>
      <c r="C922" s="16" t="s">
        <v>3814</v>
      </c>
      <c r="D922" t="s">
        <v>29</v>
      </c>
      <c r="E922" s="15">
        <v>32</v>
      </c>
      <c r="F922" s="16" t="s">
        <v>124</v>
      </c>
      <c r="G922" s="16" t="s">
        <v>104</v>
      </c>
      <c r="H922" s="16" t="s">
        <v>56</v>
      </c>
      <c r="I922" s="16" t="s">
        <v>48</v>
      </c>
      <c r="J922" s="16" t="s">
        <v>34</v>
      </c>
      <c r="K922" s="17" t="s">
        <v>3815</v>
      </c>
      <c r="L922" s="17" t="s">
        <v>3816</v>
      </c>
      <c r="M922" t="s">
        <v>76</v>
      </c>
      <c r="N922" t="s">
        <v>300</v>
      </c>
      <c r="O922" t="s">
        <v>60</v>
      </c>
      <c r="P922" s="15">
        <v>16</v>
      </c>
      <c r="Q922" s="18">
        <v>151052</v>
      </c>
      <c r="R922" s="19">
        <v>15</v>
      </c>
      <c r="S922" s="14">
        <v>3.4</v>
      </c>
      <c r="T922" s="7">
        <v>52</v>
      </c>
      <c r="U922" s="15">
        <v>18</v>
      </c>
      <c r="V922" s="15">
        <v>18</v>
      </c>
      <c r="W922" s="15">
        <v>27</v>
      </c>
      <c r="X922" t="s">
        <v>61</v>
      </c>
      <c r="Y922" t="s">
        <v>62</v>
      </c>
      <c r="Z922" s="14">
        <v>2.6</v>
      </c>
      <c r="AA922" s="12">
        <f>YEAR(Table1[Hire_Date])</f>
        <v>2023</v>
      </c>
      <c r="AB92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923" spans="1:28" x14ac:dyDescent="0.25">
      <c r="A923" t="s">
        <v>3817</v>
      </c>
      <c r="B923" s="16" t="s">
        <v>3818</v>
      </c>
      <c r="C923" s="16" t="s">
        <v>3819</v>
      </c>
      <c r="D923" t="s">
        <v>44</v>
      </c>
      <c r="E923" s="15">
        <v>53</v>
      </c>
      <c r="F923" s="16" t="s">
        <v>72</v>
      </c>
      <c r="G923" s="16" t="s">
        <v>97</v>
      </c>
      <c r="H923" s="16" t="s">
        <v>47</v>
      </c>
      <c r="I923" s="16" t="s">
        <v>57</v>
      </c>
      <c r="J923" s="16" t="s">
        <v>49</v>
      </c>
      <c r="K923" s="17" t="s">
        <v>3820</v>
      </c>
      <c r="M923" t="s">
        <v>36</v>
      </c>
      <c r="N923" t="s">
        <v>2294</v>
      </c>
      <c r="O923" t="s">
        <v>52</v>
      </c>
      <c r="P923" s="15">
        <v>9</v>
      </c>
      <c r="Q923" s="18">
        <v>108320</v>
      </c>
      <c r="R923" s="19">
        <v>16</v>
      </c>
      <c r="S923" s="14">
        <v>3.4</v>
      </c>
      <c r="T923" s="7">
        <v>70</v>
      </c>
      <c r="U923" s="15">
        <v>18</v>
      </c>
      <c r="V923" s="15">
        <v>52</v>
      </c>
      <c r="W923" s="15">
        <v>68</v>
      </c>
      <c r="X923" t="s">
        <v>61</v>
      </c>
      <c r="Y923" t="s">
        <v>40</v>
      </c>
      <c r="Z923" s="14">
        <v>7.1</v>
      </c>
      <c r="AA923" s="12">
        <f>YEAR(Table1[Hire_Date])</f>
        <v>2019</v>
      </c>
      <c r="AB92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924" spans="1:28" x14ac:dyDescent="0.25">
      <c r="A924" t="s">
        <v>3821</v>
      </c>
      <c r="B924" s="16" t="s">
        <v>3822</v>
      </c>
      <c r="C924" s="16" t="s">
        <v>3823</v>
      </c>
      <c r="D924" t="s">
        <v>44</v>
      </c>
      <c r="E924" s="15">
        <v>38</v>
      </c>
      <c r="F924" s="16" t="s">
        <v>30</v>
      </c>
      <c r="G924" s="16" t="s">
        <v>31</v>
      </c>
      <c r="H924" s="16" t="s">
        <v>56</v>
      </c>
      <c r="I924" s="16" t="s">
        <v>57</v>
      </c>
      <c r="J924" s="16" t="s">
        <v>49</v>
      </c>
      <c r="K924" s="17" t="s">
        <v>3824</v>
      </c>
      <c r="M924" t="s">
        <v>36</v>
      </c>
      <c r="N924" t="s">
        <v>189</v>
      </c>
      <c r="O924" t="s">
        <v>60</v>
      </c>
      <c r="P924" s="15">
        <v>19</v>
      </c>
      <c r="Q924" s="18">
        <v>116278</v>
      </c>
      <c r="R924" s="19">
        <v>10</v>
      </c>
      <c r="S924" s="14">
        <v>4.2</v>
      </c>
      <c r="T924" s="7">
        <v>89</v>
      </c>
      <c r="U924" s="15">
        <v>8</v>
      </c>
      <c r="V924" s="15">
        <v>27</v>
      </c>
      <c r="W924" s="15">
        <v>13</v>
      </c>
      <c r="X924" t="s">
        <v>61</v>
      </c>
      <c r="Y924" t="s">
        <v>40</v>
      </c>
      <c r="Z924" s="14">
        <v>5.9</v>
      </c>
      <c r="AA924" s="12">
        <f>YEAR(Table1[Hire_Date])</f>
        <v>2020</v>
      </c>
      <c r="AB92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925" spans="1:28" x14ac:dyDescent="0.25">
      <c r="A925" t="s">
        <v>3825</v>
      </c>
      <c r="B925" s="16" t="s">
        <v>3826</v>
      </c>
      <c r="C925" s="16" t="s">
        <v>3827</v>
      </c>
      <c r="D925" t="s">
        <v>29</v>
      </c>
      <c r="E925" s="15">
        <v>21</v>
      </c>
      <c r="F925" s="16" t="s">
        <v>45</v>
      </c>
      <c r="G925" s="16" t="s">
        <v>82</v>
      </c>
      <c r="H925" s="16" t="s">
        <v>83</v>
      </c>
      <c r="I925" s="16" t="s">
        <v>57</v>
      </c>
      <c r="J925" s="16" t="s">
        <v>34</v>
      </c>
      <c r="K925" s="17" t="s">
        <v>3828</v>
      </c>
      <c r="M925" t="s">
        <v>36</v>
      </c>
      <c r="N925" t="s">
        <v>333</v>
      </c>
      <c r="O925" t="s">
        <v>60</v>
      </c>
      <c r="P925" s="15">
        <v>0</v>
      </c>
      <c r="Q925" s="18">
        <v>172497</v>
      </c>
      <c r="R925" s="19">
        <v>6</v>
      </c>
      <c r="S925" s="14">
        <v>2.8</v>
      </c>
      <c r="T925" s="7">
        <v>86</v>
      </c>
      <c r="U925" s="15">
        <v>20</v>
      </c>
      <c r="V925" s="15">
        <v>59</v>
      </c>
      <c r="W925" s="15">
        <v>3</v>
      </c>
      <c r="X925" t="s">
        <v>39</v>
      </c>
      <c r="Y925" t="s">
        <v>62</v>
      </c>
      <c r="Z925" s="14">
        <v>4</v>
      </c>
      <c r="AA925" s="12">
        <f>YEAR(Table1[Hire_Date])</f>
        <v>2022</v>
      </c>
      <c r="AB92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926" spans="1:28" x14ac:dyDescent="0.25">
      <c r="A926" t="s">
        <v>3829</v>
      </c>
      <c r="B926" s="16" t="s">
        <v>3830</v>
      </c>
      <c r="C926" s="16" t="s">
        <v>3831</v>
      </c>
      <c r="D926" t="s">
        <v>44</v>
      </c>
      <c r="E926" s="15">
        <v>44</v>
      </c>
      <c r="F926" s="16" t="s">
        <v>30</v>
      </c>
      <c r="G926" s="16" t="s">
        <v>13</v>
      </c>
      <c r="H926" s="16" t="s">
        <v>66</v>
      </c>
      <c r="I926" s="16" t="s">
        <v>33</v>
      </c>
      <c r="J926" s="16" t="s">
        <v>34</v>
      </c>
      <c r="K926" s="17" t="s">
        <v>3832</v>
      </c>
      <c r="L926" s="17" t="s">
        <v>3276</v>
      </c>
      <c r="M926" t="s">
        <v>76</v>
      </c>
      <c r="N926" t="s">
        <v>605</v>
      </c>
      <c r="O926" t="s">
        <v>52</v>
      </c>
      <c r="P926" s="15">
        <v>33</v>
      </c>
      <c r="Q926" s="18">
        <v>88487</v>
      </c>
      <c r="R926" s="19">
        <v>6</v>
      </c>
      <c r="S926" s="14">
        <v>3.3</v>
      </c>
      <c r="T926" s="7">
        <v>75</v>
      </c>
      <c r="U926" s="15">
        <v>13</v>
      </c>
      <c r="V926" s="15">
        <v>18</v>
      </c>
      <c r="W926" s="15">
        <v>46</v>
      </c>
      <c r="X926" t="s">
        <v>39</v>
      </c>
      <c r="Y926" t="s">
        <v>62</v>
      </c>
      <c r="Z926" s="14">
        <v>8.1</v>
      </c>
      <c r="AA926" s="12">
        <f>YEAR(Table1[Hire_Date])</f>
        <v>2018</v>
      </c>
      <c r="AB92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927" spans="1:28" x14ac:dyDescent="0.25">
      <c r="A927" t="s">
        <v>3833</v>
      </c>
      <c r="B927" s="16" t="s">
        <v>3834</v>
      </c>
      <c r="C927" s="16" t="s">
        <v>3835</v>
      </c>
      <c r="D927" t="s">
        <v>44</v>
      </c>
      <c r="E927" s="15">
        <v>48</v>
      </c>
      <c r="F927" s="16" t="s">
        <v>124</v>
      </c>
      <c r="G927" s="16" t="s">
        <v>141</v>
      </c>
      <c r="H927" s="16" t="s">
        <v>32</v>
      </c>
      <c r="I927" s="16" t="s">
        <v>33</v>
      </c>
      <c r="J927" s="16" t="s">
        <v>34</v>
      </c>
      <c r="K927" s="17" t="s">
        <v>3836</v>
      </c>
      <c r="M927" t="s">
        <v>36</v>
      </c>
      <c r="N927" t="s">
        <v>214</v>
      </c>
      <c r="O927" t="s">
        <v>52</v>
      </c>
      <c r="P927" s="15">
        <v>32</v>
      </c>
      <c r="Q927" s="18">
        <v>173698</v>
      </c>
      <c r="R927" s="19">
        <v>23</v>
      </c>
      <c r="S927" s="14">
        <v>4.5999999999999996</v>
      </c>
      <c r="T927" s="7">
        <v>87</v>
      </c>
      <c r="U927" s="15">
        <v>11</v>
      </c>
      <c r="V927" s="15">
        <v>59</v>
      </c>
      <c r="W927" s="15">
        <v>66</v>
      </c>
      <c r="X927" t="s">
        <v>39</v>
      </c>
      <c r="Y927" t="s">
        <v>62</v>
      </c>
      <c r="Z927" s="14">
        <v>6.5</v>
      </c>
      <c r="AA927" s="12">
        <f>YEAR(Table1[Hire_Date])</f>
        <v>2020</v>
      </c>
      <c r="AB92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928" spans="1:28" x14ac:dyDescent="0.25">
      <c r="A928" t="s">
        <v>3837</v>
      </c>
      <c r="B928" s="16" t="s">
        <v>3838</v>
      </c>
      <c r="C928" s="16" t="s">
        <v>3839</v>
      </c>
      <c r="D928" t="s">
        <v>44</v>
      </c>
      <c r="E928" s="15">
        <v>30</v>
      </c>
      <c r="F928" s="16" t="s">
        <v>124</v>
      </c>
      <c r="G928" s="16" t="s">
        <v>13</v>
      </c>
      <c r="H928" s="16" t="s">
        <v>83</v>
      </c>
      <c r="I928" s="16" t="s">
        <v>48</v>
      </c>
      <c r="J928" s="16" t="s">
        <v>34</v>
      </c>
      <c r="K928" s="17" t="s">
        <v>3840</v>
      </c>
      <c r="M928" t="s">
        <v>36</v>
      </c>
      <c r="N928" t="s">
        <v>277</v>
      </c>
      <c r="O928" t="s">
        <v>38</v>
      </c>
      <c r="P928" s="15">
        <v>33</v>
      </c>
      <c r="Q928" s="18">
        <v>128826</v>
      </c>
      <c r="R928" s="19">
        <v>13</v>
      </c>
      <c r="S928" s="14">
        <v>4.4000000000000004</v>
      </c>
      <c r="T928" s="7">
        <v>50</v>
      </c>
      <c r="U928" s="15">
        <v>4</v>
      </c>
      <c r="V928" s="15">
        <v>40</v>
      </c>
      <c r="W928" s="15">
        <v>23</v>
      </c>
      <c r="X928" t="s">
        <v>39</v>
      </c>
      <c r="Y928" t="s">
        <v>40</v>
      </c>
      <c r="Z928" s="14">
        <v>3.4</v>
      </c>
      <c r="AA928" s="12">
        <f>YEAR(Table1[Hire_Date])</f>
        <v>2023</v>
      </c>
      <c r="AB92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929" spans="1:28" x14ac:dyDescent="0.25">
      <c r="A929" t="s">
        <v>3841</v>
      </c>
      <c r="B929" s="16" t="s">
        <v>3842</v>
      </c>
      <c r="C929" s="16" t="s">
        <v>3843</v>
      </c>
      <c r="D929" t="s">
        <v>44</v>
      </c>
      <c r="E929" s="15">
        <v>25</v>
      </c>
      <c r="F929" s="16" t="s">
        <v>72</v>
      </c>
      <c r="G929" s="16" t="s">
        <v>97</v>
      </c>
      <c r="H929" s="16" t="s">
        <v>32</v>
      </c>
      <c r="I929" s="16" t="s">
        <v>33</v>
      </c>
      <c r="J929" s="16" t="s">
        <v>34</v>
      </c>
      <c r="K929" s="17" t="s">
        <v>3844</v>
      </c>
      <c r="M929" t="s">
        <v>36</v>
      </c>
      <c r="N929" t="s">
        <v>469</v>
      </c>
      <c r="O929" t="s">
        <v>52</v>
      </c>
      <c r="P929" s="15">
        <v>9</v>
      </c>
      <c r="Q929" s="18">
        <v>159782</v>
      </c>
      <c r="R929" s="19">
        <v>23</v>
      </c>
      <c r="S929" s="14">
        <v>4.9000000000000004</v>
      </c>
      <c r="T929" s="7">
        <v>71</v>
      </c>
      <c r="U929" s="15">
        <v>16</v>
      </c>
      <c r="V929" s="15">
        <v>35</v>
      </c>
      <c r="W929" s="15">
        <v>64</v>
      </c>
      <c r="X929" t="s">
        <v>39</v>
      </c>
      <c r="Y929" t="s">
        <v>62</v>
      </c>
      <c r="Z929" s="14">
        <v>4.8</v>
      </c>
      <c r="AA929" s="12">
        <f>YEAR(Table1[Hire_Date])</f>
        <v>2021</v>
      </c>
      <c r="AB92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930" spans="1:28" x14ac:dyDescent="0.25">
      <c r="A930" t="s">
        <v>3845</v>
      </c>
      <c r="B930" s="16" t="s">
        <v>3846</v>
      </c>
      <c r="C930" s="16" t="s">
        <v>3847</v>
      </c>
      <c r="D930" t="s">
        <v>29</v>
      </c>
      <c r="E930" s="15">
        <v>60</v>
      </c>
      <c r="F930" s="16" t="s">
        <v>103</v>
      </c>
      <c r="G930" s="16" t="s">
        <v>147</v>
      </c>
      <c r="H930" s="16" t="s">
        <v>66</v>
      </c>
      <c r="I930" s="16" t="s">
        <v>57</v>
      </c>
      <c r="J930" s="16" t="s">
        <v>34</v>
      </c>
      <c r="K930" s="17" t="s">
        <v>3848</v>
      </c>
      <c r="M930" t="s">
        <v>36</v>
      </c>
      <c r="N930" t="s">
        <v>691</v>
      </c>
      <c r="O930" t="s">
        <v>52</v>
      </c>
      <c r="P930" s="15">
        <v>7</v>
      </c>
      <c r="Q930" s="18">
        <v>119022</v>
      </c>
      <c r="R930" s="19">
        <v>5</v>
      </c>
      <c r="S930" s="14">
        <v>3.2</v>
      </c>
      <c r="T930" s="7">
        <v>54</v>
      </c>
      <c r="U930" s="15">
        <v>7</v>
      </c>
      <c r="V930" s="15">
        <v>24</v>
      </c>
      <c r="W930" s="15">
        <v>41</v>
      </c>
      <c r="X930" t="s">
        <v>61</v>
      </c>
      <c r="Y930" t="s">
        <v>78</v>
      </c>
      <c r="Z930" s="14">
        <v>7.8</v>
      </c>
      <c r="AA930" s="12">
        <f>YEAR(Table1[Hire_Date])</f>
        <v>2018</v>
      </c>
      <c r="AB93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931" spans="1:28" x14ac:dyDescent="0.25">
      <c r="A931" t="s">
        <v>3849</v>
      </c>
      <c r="B931" s="16" t="s">
        <v>3850</v>
      </c>
      <c r="C931" s="16" t="s">
        <v>3851</v>
      </c>
      <c r="D931" t="s">
        <v>44</v>
      </c>
      <c r="E931" s="15">
        <v>31</v>
      </c>
      <c r="F931" s="16" t="s">
        <v>30</v>
      </c>
      <c r="G931" s="16" t="s">
        <v>31</v>
      </c>
      <c r="H931" s="16" t="s">
        <v>66</v>
      </c>
      <c r="I931" s="16" t="s">
        <v>57</v>
      </c>
      <c r="J931" s="16" t="s">
        <v>34</v>
      </c>
      <c r="K931" s="17" t="s">
        <v>2079</v>
      </c>
      <c r="L931" s="17" t="s">
        <v>3852</v>
      </c>
      <c r="M931" t="s">
        <v>76</v>
      </c>
      <c r="N931" t="s">
        <v>214</v>
      </c>
      <c r="O931" t="s">
        <v>52</v>
      </c>
      <c r="P931" s="15">
        <v>23</v>
      </c>
      <c r="Q931" s="18">
        <v>148158</v>
      </c>
      <c r="R931" s="19">
        <v>25</v>
      </c>
      <c r="S931" s="14">
        <v>3.3</v>
      </c>
      <c r="T931" s="7">
        <v>66</v>
      </c>
      <c r="U931" s="15">
        <v>20</v>
      </c>
      <c r="V931" s="15">
        <v>45</v>
      </c>
      <c r="W931" s="15">
        <v>27</v>
      </c>
      <c r="X931" t="s">
        <v>39</v>
      </c>
      <c r="Y931" t="s">
        <v>62</v>
      </c>
      <c r="Z931" s="14">
        <v>10.4</v>
      </c>
      <c r="AA931" s="12">
        <f>YEAR(Table1[Hire_Date])</f>
        <v>2016</v>
      </c>
      <c r="AB93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932" spans="1:28" x14ac:dyDescent="0.25">
      <c r="A932" t="s">
        <v>3853</v>
      </c>
      <c r="B932" s="16" t="s">
        <v>3854</v>
      </c>
      <c r="C932" s="16" t="s">
        <v>3855</v>
      </c>
      <c r="D932" t="s">
        <v>44</v>
      </c>
      <c r="E932" s="15">
        <v>39</v>
      </c>
      <c r="F932" s="16" t="s">
        <v>90</v>
      </c>
      <c r="G932" s="16" t="s">
        <v>281</v>
      </c>
      <c r="H932" s="16" t="s">
        <v>56</v>
      </c>
      <c r="I932" s="16" t="s">
        <v>57</v>
      </c>
      <c r="J932" s="16" t="s">
        <v>49</v>
      </c>
      <c r="K932" s="17" t="s">
        <v>1743</v>
      </c>
      <c r="M932" t="s">
        <v>36</v>
      </c>
      <c r="N932" t="s">
        <v>99</v>
      </c>
      <c r="O932" t="s">
        <v>38</v>
      </c>
      <c r="P932" s="15">
        <v>6</v>
      </c>
      <c r="Q932" s="18">
        <v>150964</v>
      </c>
      <c r="R932" s="19">
        <v>17</v>
      </c>
      <c r="S932" s="14">
        <v>3</v>
      </c>
      <c r="T932" s="7">
        <v>67</v>
      </c>
      <c r="U932" s="15">
        <v>9</v>
      </c>
      <c r="V932" s="15">
        <v>48</v>
      </c>
      <c r="W932" s="15">
        <v>45</v>
      </c>
      <c r="X932" t="s">
        <v>61</v>
      </c>
      <c r="Y932" t="s">
        <v>40</v>
      </c>
      <c r="Z932" s="14">
        <v>1.8</v>
      </c>
      <c r="AA932" s="12">
        <f>YEAR(Table1[Hire_Date])</f>
        <v>2024</v>
      </c>
      <c r="AB93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933" spans="1:28" x14ac:dyDescent="0.25">
      <c r="A933" t="s">
        <v>3856</v>
      </c>
      <c r="B933" s="16" t="s">
        <v>3857</v>
      </c>
      <c r="C933" s="16" t="s">
        <v>3858</v>
      </c>
      <c r="D933" t="s">
        <v>44</v>
      </c>
      <c r="E933" s="15">
        <v>28</v>
      </c>
      <c r="F933" s="16" t="s">
        <v>30</v>
      </c>
      <c r="G933" s="16" t="s">
        <v>31</v>
      </c>
      <c r="H933" s="16" t="s">
        <v>83</v>
      </c>
      <c r="I933" s="16" t="s">
        <v>33</v>
      </c>
      <c r="J933" s="16" t="s">
        <v>34</v>
      </c>
      <c r="K933" s="17" t="s">
        <v>3859</v>
      </c>
      <c r="M933" t="s">
        <v>36</v>
      </c>
      <c r="N933" t="s">
        <v>126</v>
      </c>
      <c r="O933" t="s">
        <v>60</v>
      </c>
      <c r="P933" s="15">
        <v>17</v>
      </c>
      <c r="Q933" s="18">
        <v>72183</v>
      </c>
      <c r="R933" s="19">
        <v>24</v>
      </c>
      <c r="S933" s="14">
        <v>4.5</v>
      </c>
      <c r="T933" s="7">
        <v>89</v>
      </c>
      <c r="U933" s="15">
        <v>11</v>
      </c>
      <c r="V933" s="15">
        <v>55</v>
      </c>
      <c r="W933" s="15">
        <v>42</v>
      </c>
      <c r="X933" t="s">
        <v>61</v>
      </c>
      <c r="Y933" t="s">
        <v>78</v>
      </c>
      <c r="Z933" s="14">
        <v>10.1</v>
      </c>
      <c r="AA933" s="12">
        <f>YEAR(Table1[Hire_Date])</f>
        <v>2016</v>
      </c>
      <c r="AB93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934" spans="1:28" x14ac:dyDescent="0.25">
      <c r="A934" t="s">
        <v>3860</v>
      </c>
      <c r="B934" s="16" t="s">
        <v>3861</v>
      </c>
      <c r="C934" s="16" t="s">
        <v>3862</v>
      </c>
      <c r="D934" t="s">
        <v>29</v>
      </c>
      <c r="E934" s="15">
        <v>36</v>
      </c>
      <c r="F934" s="16" t="s">
        <v>90</v>
      </c>
      <c r="G934" s="16" t="s">
        <v>13</v>
      </c>
      <c r="H934" s="16" t="s">
        <v>56</v>
      </c>
      <c r="I934" s="16" t="s">
        <v>48</v>
      </c>
      <c r="J934" s="16" t="s">
        <v>34</v>
      </c>
      <c r="K934" s="17" t="s">
        <v>3863</v>
      </c>
      <c r="M934" t="s">
        <v>36</v>
      </c>
      <c r="N934" t="s">
        <v>337</v>
      </c>
      <c r="O934" t="s">
        <v>52</v>
      </c>
      <c r="P934" s="15">
        <v>15</v>
      </c>
      <c r="Q934" s="18">
        <v>143026</v>
      </c>
      <c r="R934" s="19">
        <v>11</v>
      </c>
      <c r="S934" s="14">
        <v>4.8</v>
      </c>
      <c r="T934" s="7">
        <v>50</v>
      </c>
      <c r="U934" s="15">
        <v>0</v>
      </c>
      <c r="V934" s="15">
        <v>44</v>
      </c>
      <c r="W934" s="15">
        <v>72</v>
      </c>
      <c r="X934" t="s">
        <v>61</v>
      </c>
      <c r="Y934" t="s">
        <v>78</v>
      </c>
      <c r="Z934" s="14">
        <v>6.6</v>
      </c>
      <c r="AA934" s="12">
        <f>YEAR(Table1[Hire_Date])</f>
        <v>2020</v>
      </c>
      <c r="AB93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935" spans="1:28" x14ac:dyDescent="0.25">
      <c r="A935" t="s">
        <v>3864</v>
      </c>
      <c r="B935" s="16" t="s">
        <v>3865</v>
      </c>
      <c r="C935" s="16" t="s">
        <v>3866</v>
      </c>
      <c r="D935" t="s">
        <v>44</v>
      </c>
      <c r="E935" s="15">
        <v>28</v>
      </c>
      <c r="F935" s="16" t="s">
        <v>124</v>
      </c>
      <c r="G935" s="16" t="s">
        <v>104</v>
      </c>
      <c r="H935" s="16" t="s">
        <v>83</v>
      </c>
      <c r="I935" s="16" t="s">
        <v>57</v>
      </c>
      <c r="J935" s="16" t="s">
        <v>49</v>
      </c>
      <c r="K935" s="17" t="s">
        <v>3867</v>
      </c>
      <c r="M935" t="s">
        <v>36</v>
      </c>
      <c r="N935" t="s">
        <v>337</v>
      </c>
      <c r="O935" t="s">
        <v>60</v>
      </c>
      <c r="P935" s="15">
        <v>19</v>
      </c>
      <c r="Q935" s="18">
        <v>64295</v>
      </c>
      <c r="R935" s="19">
        <v>9</v>
      </c>
      <c r="S935" s="14">
        <v>2.6</v>
      </c>
      <c r="T935" s="7">
        <v>70</v>
      </c>
      <c r="U935" s="15">
        <v>13</v>
      </c>
      <c r="V935" s="15">
        <v>44</v>
      </c>
      <c r="W935" s="15">
        <v>57</v>
      </c>
      <c r="X935" t="s">
        <v>61</v>
      </c>
      <c r="Y935" t="s">
        <v>62</v>
      </c>
      <c r="Z935" s="14">
        <v>10.3</v>
      </c>
      <c r="AA935" s="12">
        <f>YEAR(Table1[Hire_Date])</f>
        <v>2016</v>
      </c>
      <c r="AB93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936" spans="1:28" x14ac:dyDescent="0.25">
      <c r="A936" t="s">
        <v>3868</v>
      </c>
      <c r="B936" s="16" t="s">
        <v>3869</v>
      </c>
      <c r="C936" s="16" t="s">
        <v>3870</v>
      </c>
      <c r="D936" t="s">
        <v>44</v>
      </c>
      <c r="E936" s="15">
        <v>35</v>
      </c>
      <c r="F936" s="16" t="s">
        <v>103</v>
      </c>
      <c r="G936" s="16" t="s">
        <v>13</v>
      </c>
      <c r="H936" s="16" t="s">
        <v>47</v>
      </c>
      <c r="I936" s="16" t="s">
        <v>57</v>
      </c>
      <c r="J936" s="16" t="s">
        <v>34</v>
      </c>
      <c r="K936" s="17" t="s">
        <v>3871</v>
      </c>
      <c r="M936" t="s">
        <v>36</v>
      </c>
      <c r="N936" t="s">
        <v>491</v>
      </c>
      <c r="O936" t="s">
        <v>60</v>
      </c>
      <c r="P936" s="15">
        <v>22</v>
      </c>
      <c r="Q936" s="18">
        <v>78897</v>
      </c>
      <c r="R936" s="19">
        <v>8</v>
      </c>
      <c r="S936" s="14">
        <v>2.7</v>
      </c>
      <c r="T936" s="7">
        <v>74</v>
      </c>
      <c r="U936" s="15">
        <v>7</v>
      </c>
      <c r="V936" s="15">
        <v>40</v>
      </c>
      <c r="W936" s="15">
        <v>17</v>
      </c>
      <c r="X936" t="s">
        <v>61</v>
      </c>
      <c r="Y936" t="s">
        <v>40</v>
      </c>
      <c r="Z936" s="14">
        <v>2.4</v>
      </c>
      <c r="AA936" s="12">
        <f>YEAR(Table1[Hire_Date])</f>
        <v>2024</v>
      </c>
      <c r="AB93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937" spans="1:28" x14ac:dyDescent="0.25">
      <c r="A937" t="s">
        <v>3872</v>
      </c>
      <c r="B937" s="16" t="s">
        <v>3873</v>
      </c>
      <c r="C937" s="16" t="s">
        <v>3874</v>
      </c>
      <c r="D937" t="s">
        <v>29</v>
      </c>
      <c r="E937" s="15">
        <v>59</v>
      </c>
      <c r="F937" s="16" t="s">
        <v>30</v>
      </c>
      <c r="G937" s="16" t="s">
        <v>13</v>
      </c>
      <c r="H937" s="16" t="s">
        <v>47</v>
      </c>
      <c r="I937" s="16" t="s">
        <v>48</v>
      </c>
      <c r="J937" s="16" t="s">
        <v>49</v>
      </c>
      <c r="K937" s="17" t="s">
        <v>3875</v>
      </c>
      <c r="M937" t="s">
        <v>36</v>
      </c>
      <c r="N937" t="s">
        <v>268</v>
      </c>
      <c r="O937" t="s">
        <v>60</v>
      </c>
      <c r="P937" s="15">
        <v>22</v>
      </c>
      <c r="Q937" s="18">
        <v>49459</v>
      </c>
      <c r="R937" s="19">
        <v>7</v>
      </c>
      <c r="S937" s="14">
        <v>4.8</v>
      </c>
      <c r="T937" s="7">
        <v>92</v>
      </c>
      <c r="U937" s="15">
        <v>13</v>
      </c>
      <c r="V937" s="15">
        <v>54</v>
      </c>
      <c r="W937" s="15">
        <v>23</v>
      </c>
      <c r="X937" t="s">
        <v>61</v>
      </c>
      <c r="Y937" t="s">
        <v>40</v>
      </c>
      <c r="Z937" s="14">
        <v>10.4</v>
      </c>
      <c r="AA937" s="12">
        <f>YEAR(Table1[Hire_Date])</f>
        <v>2016</v>
      </c>
      <c r="AB93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938" spans="1:28" x14ac:dyDescent="0.25">
      <c r="A938" t="s">
        <v>3876</v>
      </c>
      <c r="B938" s="16" t="s">
        <v>3877</v>
      </c>
      <c r="C938" s="16" t="s">
        <v>3878</v>
      </c>
      <c r="D938" t="s">
        <v>44</v>
      </c>
      <c r="E938" s="15">
        <v>28</v>
      </c>
      <c r="F938" s="16" t="s">
        <v>30</v>
      </c>
      <c r="G938" s="16" t="s">
        <v>31</v>
      </c>
      <c r="H938" s="16" t="s">
        <v>83</v>
      </c>
      <c r="I938" s="16" t="s">
        <v>33</v>
      </c>
      <c r="J938" s="16" t="s">
        <v>34</v>
      </c>
      <c r="K938" s="17" t="s">
        <v>3879</v>
      </c>
      <c r="M938" t="s">
        <v>36</v>
      </c>
      <c r="N938" t="s">
        <v>858</v>
      </c>
      <c r="O938" t="s">
        <v>60</v>
      </c>
      <c r="P938" s="15">
        <v>25</v>
      </c>
      <c r="Q938" s="18">
        <v>83351</v>
      </c>
      <c r="R938" s="19">
        <v>15</v>
      </c>
      <c r="S938" s="14">
        <v>4.4000000000000004</v>
      </c>
      <c r="T938" s="7">
        <v>83</v>
      </c>
      <c r="U938" s="15">
        <v>20</v>
      </c>
      <c r="V938" s="15">
        <v>49</v>
      </c>
      <c r="W938" s="15">
        <v>29</v>
      </c>
      <c r="X938" t="s">
        <v>39</v>
      </c>
      <c r="Y938" t="s">
        <v>62</v>
      </c>
      <c r="Z938" s="14">
        <v>3.9</v>
      </c>
      <c r="AA938" s="12">
        <f>YEAR(Table1[Hire_Date])</f>
        <v>2022</v>
      </c>
      <c r="AB93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939" spans="1:28" x14ac:dyDescent="0.25">
      <c r="A939" t="s">
        <v>3880</v>
      </c>
      <c r="B939" s="16" t="s">
        <v>3881</v>
      </c>
      <c r="C939" s="16" t="s">
        <v>3882</v>
      </c>
      <c r="D939" t="s">
        <v>29</v>
      </c>
      <c r="E939" s="15">
        <v>57</v>
      </c>
      <c r="F939" s="16" t="s">
        <v>124</v>
      </c>
      <c r="G939" s="16" t="s">
        <v>13</v>
      </c>
      <c r="H939" s="16" t="s">
        <v>56</v>
      </c>
      <c r="I939" s="16" t="s">
        <v>57</v>
      </c>
      <c r="J939" s="16" t="s">
        <v>34</v>
      </c>
      <c r="K939" s="17" t="s">
        <v>3883</v>
      </c>
      <c r="M939" t="s">
        <v>36</v>
      </c>
      <c r="N939" t="s">
        <v>137</v>
      </c>
      <c r="O939" t="s">
        <v>52</v>
      </c>
      <c r="P939" s="15">
        <v>10</v>
      </c>
      <c r="Q939" s="18">
        <v>103564</v>
      </c>
      <c r="R939" s="19">
        <v>14</v>
      </c>
      <c r="S939" s="14">
        <v>4.9000000000000004</v>
      </c>
      <c r="T939" s="7">
        <v>67</v>
      </c>
      <c r="U939" s="15">
        <v>5</v>
      </c>
      <c r="V939" s="15">
        <v>19</v>
      </c>
      <c r="W939" s="15">
        <v>8</v>
      </c>
      <c r="X939" t="s">
        <v>61</v>
      </c>
      <c r="Y939" t="s">
        <v>62</v>
      </c>
      <c r="Z939" s="14">
        <v>1.1000000000000001</v>
      </c>
      <c r="AA939" s="12">
        <f>YEAR(Table1[Hire_Date])</f>
        <v>2025</v>
      </c>
      <c r="AB93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940" spans="1:28" x14ac:dyDescent="0.25">
      <c r="A940" t="s">
        <v>3884</v>
      </c>
      <c r="B940" s="16" t="s">
        <v>3885</v>
      </c>
      <c r="C940" s="16" t="s">
        <v>3886</v>
      </c>
      <c r="D940" t="s">
        <v>44</v>
      </c>
      <c r="E940" s="15">
        <v>32</v>
      </c>
      <c r="F940" s="16" t="s">
        <v>90</v>
      </c>
      <c r="G940" s="16" t="s">
        <v>13</v>
      </c>
      <c r="H940" s="16" t="s">
        <v>32</v>
      </c>
      <c r="I940" s="16" t="s">
        <v>48</v>
      </c>
      <c r="J940" s="16" t="s">
        <v>49</v>
      </c>
      <c r="K940" s="17" t="s">
        <v>3887</v>
      </c>
      <c r="M940" t="s">
        <v>36</v>
      </c>
      <c r="N940" t="s">
        <v>51</v>
      </c>
      <c r="O940" t="s">
        <v>38</v>
      </c>
      <c r="P940" s="15">
        <v>11</v>
      </c>
      <c r="Q940" s="18">
        <v>134834</v>
      </c>
      <c r="R940" s="19">
        <v>7</v>
      </c>
      <c r="S940" s="14">
        <v>2.8</v>
      </c>
      <c r="T940" s="7">
        <v>95</v>
      </c>
      <c r="U940" s="15">
        <v>19</v>
      </c>
      <c r="V940" s="15">
        <v>22</v>
      </c>
      <c r="W940" s="15">
        <v>77</v>
      </c>
      <c r="X940" t="s">
        <v>39</v>
      </c>
      <c r="Y940" t="s">
        <v>62</v>
      </c>
      <c r="Z940" s="14">
        <v>0.6</v>
      </c>
      <c r="AA940" s="12">
        <f>YEAR(Table1[Hire_Date])</f>
        <v>2026</v>
      </c>
      <c r="AB94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941" spans="1:28" x14ac:dyDescent="0.25">
      <c r="A941" t="s">
        <v>3888</v>
      </c>
      <c r="B941" s="16" t="s">
        <v>3889</v>
      </c>
      <c r="C941" s="16" t="s">
        <v>3890</v>
      </c>
      <c r="D941" t="s">
        <v>44</v>
      </c>
      <c r="E941" s="15">
        <v>38</v>
      </c>
      <c r="F941" s="16" t="s">
        <v>30</v>
      </c>
      <c r="G941" s="16" t="s">
        <v>31</v>
      </c>
      <c r="H941" s="16" t="s">
        <v>83</v>
      </c>
      <c r="I941" s="16" t="s">
        <v>57</v>
      </c>
      <c r="J941" s="16" t="s">
        <v>49</v>
      </c>
      <c r="K941" s="17" t="s">
        <v>3891</v>
      </c>
      <c r="M941" t="s">
        <v>36</v>
      </c>
      <c r="N941" t="s">
        <v>126</v>
      </c>
      <c r="O941" t="s">
        <v>60</v>
      </c>
      <c r="P941" s="15">
        <v>30</v>
      </c>
      <c r="Q941" s="18">
        <v>92875</v>
      </c>
      <c r="R941" s="19">
        <v>5</v>
      </c>
      <c r="S941" s="14">
        <v>3.1</v>
      </c>
      <c r="T941" s="7">
        <v>85</v>
      </c>
      <c r="U941" s="15">
        <v>3</v>
      </c>
      <c r="V941" s="15">
        <v>20</v>
      </c>
      <c r="W941" s="15">
        <v>43</v>
      </c>
      <c r="X941" t="s">
        <v>61</v>
      </c>
      <c r="Y941" t="s">
        <v>62</v>
      </c>
      <c r="Z941" s="14">
        <v>5.9</v>
      </c>
      <c r="AA941" s="12">
        <f>YEAR(Table1[Hire_Date])</f>
        <v>2020</v>
      </c>
      <c r="AB94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942" spans="1:28" x14ac:dyDescent="0.25">
      <c r="A942" t="s">
        <v>3892</v>
      </c>
      <c r="B942" s="16" t="s">
        <v>3893</v>
      </c>
      <c r="C942" s="16" t="s">
        <v>3894</v>
      </c>
      <c r="D942" t="s">
        <v>29</v>
      </c>
      <c r="E942" s="15">
        <v>53</v>
      </c>
      <c r="F942" s="16" t="s">
        <v>30</v>
      </c>
      <c r="G942" s="16" t="s">
        <v>13</v>
      </c>
      <c r="H942" s="16" t="s">
        <v>83</v>
      </c>
      <c r="I942" s="16" t="s">
        <v>33</v>
      </c>
      <c r="J942" s="16" t="s">
        <v>34</v>
      </c>
      <c r="K942" s="17" t="s">
        <v>2386</v>
      </c>
      <c r="M942" t="s">
        <v>36</v>
      </c>
      <c r="N942" t="s">
        <v>353</v>
      </c>
      <c r="O942" t="s">
        <v>60</v>
      </c>
      <c r="P942" s="15">
        <v>5</v>
      </c>
      <c r="Q942" s="18">
        <v>85607</v>
      </c>
      <c r="R942" s="19">
        <v>23</v>
      </c>
      <c r="S942" s="14">
        <v>3.9</v>
      </c>
      <c r="T942" s="7">
        <v>67</v>
      </c>
      <c r="U942" s="15">
        <v>17</v>
      </c>
      <c r="V942" s="15">
        <v>57</v>
      </c>
      <c r="W942" s="15">
        <v>29</v>
      </c>
      <c r="X942" t="s">
        <v>39</v>
      </c>
      <c r="Y942" t="s">
        <v>40</v>
      </c>
      <c r="Z942" s="14">
        <v>3</v>
      </c>
      <c r="AA942" s="12">
        <f>YEAR(Table1[Hire_Date])</f>
        <v>2023</v>
      </c>
      <c r="AB94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943" spans="1:28" x14ac:dyDescent="0.25">
      <c r="A943" t="s">
        <v>3895</v>
      </c>
      <c r="B943" s="16" t="s">
        <v>3896</v>
      </c>
      <c r="C943" s="16" t="s">
        <v>3897</v>
      </c>
      <c r="D943" t="s">
        <v>29</v>
      </c>
      <c r="E943" s="15">
        <v>58</v>
      </c>
      <c r="F943" s="16" t="s">
        <v>45</v>
      </c>
      <c r="G943" s="16" t="s">
        <v>82</v>
      </c>
      <c r="H943" s="16" t="s">
        <v>66</v>
      </c>
      <c r="I943" s="16" t="s">
        <v>57</v>
      </c>
      <c r="J943" s="16" t="s">
        <v>49</v>
      </c>
      <c r="K943" s="17" t="s">
        <v>3898</v>
      </c>
      <c r="L943" s="17" t="s">
        <v>3125</v>
      </c>
      <c r="M943" t="s">
        <v>76</v>
      </c>
      <c r="N943" t="s">
        <v>243</v>
      </c>
      <c r="O943" t="s">
        <v>52</v>
      </c>
      <c r="P943" s="15">
        <v>2</v>
      </c>
      <c r="Q943" s="18">
        <v>144636</v>
      </c>
      <c r="R943" s="19">
        <v>16</v>
      </c>
      <c r="S943" s="14">
        <v>4.5999999999999996</v>
      </c>
      <c r="T943" s="7">
        <v>78</v>
      </c>
      <c r="U943" s="15">
        <v>20</v>
      </c>
      <c r="V943" s="15">
        <v>29</v>
      </c>
      <c r="W943" s="15">
        <v>68</v>
      </c>
      <c r="X943" t="s">
        <v>39</v>
      </c>
      <c r="Y943" t="s">
        <v>78</v>
      </c>
      <c r="Z943" s="14">
        <v>8.4</v>
      </c>
      <c r="AA943" s="12">
        <f>YEAR(Table1[Hire_Date])</f>
        <v>2018</v>
      </c>
      <c r="AB94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944" spans="1:28" x14ac:dyDescent="0.25">
      <c r="A944" t="s">
        <v>3899</v>
      </c>
      <c r="B944" s="16" t="s">
        <v>3900</v>
      </c>
      <c r="C944" s="16" t="s">
        <v>3901</v>
      </c>
      <c r="D944" t="s">
        <v>29</v>
      </c>
      <c r="E944" s="15">
        <v>31</v>
      </c>
      <c r="F944" s="16" t="s">
        <v>72</v>
      </c>
      <c r="G944" s="16" t="s">
        <v>73</v>
      </c>
      <c r="H944" s="16" t="s">
        <v>56</v>
      </c>
      <c r="I944" s="16" t="s">
        <v>48</v>
      </c>
      <c r="J944" s="16" t="s">
        <v>34</v>
      </c>
      <c r="K944" s="17" t="s">
        <v>3902</v>
      </c>
      <c r="M944" t="s">
        <v>36</v>
      </c>
      <c r="N944" t="s">
        <v>328</v>
      </c>
      <c r="O944" t="s">
        <v>52</v>
      </c>
      <c r="P944" s="15">
        <v>33</v>
      </c>
      <c r="Q944" s="18">
        <v>155014</v>
      </c>
      <c r="R944" s="19">
        <v>8</v>
      </c>
      <c r="S944" s="14">
        <v>2.9</v>
      </c>
      <c r="T944" s="7">
        <v>97</v>
      </c>
      <c r="U944" s="15">
        <v>13</v>
      </c>
      <c r="V944" s="15">
        <v>9</v>
      </c>
      <c r="W944" s="15">
        <v>7</v>
      </c>
      <c r="X944" t="s">
        <v>39</v>
      </c>
      <c r="Y944" t="s">
        <v>62</v>
      </c>
      <c r="Z944" s="14">
        <v>1.7</v>
      </c>
      <c r="AA944" s="12">
        <f>YEAR(Table1[Hire_Date])</f>
        <v>2024</v>
      </c>
      <c r="AB94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945" spans="1:28" x14ac:dyDescent="0.25">
      <c r="A945" t="s">
        <v>3903</v>
      </c>
      <c r="B945" s="16" t="s">
        <v>3904</v>
      </c>
      <c r="C945" s="16" t="s">
        <v>3905</v>
      </c>
      <c r="D945" t="s">
        <v>44</v>
      </c>
      <c r="E945" s="15">
        <v>27</v>
      </c>
      <c r="F945" s="16" t="s">
        <v>124</v>
      </c>
      <c r="G945" s="16" t="s">
        <v>13</v>
      </c>
      <c r="H945" s="16" t="s">
        <v>83</v>
      </c>
      <c r="I945" s="16" t="s">
        <v>57</v>
      </c>
      <c r="J945" s="16" t="s">
        <v>49</v>
      </c>
      <c r="K945" s="17" t="s">
        <v>3906</v>
      </c>
      <c r="M945" t="s">
        <v>36</v>
      </c>
      <c r="N945" t="s">
        <v>469</v>
      </c>
      <c r="O945" t="s">
        <v>38</v>
      </c>
      <c r="P945" s="15">
        <v>20</v>
      </c>
      <c r="Q945" s="18">
        <v>154638</v>
      </c>
      <c r="R945" s="19">
        <v>15</v>
      </c>
      <c r="S945" s="14">
        <v>4.5</v>
      </c>
      <c r="T945" s="7">
        <v>57</v>
      </c>
      <c r="U945" s="15">
        <v>9</v>
      </c>
      <c r="V945" s="15">
        <v>34</v>
      </c>
      <c r="W945" s="15">
        <v>30</v>
      </c>
      <c r="X945" t="s">
        <v>61</v>
      </c>
      <c r="Y945" t="s">
        <v>78</v>
      </c>
      <c r="Z945" s="14">
        <v>6.8</v>
      </c>
      <c r="AA945" s="12">
        <f>YEAR(Table1[Hire_Date])</f>
        <v>2019</v>
      </c>
      <c r="AB94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946" spans="1:28" x14ac:dyDescent="0.25">
      <c r="A946" t="s">
        <v>3907</v>
      </c>
      <c r="B946" s="16" t="s">
        <v>3908</v>
      </c>
      <c r="C946" s="16" t="s">
        <v>3909</v>
      </c>
      <c r="D946" t="s">
        <v>29</v>
      </c>
      <c r="E946" s="15">
        <v>23</v>
      </c>
      <c r="F946" s="16" t="s">
        <v>30</v>
      </c>
      <c r="G946" s="16" t="s">
        <v>31</v>
      </c>
      <c r="H946" s="16" t="s">
        <v>66</v>
      </c>
      <c r="I946" s="16" t="s">
        <v>33</v>
      </c>
      <c r="J946" s="16" t="s">
        <v>34</v>
      </c>
      <c r="K946" s="17" t="s">
        <v>3910</v>
      </c>
      <c r="M946" t="s">
        <v>36</v>
      </c>
      <c r="N946" t="s">
        <v>126</v>
      </c>
      <c r="O946" t="s">
        <v>38</v>
      </c>
      <c r="P946" s="15">
        <v>31</v>
      </c>
      <c r="Q946" s="18">
        <v>129886</v>
      </c>
      <c r="R946" s="19">
        <v>10</v>
      </c>
      <c r="S946" s="14">
        <v>4.7</v>
      </c>
      <c r="T946" s="7">
        <v>52</v>
      </c>
      <c r="U946" s="15">
        <v>4</v>
      </c>
      <c r="V946" s="15">
        <v>12</v>
      </c>
      <c r="W946" s="15">
        <v>77</v>
      </c>
      <c r="X946" t="s">
        <v>39</v>
      </c>
      <c r="Y946" t="s">
        <v>78</v>
      </c>
      <c r="Z946" s="14">
        <v>9.6</v>
      </c>
      <c r="AA946" s="12">
        <f>YEAR(Table1[Hire_Date])</f>
        <v>2016</v>
      </c>
      <c r="AB94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947" spans="1:28" x14ac:dyDescent="0.25">
      <c r="A947" t="s">
        <v>3911</v>
      </c>
      <c r="B947" s="16" t="s">
        <v>3912</v>
      </c>
      <c r="C947" s="16" t="s">
        <v>3913</v>
      </c>
      <c r="D947" t="s">
        <v>29</v>
      </c>
      <c r="E947" s="15">
        <v>56</v>
      </c>
      <c r="F947" s="16" t="s">
        <v>90</v>
      </c>
      <c r="G947" s="16" t="s">
        <v>13</v>
      </c>
      <c r="H947" s="16" t="s">
        <v>66</v>
      </c>
      <c r="I947" s="16" t="s">
        <v>33</v>
      </c>
      <c r="J947" s="16" t="s">
        <v>49</v>
      </c>
      <c r="K947" s="17" t="s">
        <v>3914</v>
      </c>
      <c r="M947" t="s">
        <v>36</v>
      </c>
      <c r="N947" t="s">
        <v>189</v>
      </c>
      <c r="O947" t="s">
        <v>52</v>
      </c>
      <c r="P947" s="15">
        <v>24</v>
      </c>
      <c r="Q947" s="18">
        <v>114698</v>
      </c>
      <c r="R947" s="19">
        <v>11</v>
      </c>
      <c r="S947" s="14">
        <v>3.2</v>
      </c>
      <c r="T947" s="7">
        <v>85</v>
      </c>
      <c r="U947" s="15">
        <v>15</v>
      </c>
      <c r="V947" s="15">
        <v>19</v>
      </c>
      <c r="W947" s="15">
        <v>80</v>
      </c>
      <c r="X947" t="s">
        <v>39</v>
      </c>
      <c r="Y947" t="s">
        <v>78</v>
      </c>
      <c r="Z947" s="14">
        <v>10.3</v>
      </c>
      <c r="AA947" s="12">
        <f>YEAR(Table1[Hire_Date])</f>
        <v>2016</v>
      </c>
      <c r="AB94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948" spans="1:28" x14ac:dyDescent="0.25">
      <c r="A948" t="s">
        <v>3915</v>
      </c>
      <c r="B948" s="16" t="s">
        <v>3916</v>
      </c>
      <c r="C948" s="16" t="s">
        <v>3917</v>
      </c>
      <c r="D948" t="s">
        <v>44</v>
      </c>
      <c r="E948" s="15">
        <v>56</v>
      </c>
      <c r="F948" s="16" t="s">
        <v>90</v>
      </c>
      <c r="G948" s="16" t="s">
        <v>281</v>
      </c>
      <c r="H948" s="16" t="s">
        <v>83</v>
      </c>
      <c r="I948" s="16" t="s">
        <v>57</v>
      </c>
      <c r="J948" s="16" t="s">
        <v>34</v>
      </c>
      <c r="K948" s="17" t="s">
        <v>3918</v>
      </c>
      <c r="M948" t="s">
        <v>36</v>
      </c>
      <c r="N948" t="s">
        <v>229</v>
      </c>
      <c r="O948" t="s">
        <v>38</v>
      </c>
      <c r="P948" s="15">
        <v>29</v>
      </c>
      <c r="Q948" s="18">
        <v>169542</v>
      </c>
      <c r="R948" s="19">
        <v>12</v>
      </c>
      <c r="S948" s="14">
        <v>4.3</v>
      </c>
      <c r="T948" s="7">
        <v>94</v>
      </c>
      <c r="U948" s="15">
        <v>17</v>
      </c>
      <c r="V948" s="15">
        <v>26</v>
      </c>
      <c r="W948" s="15">
        <v>22</v>
      </c>
      <c r="X948" t="s">
        <v>39</v>
      </c>
      <c r="Y948" t="s">
        <v>40</v>
      </c>
      <c r="Z948" s="14">
        <v>0.3</v>
      </c>
      <c r="AA948" s="12">
        <f>YEAR(Table1[Hire_Date])</f>
        <v>2026</v>
      </c>
      <c r="AB94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949" spans="1:28" x14ac:dyDescent="0.25">
      <c r="A949" t="s">
        <v>3919</v>
      </c>
      <c r="B949" s="16" t="s">
        <v>3920</v>
      </c>
      <c r="C949" s="16" t="s">
        <v>3921</v>
      </c>
      <c r="D949" t="s">
        <v>44</v>
      </c>
      <c r="E949" s="15">
        <v>31</v>
      </c>
      <c r="F949" s="16" t="s">
        <v>45</v>
      </c>
      <c r="G949" s="16" t="s">
        <v>82</v>
      </c>
      <c r="H949" s="16" t="s">
        <v>47</v>
      </c>
      <c r="I949" s="16" t="s">
        <v>33</v>
      </c>
      <c r="J949" s="16" t="s">
        <v>49</v>
      </c>
      <c r="K949" s="17" t="s">
        <v>2135</v>
      </c>
      <c r="M949" t="s">
        <v>36</v>
      </c>
      <c r="N949" t="s">
        <v>536</v>
      </c>
      <c r="O949" t="s">
        <v>38</v>
      </c>
      <c r="P949" s="15">
        <v>34</v>
      </c>
      <c r="Q949" s="18">
        <v>171165</v>
      </c>
      <c r="R949" s="19">
        <v>12</v>
      </c>
      <c r="S949" s="14">
        <v>4.9000000000000004</v>
      </c>
      <c r="T949" s="7">
        <v>73</v>
      </c>
      <c r="U949" s="15">
        <v>9</v>
      </c>
      <c r="V949" s="15">
        <v>2</v>
      </c>
      <c r="W949" s="15">
        <v>19</v>
      </c>
      <c r="X949" t="s">
        <v>39</v>
      </c>
      <c r="Y949" t="s">
        <v>78</v>
      </c>
      <c r="Z949" s="14">
        <v>10.4</v>
      </c>
      <c r="AA949" s="12">
        <f>YEAR(Table1[Hire_Date])</f>
        <v>2016</v>
      </c>
      <c r="AB94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950" spans="1:28" x14ac:dyDescent="0.25">
      <c r="A950" t="s">
        <v>3922</v>
      </c>
      <c r="B950" s="16" t="s">
        <v>3923</v>
      </c>
      <c r="C950" s="16" t="s">
        <v>3924</v>
      </c>
      <c r="D950" t="s">
        <v>44</v>
      </c>
      <c r="E950" s="15">
        <v>30</v>
      </c>
      <c r="F950" s="16" t="s">
        <v>45</v>
      </c>
      <c r="G950" s="16" t="s">
        <v>46</v>
      </c>
      <c r="H950" s="16" t="s">
        <v>47</v>
      </c>
      <c r="I950" s="16" t="s">
        <v>48</v>
      </c>
      <c r="J950" s="16" t="s">
        <v>34</v>
      </c>
      <c r="K950" s="17" t="s">
        <v>3925</v>
      </c>
      <c r="L950" s="17" t="s">
        <v>3926</v>
      </c>
      <c r="M950" t="s">
        <v>76</v>
      </c>
      <c r="N950" t="s">
        <v>268</v>
      </c>
      <c r="O950" t="s">
        <v>60</v>
      </c>
      <c r="P950" s="15">
        <v>33</v>
      </c>
      <c r="Q950" s="18">
        <v>94840</v>
      </c>
      <c r="R950" s="19">
        <v>13</v>
      </c>
      <c r="S950" s="14">
        <v>4.7</v>
      </c>
      <c r="T950" s="7">
        <v>50</v>
      </c>
      <c r="U950" s="15">
        <v>17</v>
      </c>
      <c r="V950" s="15">
        <v>24</v>
      </c>
      <c r="W950" s="15">
        <v>60</v>
      </c>
      <c r="X950" t="s">
        <v>61</v>
      </c>
      <c r="Y950" t="s">
        <v>40</v>
      </c>
      <c r="Z950" s="14">
        <v>5.5</v>
      </c>
      <c r="AA950" s="12">
        <f>YEAR(Table1[Hire_Date])</f>
        <v>2021</v>
      </c>
      <c r="AB95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951" spans="1:28" x14ac:dyDescent="0.25">
      <c r="A951" t="s">
        <v>3927</v>
      </c>
      <c r="B951" s="16" t="s">
        <v>3928</v>
      </c>
      <c r="C951" s="16" t="s">
        <v>3929</v>
      </c>
      <c r="D951" t="s">
        <v>29</v>
      </c>
      <c r="E951" s="15">
        <v>43</v>
      </c>
      <c r="F951" s="16" t="s">
        <v>103</v>
      </c>
      <c r="G951" s="16" t="s">
        <v>104</v>
      </c>
      <c r="H951" s="16" t="s">
        <v>83</v>
      </c>
      <c r="I951" s="16" t="s">
        <v>57</v>
      </c>
      <c r="J951" s="16" t="s">
        <v>49</v>
      </c>
      <c r="K951" s="17" t="s">
        <v>3930</v>
      </c>
      <c r="M951" t="s">
        <v>36</v>
      </c>
      <c r="N951" t="s">
        <v>536</v>
      </c>
      <c r="O951" t="s">
        <v>38</v>
      </c>
      <c r="P951" s="15">
        <v>1</v>
      </c>
      <c r="Q951" s="18">
        <v>157484</v>
      </c>
      <c r="R951" s="19">
        <v>5</v>
      </c>
      <c r="S951" s="14">
        <v>2.8</v>
      </c>
      <c r="T951" s="7">
        <v>57</v>
      </c>
      <c r="U951" s="15">
        <v>10</v>
      </c>
      <c r="V951" s="15">
        <v>8</v>
      </c>
      <c r="W951" s="15">
        <v>32</v>
      </c>
      <c r="X951" t="s">
        <v>61</v>
      </c>
      <c r="Y951" t="s">
        <v>40</v>
      </c>
      <c r="Z951" s="14">
        <v>10.5</v>
      </c>
      <c r="AA951" s="12">
        <f>YEAR(Table1[Hire_Date])</f>
        <v>2016</v>
      </c>
      <c r="AB95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952" spans="1:28" x14ac:dyDescent="0.25">
      <c r="A952" t="s">
        <v>3931</v>
      </c>
      <c r="B952" s="16" t="s">
        <v>3932</v>
      </c>
      <c r="C952" s="16" t="s">
        <v>3933</v>
      </c>
      <c r="D952" t="s">
        <v>29</v>
      </c>
      <c r="E952" s="15">
        <v>32</v>
      </c>
      <c r="F952" s="16" t="s">
        <v>45</v>
      </c>
      <c r="G952" s="16" t="s">
        <v>82</v>
      </c>
      <c r="H952" s="16" t="s">
        <v>66</v>
      </c>
      <c r="I952" s="16" t="s">
        <v>33</v>
      </c>
      <c r="J952" s="16" t="s">
        <v>34</v>
      </c>
      <c r="K952" s="17" t="s">
        <v>3934</v>
      </c>
      <c r="M952" t="s">
        <v>36</v>
      </c>
      <c r="N952" t="s">
        <v>209</v>
      </c>
      <c r="O952" t="s">
        <v>52</v>
      </c>
      <c r="P952" s="15">
        <v>12</v>
      </c>
      <c r="Q952" s="18">
        <v>162036</v>
      </c>
      <c r="R952" s="19">
        <v>23</v>
      </c>
      <c r="S952" s="14">
        <v>4.2</v>
      </c>
      <c r="T952" s="7">
        <v>93</v>
      </c>
      <c r="U952" s="15">
        <v>13</v>
      </c>
      <c r="V952" s="15">
        <v>45</v>
      </c>
      <c r="W952" s="15">
        <v>70</v>
      </c>
      <c r="X952" t="s">
        <v>39</v>
      </c>
      <c r="Y952" t="s">
        <v>40</v>
      </c>
      <c r="Z952" s="14">
        <v>1.6</v>
      </c>
      <c r="AA952" s="12">
        <f>YEAR(Table1[Hire_Date])</f>
        <v>2024</v>
      </c>
      <c r="AB95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953" spans="1:28" x14ac:dyDescent="0.25">
      <c r="A953" t="s">
        <v>3935</v>
      </c>
      <c r="B953" s="16" t="s">
        <v>3936</v>
      </c>
      <c r="C953" s="16" t="s">
        <v>3937</v>
      </c>
      <c r="D953" t="s">
        <v>29</v>
      </c>
      <c r="E953" s="15">
        <v>23</v>
      </c>
      <c r="F953" s="16" t="s">
        <v>30</v>
      </c>
      <c r="G953" s="16" t="s">
        <v>31</v>
      </c>
      <c r="H953" s="16" t="s">
        <v>66</v>
      </c>
      <c r="I953" s="16" t="s">
        <v>33</v>
      </c>
      <c r="J953" s="16" t="s">
        <v>34</v>
      </c>
      <c r="K953" s="17" t="s">
        <v>3938</v>
      </c>
      <c r="M953" t="s">
        <v>36</v>
      </c>
      <c r="N953" t="s">
        <v>631</v>
      </c>
      <c r="O953" t="s">
        <v>60</v>
      </c>
      <c r="P953" s="15">
        <v>23</v>
      </c>
      <c r="Q953" s="18">
        <v>110626</v>
      </c>
      <c r="R953" s="19">
        <v>15</v>
      </c>
      <c r="S953" s="14">
        <v>3.7</v>
      </c>
      <c r="T953" s="7">
        <v>50</v>
      </c>
      <c r="U953" s="15">
        <v>8</v>
      </c>
      <c r="V953" s="15">
        <v>26</v>
      </c>
      <c r="W953" s="15">
        <v>35</v>
      </c>
      <c r="X953" t="s">
        <v>39</v>
      </c>
      <c r="Y953" t="s">
        <v>62</v>
      </c>
      <c r="Z953" s="14">
        <v>2.8</v>
      </c>
      <c r="AA953" s="12">
        <f>YEAR(Table1[Hire_Date])</f>
        <v>2023</v>
      </c>
      <c r="AB95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954" spans="1:28" x14ac:dyDescent="0.25">
      <c r="A954" t="s">
        <v>3939</v>
      </c>
      <c r="B954" s="16" t="s">
        <v>3940</v>
      </c>
      <c r="C954" s="16" t="s">
        <v>3941</v>
      </c>
      <c r="D954" t="s">
        <v>44</v>
      </c>
      <c r="E954" s="15">
        <v>39</v>
      </c>
      <c r="F954" s="16" t="s">
        <v>124</v>
      </c>
      <c r="G954" s="16" t="s">
        <v>104</v>
      </c>
      <c r="H954" s="16" t="s">
        <v>66</v>
      </c>
      <c r="I954" s="16" t="s">
        <v>33</v>
      </c>
      <c r="J954" s="16" t="s">
        <v>49</v>
      </c>
      <c r="K954" s="17" t="s">
        <v>3942</v>
      </c>
      <c r="M954" t="s">
        <v>36</v>
      </c>
      <c r="N954" t="s">
        <v>328</v>
      </c>
      <c r="O954" t="s">
        <v>38</v>
      </c>
      <c r="P954" s="15">
        <v>7</v>
      </c>
      <c r="Q954" s="18">
        <v>174302</v>
      </c>
      <c r="R954" s="19">
        <v>22</v>
      </c>
      <c r="S954" s="14">
        <v>3.7</v>
      </c>
      <c r="T954" s="7">
        <v>66</v>
      </c>
      <c r="U954" s="15">
        <v>19</v>
      </c>
      <c r="V954" s="15">
        <v>60</v>
      </c>
      <c r="W954" s="15">
        <v>74</v>
      </c>
      <c r="X954" t="s">
        <v>39</v>
      </c>
      <c r="Y954" t="s">
        <v>40</v>
      </c>
      <c r="Z954" s="14">
        <v>2.1</v>
      </c>
      <c r="AA954" s="12">
        <f>YEAR(Table1[Hire_Date])</f>
        <v>2024</v>
      </c>
      <c r="AB95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955" spans="1:28" x14ac:dyDescent="0.25">
      <c r="A955" t="s">
        <v>3943</v>
      </c>
      <c r="B955" s="16" t="s">
        <v>3944</v>
      </c>
      <c r="C955" s="16" t="s">
        <v>3945</v>
      </c>
      <c r="D955" t="s">
        <v>44</v>
      </c>
      <c r="E955" s="15">
        <v>52</v>
      </c>
      <c r="F955" s="16" t="s">
        <v>90</v>
      </c>
      <c r="G955" s="16" t="s">
        <v>281</v>
      </c>
      <c r="H955" s="16" t="s">
        <v>32</v>
      </c>
      <c r="I955" s="16" t="s">
        <v>48</v>
      </c>
      <c r="J955" s="16" t="s">
        <v>34</v>
      </c>
      <c r="K955" s="17" t="s">
        <v>3946</v>
      </c>
      <c r="M955" t="s">
        <v>36</v>
      </c>
      <c r="N955" t="s">
        <v>137</v>
      </c>
      <c r="O955" t="s">
        <v>52</v>
      </c>
      <c r="P955" s="15">
        <v>22</v>
      </c>
      <c r="Q955" s="18">
        <v>103007</v>
      </c>
      <c r="R955" s="19">
        <v>5</v>
      </c>
      <c r="S955" s="14">
        <v>3.3</v>
      </c>
      <c r="T955" s="7">
        <v>89</v>
      </c>
      <c r="U955" s="15">
        <v>15</v>
      </c>
      <c r="V955" s="15">
        <v>5</v>
      </c>
      <c r="W955" s="15">
        <v>46</v>
      </c>
      <c r="X955" t="s">
        <v>61</v>
      </c>
      <c r="Y955" t="s">
        <v>40</v>
      </c>
      <c r="Z955" s="14">
        <v>3.8</v>
      </c>
      <c r="AA955" s="12">
        <f>YEAR(Table1[Hire_Date])</f>
        <v>2022</v>
      </c>
      <c r="AB95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956" spans="1:28" x14ac:dyDescent="0.25">
      <c r="A956" t="s">
        <v>3947</v>
      </c>
      <c r="B956" s="16" t="s">
        <v>3948</v>
      </c>
      <c r="C956" s="16" t="s">
        <v>3949</v>
      </c>
      <c r="D956" t="s">
        <v>29</v>
      </c>
      <c r="E956" s="15">
        <v>39</v>
      </c>
      <c r="F956" s="16" t="s">
        <v>124</v>
      </c>
      <c r="G956" s="16" t="s">
        <v>104</v>
      </c>
      <c r="H956" s="16" t="s">
        <v>66</v>
      </c>
      <c r="I956" s="16" t="s">
        <v>33</v>
      </c>
      <c r="J956" s="16" t="s">
        <v>34</v>
      </c>
      <c r="K956" s="17" t="s">
        <v>3950</v>
      </c>
      <c r="M956" t="s">
        <v>36</v>
      </c>
      <c r="N956" t="s">
        <v>385</v>
      </c>
      <c r="O956" t="s">
        <v>60</v>
      </c>
      <c r="P956" s="15">
        <v>25</v>
      </c>
      <c r="Q956" s="18">
        <v>74874</v>
      </c>
      <c r="R956" s="19">
        <v>15</v>
      </c>
      <c r="S956" s="14">
        <v>3.2</v>
      </c>
      <c r="T956" s="7">
        <v>84</v>
      </c>
      <c r="U956" s="15">
        <v>0</v>
      </c>
      <c r="V956" s="15">
        <v>11</v>
      </c>
      <c r="W956" s="15">
        <v>66</v>
      </c>
      <c r="X956" t="s">
        <v>39</v>
      </c>
      <c r="Y956" t="s">
        <v>78</v>
      </c>
      <c r="Z956" s="14">
        <v>3</v>
      </c>
      <c r="AA956" s="12">
        <f>YEAR(Table1[Hire_Date])</f>
        <v>2023</v>
      </c>
      <c r="AB95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957" spans="1:28" x14ac:dyDescent="0.25">
      <c r="A957" t="s">
        <v>3951</v>
      </c>
      <c r="B957" s="16" t="s">
        <v>3952</v>
      </c>
      <c r="C957" s="16" t="s">
        <v>3953</v>
      </c>
      <c r="D957" t="s">
        <v>44</v>
      </c>
      <c r="E957" s="15">
        <v>56</v>
      </c>
      <c r="F957" s="16" t="s">
        <v>45</v>
      </c>
      <c r="G957" s="16" t="s">
        <v>46</v>
      </c>
      <c r="H957" s="16" t="s">
        <v>32</v>
      </c>
      <c r="I957" s="16" t="s">
        <v>57</v>
      </c>
      <c r="J957" s="16" t="s">
        <v>34</v>
      </c>
      <c r="K957" s="17" t="s">
        <v>3954</v>
      </c>
      <c r="M957" t="s">
        <v>36</v>
      </c>
      <c r="N957" t="s">
        <v>731</v>
      </c>
      <c r="O957" t="s">
        <v>38</v>
      </c>
      <c r="P957" s="15">
        <v>7</v>
      </c>
      <c r="Q957" s="18">
        <v>167381</v>
      </c>
      <c r="R957" s="19">
        <v>16</v>
      </c>
      <c r="S957" s="14">
        <v>3.9</v>
      </c>
      <c r="T957" s="7">
        <v>74</v>
      </c>
      <c r="U957" s="15">
        <v>14</v>
      </c>
      <c r="V957" s="15">
        <v>11</v>
      </c>
      <c r="W957" s="15">
        <v>45</v>
      </c>
      <c r="X957" t="s">
        <v>39</v>
      </c>
      <c r="Y957" t="s">
        <v>40</v>
      </c>
      <c r="Z957" s="14">
        <v>7.9</v>
      </c>
      <c r="AA957" s="12">
        <f>YEAR(Table1[Hire_Date])</f>
        <v>2018</v>
      </c>
      <c r="AB95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958" spans="1:28" x14ac:dyDescent="0.25">
      <c r="A958" t="s">
        <v>3955</v>
      </c>
      <c r="B958" s="16" t="s">
        <v>3956</v>
      </c>
      <c r="C958" s="16" t="s">
        <v>3957</v>
      </c>
      <c r="D958" t="s">
        <v>44</v>
      </c>
      <c r="E958" s="15">
        <v>55</v>
      </c>
      <c r="F958" s="16" t="s">
        <v>30</v>
      </c>
      <c r="G958" s="16" t="s">
        <v>13</v>
      </c>
      <c r="H958" s="16" t="s">
        <v>47</v>
      </c>
      <c r="I958" s="16" t="s">
        <v>57</v>
      </c>
      <c r="J958" s="16" t="s">
        <v>34</v>
      </c>
      <c r="K958" s="17" t="s">
        <v>3958</v>
      </c>
      <c r="M958" t="s">
        <v>36</v>
      </c>
      <c r="N958" t="s">
        <v>155</v>
      </c>
      <c r="O958" t="s">
        <v>60</v>
      </c>
      <c r="P958" s="15">
        <v>30</v>
      </c>
      <c r="Q958" s="18">
        <v>144461</v>
      </c>
      <c r="R958" s="19">
        <v>15</v>
      </c>
      <c r="S958" s="14">
        <v>4.5999999999999996</v>
      </c>
      <c r="T958" s="7">
        <v>66</v>
      </c>
      <c r="U958" s="15">
        <v>11</v>
      </c>
      <c r="V958" s="15">
        <v>46</v>
      </c>
      <c r="W958" s="15">
        <v>10</v>
      </c>
      <c r="X958" t="s">
        <v>39</v>
      </c>
      <c r="Y958" t="s">
        <v>78</v>
      </c>
      <c r="Z958" s="14">
        <v>5.0999999999999996</v>
      </c>
      <c r="AA958" s="12">
        <f>YEAR(Table1[Hire_Date])</f>
        <v>2021</v>
      </c>
      <c r="AB95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959" spans="1:28" x14ac:dyDescent="0.25">
      <c r="A959" t="s">
        <v>3959</v>
      </c>
      <c r="B959" s="16" t="s">
        <v>3960</v>
      </c>
      <c r="C959" s="16" t="s">
        <v>3961</v>
      </c>
      <c r="D959" t="s">
        <v>44</v>
      </c>
      <c r="E959" s="15">
        <v>47</v>
      </c>
      <c r="F959" s="16" t="s">
        <v>72</v>
      </c>
      <c r="G959" s="16" t="s">
        <v>97</v>
      </c>
      <c r="H959" s="16" t="s">
        <v>83</v>
      </c>
      <c r="I959" s="16" t="s">
        <v>33</v>
      </c>
      <c r="J959" s="16" t="s">
        <v>34</v>
      </c>
      <c r="K959" s="17" t="s">
        <v>3962</v>
      </c>
      <c r="M959" t="s">
        <v>36</v>
      </c>
      <c r="N959" t="s">
        <v>59</v>
      </c>
      <c r="O959" t="s">
        <v>52</v>
      </c>
      <c r="P959" s="15">
        <v>35</v>
      </c>
      <c r="Q959" s="18">
        <v>55771</v>
      </c>
      <c r="R959" s="19">
        <v>6</v>
      </c>
      <c r="S959" s="14">
        <v>5</v>
      </c>
      <c r="T959" s="7">
        <v>56</v>
      </c>
      <c r="U959" s="15">
        <v>13</v>
      </c>
      <c r="V959" s="15">
        <v>15</v>
      </c>
      <c r="W959" s="15">
        <v>77</v>
      </c>
      <c r="X959" t="s">
        <v>61</v>
      </c>
      <c r="Y959" t="s">
        <v>40</v>
      </c>
      <c r="Z959" s="14">
        <v>6</v>
      </c>
      <c r="AA959" s="12">
        <f>YEAR(Table1[Hire_Date])</f>
        <v>2020</v>
      </c>
      <c r="AB95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960" spans="1:28" x14ac:dyDescent="0.25">
      <c r="A960" t="s">
        <v>3963</v>
      </c>
      <c r="B960" s="16" t="s">
        <v>3964</v>
      </c>
      <c r="C960" s="16" t="s">
        <v>3965</v>
      </c>
      <c r="D960" t="s">
        <v>44</v>
      </c>
      <c r="E960" s="15">
        <v>58</v>
      </c>
      <c r="F960" s="16" t="s">
        <v>124</v>
      </c>
      <c r="G960" s="16" t="s">
        <v>141</v>
      </c>
      <c r="H960" s="16" t="s">
        <v>32</v>
      </c>
      <c r="I960" s="16" t="s">
        <v>48</v>
      </c>
      <c r="J960" s="16" t="s">
        <v>34</v>
      </c>
      <c r="K960" s="17" t="s">
        <v>3966</v>
      </c>
      <c r="M960" t="s">
        <v>36</v>
      </c>
      <c r="N960" t="s">
        <v>1069</v>
      </c>
      <c r="O960" t="s">
        <v>60</v>
      </c>
      <c r="P960" s="15">
        <v>19</v>
      </c>
      <c r="Q960" s="18">
        <v>61059</v>
      </c>
      <c r="R960" s="19">
        <v>10</v>
      </c>
      <c r="S960" s="14">
        <v>3.6</v>
      </c>
      <c r="T960" s="7">
        <v>75</v>
      </c>
      <c r="U960" s="15">
        <v>3</v>
      </c>
      <c r="V960" s="15">
        <v>34</v>
      </c>
      <c r="W960" s="15">
        <v>67</v>
      </c>
      <c r="X960" t="s">
        <v>61</v>
      </c>
      <c r="Y960" t="s">
        <v>40</v>
      </c>
      <c r="Z960" s="14">
        <v>0.6</v>
      </c>
      <c r="AA960" s="12">
        <f>YEAR(Table1[Hire_Date])</f>
        <v>2025</v>
      </c>
      <c r="AB96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961" spans="1:28" x14ac:dyDescent="0.25">
      <c r="A961" t="s">
        <v>3967</v>
      </c>
      <c r="B961" s="16" t="s">
        <v>3968</v>
      </c>
      <c r="C961" s="16" t="s">
        <v>3969</v>
      </c>
      <c r="D961" t="s">
        <v>44</v>
      </c>
      <c r="E961" s="15">
        <v>21</v>
      </c>
      <c r="F961" s="16" t="s">
        <v>30</v>
      </c>
      <c r="G961" s="16" t="s">
        <v>31</v>
      </c>
      <c r="H961" s="16" t="s">
        <v>32</v>
      </c>
      <c r="I961" s="16" t="s">
        <v>57</v>
      </c>
      <c r="J961" s="16" t="s">
        <v>34</v>
      </c>
      <c r="K961" s="17" t="s">
        <v>3970</v>
      </c>
      <c r="M961" t="s">
        <v>36</v>
      </c>
      <c r="N961" t="s">
        <v>385</v>
      </c>
      <c r="O961" t="s">
        <v>38</v>
      </c>
      <c r="P961" s="15">
        <v>33</v>
      </c>
      <c r="Q961" s="18">
        <v>49163</v>
      </c>
      <c r="R961" s="19">
        <v>20</v>
      </c>
      <c r="S961" s="14">
        <v>4.5999999999999996</v>
      </c>
      <c r="T961" s="7">
        <v>89</v>
      </c>
      <c r="U961" s="15">
        <v>7</v>
      </c>
      <c r="V961" s="15">
        <v>60</v>
      </c>
      <c r="W961" s="15">
        <v>5</v>
      </c>
      <c r="X961" t="s">
        <v>39</v>
      </c>
      <c r="Y961" t="s">
        <v>40</v>
      </c>
      <c r="Z961" s="14">
        <v>0.4</v>
      </c>
      <c r="AA961" s="12">
        <f>YEAR(Table1[Hire_Date])</f>
        <v>2026</v>
      </c>
      <c r="AB96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962" spans="1:28" x14ac:dyDescent="0.25">
      <c r="A962" t="s">
        <v>3971</v>
      </c>
      <c r="B962" s="16" t="s">
        <v>3972</v>
      </c>
      <c r="C962" s="16" t="s">
        <v>3973</v>
      </c>
      <c r="D962" t="s">
        <v>29</v>
      </c>
      <c r="E962" s="15">
        <v>55</v>
      </c>
      <c r="F962" s="16" t="s">
        <v>124</v>
      </c>
      <c r="G962" s="16" t="s">
        <v>141</v>
      </c>
      <c r="H962" s="16" t="s">
        <v>56</v>
      </c>
      <c r="I962" s="16" t="s">
        <v>48</v>
      </c>
      <c r="J962" s="16" t="s">
        <v>49</v>
      </c>
      <c r="K962" s="17" t="s">
        <v>3974</v>
      </c>
      <c r="M962" t="s">
        <v>36</v>
      </c>
      <c r="N962" t="s">
        <v>342</v>
      </c>
      <c r="O962" t="s">
        <v>60</v>
      </c>
      <c r="P962" s="15">
        <v>19</v>
      </c>
      <c r="Q962" s="18">
        <v>119769</v>
      </c>
      <c r="R962" s="19">
        <v>15</v>
      </c>
      <c r="S962" s="14">
        <v>4.2</v>
      </c>
      <c r="T962" s="7">
        <v>90</v>
      </c>
      <c r="U962" s="15">
        <v>14</v>
      </c>
      <c r="V962" s="15">
        <v>23</v>
      </c>
      <c r="W962" s="15">
        <v>30</v>
      </c>
      <c r="X962" t="s">
        <v>61</v>
      </c>
      <c r="Y962" t="s">
        <v>40</v>
      </c>
      <c r="Z962" s="14">
        <v>8.3000000000000007</v>
      </c>
      <c r="AA962" s="12">
        <f>YEAR(Table1[Hire_Date])</f>
        <v>2018</v>
      </c>
      <c r="AB96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963" spans="1:28" x14ac:dyDescent="0.25">
      <c r="A963" t="s">
        <v>3975</v>
      </c>
      <c r="B963" s="16" t="s">
        <v>3976</v>
      </c>
      <c r="C963" s="16" t="s">
        <v>3977</v>
      </c>
      <c r="D963" t="s">
        <v>44</v>
      </c>
      <c r="E963" s="15">
        <v>44</v>
      </c>
      <c r="F963" s="16" t="s">
        <v>45</v>
      </c>
      <c r="G963" s="16" t="s">
        <v>82</v>
      </c>
      <c r="H963" s="16" t="s">
        <v>83</v>
      </c>
      <c r="I963" s="16" t="s">
        <v>57</v>
      </c>
      <c r="J963" s="16" t="s">
        <v>34</v>
      </c>
      <c r="K963" s="17" t="s">
        <v>3978</v>
      </c>
      <c r="M963" t="s">
        <v>36</v>
      </c>
      <c r="N963" t="s">
        <v>1791</v>
      </c>
      <c r="O963" t="s">
        <v>38</v>
      </c>
      <c r="P963" s="15">
        <v>35</v>
      </c>
      <c r="Q963" s="18">
        <v>41206</v>
      </c>
      <c r="R963" s="19">
        <v>15</v>
      </c>
      <c r="S963" s="14">
        <v>3</v>
      </c>
      <c r="T963" s="7">
        <v>65</v>
      </c>
      <c r="U963" s="15">
        <v>20</v>
      </c>
      <c r="V963" s="15">
        <v>13</v>
      </c>
      <c r="W963" s="15">
        <v>11</v>
      </c>
      <c r="X963" t="s">
        <v>61</v>
      </c>
      <c r="Y963" t="s">
        <v>78</v>
      </c>
      <c r="Z963" s="14">
        <v>1.4</v>
      </c>
      <c r="AA963" s="12">
        <f>YEAR(Table1[Hire_Date])</f>
        <v>2025</v>
      </c>
      <c r="AB96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964" spans="1:28" x14ac:dyDescent="0.25">
      <c r="A964" t="s">
        <v>3979</v>
      </c>
      <c r="B964" s="16" t="s">
        <v>3980</v>
      </c>
      <c r="C964" s="16" t="s">
        <v>3981</v>
      </c>
      <c r="D964" t="s">
        <v>29</v>
      </c>
      <c r="E964" s="15">
        <v>22</v>
      </c>
      <c r="F964" s="16" t="s">
        <v>45</v>
      </c>
      <c r="G964" s="16" t="s">
        <v>46</v>
      </c>
      <c r="H964" s="16" t="s">
        <v>83</v>
      </c>
      <c r="I964" s="16" t="s">
        <v>48</v>
      </c>
      <c r="J964" s="16" t="s">
        <v>49</v>
      </c>
      <c r="K964" s="17" t="s">
        <v>3982</v>
      </c>
      <c r="M964" t="s">
        <v>36</v>
      </c>
      <c r="N964" t="s">
        <v>263</v>
      </c>
      <c r="O964" t="s">
        <v>60</v>
      </c>
      <c r="P964" s="15">
        <v>5</v>
      </c>
      <c r="Q964" s="18">
        <v>110298</v>
      </c>
      <c r="R964" s="19">
        <v>10</v>
      </c>
      <c r="S964" s="14">
        <v>2.8</v>
      </c>
      <c r="T964" s="7">
        <v>95</v>
      </c>
      <c r="U964" s="15">
        <v>2</v>
      </c>
      <c r="V964" s="15">
        <v>13</v>
      </c>
      <c r="W964" s="15">
        <v>17</v>
      </c>
      <c r="X964" t="s">
        <v>61</v>
      </c>
      <c r="Y964" t="s">
        <v>78</v>
      </c>
      <c r="Z964" s="14">
        <v>7.1</v>
      </c>
      <c r="AA964" s="12">
        <f>YEAR(Table1[Hire_Date])</f>
        <v>2019</v>
      </c>
      <c r="AB96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965" spans="1:28" x14ac:dyDescent="0.25">
      <c r="A965" t="s">
        <v>3983</v>
      </c>
      <c r="B965" s="16" t="s">
        <v>3984</v>
      </c>
      <c r="C965" s="16" t="s">
        <v>3985</v>
      </c>
      <c r="D965" t="s">
        <v>29</v>
      </c>
      <c r="E965" s="15">
        <v>42</v>
      </c>
      <c r="F965" s="16" t="s">
        <v>30</v>
      </c>
      <c r="G965" s="16" t="s">
        <v>13</v>
      </c>
      <c r="H965" s="16" t="s">
        <v>66</v>
      </c>
      <c r="I965" s="16" t="s">
        <v>57</v>
      </c>
      <c r="J965" s="16" t="s">
        <v>49</v>
      </c>
      <c r="K965" s="17" t="s">
        <v>3986</v>
      </c>
      <c r="M965" t="s">
        <v>36</v>
      </c>
      <c r="N965" t="s">
        <v>155</v>
      </c>
      <c r="O965" t="s">
        <v>52</v>
      </c>
      <c r="P965" s="15">
        <v>0</v>
      </c>
      <c r="Q965" s="18">
        <v>132884</v>
      </c>
      <c r="R965" s="19">
        <v>17</v>
      </c>
      <c r="S965" s="14">
        <v>5</v>
      </c>
      <c r="T965" s="7">
        <v>86</v>
      </c>
      <c r="U965" s="15">
        <v>2</v>
      </c>
      <c r="V965" s="15">
        <v>19</v>
      </c>
      <c r="W965" s="15">
        <v>39</v>
      </c>
      <c r="X965" t="s">
        <v>61</v>
      </c>
      <c r="Y965" t="s">
        <v>78</v>
      </c>
      <c r="Z965" s="14">
        <v>2.5</v>
      </c>
      <c r="AA965" s="12">
        <f>YEAR(Table1[Hire_Date])</f>
        <v>2024</v>
      </c>
      <c r="AB96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966" spans="1:28" x14ac:dyDescent="0.25">
      <c r="A966" t="s">
        <v>3987</v>
      </c>
      <c r="B966" s="16" t="s">
        <v>3988</v>
      </c>
      <c r="C966" s="16" t="s">
        <v>3989</v>
      </c>
      <c r="D966" t="s">
        <v>29</v>
      </c>
      <c r="E966" s="15">
        <v>57</v>
      </c>
      <c r="F966" s="16" t="s">
        <v>45</v>
      </c>
      <c r="G966" s="16" t="s">
        <v>82</v>
      </c>
      <c r="H966" s="16" t="s">
        <v>47</v>
      </c>
      <c r="I966" s="16" t="s">
        <v>57</v>
      </c>
      <c r="J966" s="16" t="s">
        <v>34</v>
      </c>
      <c r="K966" s="17" t="s">
        <v>3990</v>
      </c>
      <c r="M966" t="s">
        <v>36</v>
      </c>
      <c r="N966" t="s">
        <v>209</v>
      </c>
      <c r="O966" t="s">
        <v>38</v>
      </c>
      <c r="P966" s="15">
        <v>4</v>
      </c>
      <c r="Q966" s="18">
        <v>53763</v>
      </c>
      <c r="R966" s="19">
        <v>18</v>
      </c>
      <c r="S966" s="14">
        <v>2.6</v>
      </c>
      <c r="T966" s="7">
        <v>54</v>
      </c>
      <c r="U966" s="15">
        <v>19</v>
      </c>
      <c r="V966" s="15">
        <v>24</v>
      </c>
      <c r="W966" s="15">
        <v>17</v>
      </c>
      <c r="X966" t="s">
        <v>39</v>
      </c>
      <c r="Y966" t="s">
        <v>40</v>
      </c>
      <c r="Z966" s="14">
        <v>6.4</v>
      </c>
      <c r="AA966" s="12">
        <f>YEAR(Table1[Hire_Date])</f>
        <v>2020</v>
      </c>
      <c r="AB96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967" spans="1:28" x14ac:dyDescent="0.25">
      <c r="A967" t="s">
        <v>3991</v>
      </c>
      <c r="B967" s="16" t="s">
        <v>3992</v>
      </c>
      <c r="C967" s="16" t="s">
        <v>3993</v>
      </c>
      <c r="D967" t="s">
        <v>29</v>
      </c>
      <c r="E967" s="15">
        <v>24</v>
      </c>
      <c r="F967" s="16" t="s">
        <v>72</v>
      </c>
      <c r="G967" s="16" t="s">
        <v>135</v>
      </c>
      <c r="H967" s="16" t="s">
        <v>66</v>
      </c>
      <c r="I967" s="16" t="s">
        <v>48</v>
      </c>
      <c r="J967" s="16" t="s">
        <v>49</v>
      </c>
      <c r="K967" s="17" t="s">
        <v>3994</v>
      </c>
      <c r="M967" t="s">
        <v>36</v>
      </c>
      <c r="N967" t="s">
        <v>165</v>
      </c>
      <c r="O967" t="s">
        <v>52</v>
      </c>
      <c r="P967" s="15">
        <v>4</v>
      </c>
      <c r="Q967" s="18">
        <v>174689</v>
      </c>
      <c r="R967" s="19">
        <v>19</v>
      </c>
      <c r="S967" s="14">
        <v>2.8</v>
      </c>
      <c r="T967" s="7">
        <v>53</v>
      </c>
      <c r="U967" s="15">
        <v>9</v>
      </c>
      <c r="V967" s="15">
        <v>6</v>
      </c>
      <c r="W967" s="15">
        <v>1</v>
      </c>
      <c r="X967" t="s">
        <v>39</v>
      </c>
      <c r="Y967" t="s">
        <v>40</v>
      </c>
      <c r="Z967" s="14">
        <v>3.4</v>
      </c>
      <c r="AA967" s="12">
        <f>YEAR(Table1[Hire_Date])</f>
        <v>2023</v>
      </c>
      <c r="AB96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968" spans="1:28" x14ac:dyDescent="0.25">
      <c r="A968" t="s">
        <v>3995</v>
      </c>
      <c r="B968" s="16" t="s">
        <v>3996</v>
      </c>
      <c r="C968" s="16" t="s">
        <v>3997</v>
      </c>
      <c r="D968" t="s">
        <v>44</v>
      </c>
      <c r="E968" s="15">
        <v>42</v>
      </c>
      <c r="F968" s="16" t="s">
        <v>90</v>
      </c>
      <c r="G968" s="16" t="s">
        <v>281</v>
      </c>
      <c r="H968" s="16" t="s">
        <v>32</v>
      </c>
      <c r="I968" s="16" t="s">
        <v>48</v>
      </c>
      <c r="J968" s="16" t="s">
        <v>34</v>
      </c>
      <c r="K968" s="17" t="s">
        <v>3244</v>
      </c>
      <c r="M968" t="s">
        <v>36</v>
      </c>
      <c r="N968" t="s">
        <v>194</v>
      </c>
      <c r="O968" t="s">
        <v>38</v>
      </c>
      <c r="P968" s="15">
        <v>5</v>
      </c>
      <c r="Q968" s="18">
        <v>171919</v>
      </c>
      <c r="R968" s="19">
        <v>15</v>
      </c>
      <c r="S968" s="14">
        <v>4.9000000000000004</v>
      </c>
      <c r="T968" s="7">
        <v>96</v>
      </c>
      <c r="U968" s="15">
        <v>2</v>
      </c>
      <c r="V968" s="15">
        <v>40</v>
      </c>
      <c r="W968" s="15">
        <v>45</v>
      </c>
      <c r="X968" t="s">
        <v>61</v>
      </c>
      <c r="Y968" t="s">
        <v>40</v>
      </c>
      <c r="Z968" s="14">
        <v>4.2</v>
      </c>
      <c r="AA968" s="12">
        <f>YEAR(Table1[Hire_Date])</f>
        <v>2022</v>
      </c>
      <c r="AB96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969" spans="1:28" x14ac:dyDescent="0.25">
      <c r="A969" t="s">
        <v>3998</v>
      </c>
      <c r="B969" s="16" t="s">
        <v>3999</v>
      </c>
      <c r="C969" s="16" t="s">
        <v>4000</v>
      </c>
      <c r="D969" t="s">
        <v>29</v>
      </c>
      <c r="E969" s="15">
        <v>35</v>
      </c>
      <c r="F969" s="16" t="s">
        <v>45</v>
      </c>
      <c r="G969" s="16" t="s">
        <v>82</v>
      </c>
      <c r="H969" s="16" t="s">
        <v>47</v>
      </c>
      <c r="I969" s="16" t="s">
        <v>33</v>
      </c>
      <c r="J969" s="16" t="s">
        <v>34</v>
      </c>
      <c r="K969" s="17" t="s">
        <v>783</v>
      </c>
      <c r="M969" t="s">
        <v>36</v>
      </c>
      <c r="N969" t="s">
        <v>68</v>
      </c>
      <c r="O969" t="s">
        <v>52</v>
      </c>
      <c r="P969" s="15">
        <v>9</v>
      </c>
      <c r="Q969" s="18">
        <v>134971</v>
      </c>
      <c r="R969" s="19">
        <v>16</v>
      </c>
      <c r="S969" s="14">
        <v>2.8</v>
      </c>
      <c r="T969" s="7">
        <v>72</v>
      </c>
      <c r="U969" s="15">
        <v>6</v>
      </c>
      <c r="V969" s="15">
        <v>46</v>
      </c>
      <c r="W969" s="15">
        <v>4</v>
      </c>
      <c r="X969" t="s">
        <v>39</v>
      </c>
      <c r="Y969" t="s">
        <v>78</v>
      </c>
      <c r="Z969" s="14">
        <v>2.5</v>
      </c>
      <c r="AA969" s="12">
        <f>YEAR(Table1[Hire_Date])</f>
        <v>2024</v>
      </c>
      <c r="AB96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970" spans="1:28" x14ac:dyDescent="0.25">
      <c r="A970" t="s">
        <v>4001</v>
      </c>
      <c r="B970" s="16" t="s">
        <v>4002</v>
      </c>
      <c r="C970" s="16" t="s">
        <v>4003</v>
      </c>
      <c r="D970" t="s">
        <v>44</v>
      </c>
      <c r="E970" s="15">
        <v>21</v>
      </c>
      <c r="F970" s="16" t="s">
        <v>90</v>
      </c>
      <c r="G970" s="16" t="s">
        <v>281</v>
      </c>
      <c r="H970" s="16" t="s">
        <v>83</v>
      </c>
      <c r="I970" s="16" t="s">
        <v>48</v>
      </c>
      <c r="J970" s="16" t="s">
        <v>34</v>
      </c>
      <c r="K970" s="17" t="s">
        <v>2483</v>
      </c>
      <c r="L970" s="17" t="s">
        <v>4004</v>
      </c>
      <c r="M970" t="s">
        <v>76</v>
      </c>
      <c r="N970" t="s">
        <v>165</v>
      </c>
      <c r="O970" t="s">
        <v>60</v>
      </c>
      <c r="P970" s="15">
        <v>3</v>
      </c>
      <c r="Q970" s="18">
        <v>83476</v>
      </c>
      <c r="R970" s="19">
        <v>13</v>
      </c>
      <c r="S970" s="14">
        <v>3.8</v>
      </c>
      <c r="T970" s="7">
        <v>59</v>
      </c>
      <c r="U970" s="15">
        <v>6</v>
      </c>
      <c r="V970" s="15">
        <v>51</v>
      </c>
      <c r="W970" s="15">
        <v>51</v>
      </c>
      <c r="X970" t="s">
        <v>61</v>
      </c>
      <c r="Y970" t="s">
        <v>40</v>
      </c>
      <c r="Z970" s="14">
        <v>5.3</v>
      </c>
      <c r="AA970" s="12">
        <f>YEAR(Table1[Hire_Date])</f>
        <v>2021</v>
      </c>
      <c r="AB97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971" spans="1:28" x14ac:dyDescent="0.25">
      <c r="A971" t="s">
        <v>4005</v>
      </c>
      <c r="B971" s="16" t="s">
        <v>4006</v>
      </c>
      <c r="C971" s="16" t="s">
        <v>4007</v>
      </c>
      <c r="D971" t="s">
        <v>44</v>
      </c>
      <c r="E971" s="15">
        <v>60</v>
      </c>
      <c r="F971" s="16" t="s">
        <v>45</v>
      </c>
      <c r="G971" s="16" t="s">
        <v>46</v>
      </c>
      <c r="H971" s="16" t="s">
        <v>32</v>
      </c>
      <c r="I971" s="16" t="s">
        <v>33</v>
      </c>
      <c r="J971" s="16" t="s">
        <v>49</v>
      </c>
      <c r="K971" s="17" t="s">
        <v>4008</v>
      </c>
      <c r="M971" t="s">
        <v>36</v>
      </c>
      <c r="N971" t="s">
        <v>149</v>
      </c>
      <c r="O971" t="s">
        <v>38</v>
      </c>
      <c r="P971" s="15">
        <v>19</v>
      </c>
      <c r="Q971" s="18">
        <v>172856</v>
      </c>
      <c r="R971" s="19">
        <v>25</v>
      </c>
      <c r="S971" s="14">
        <v>3.7</v>
      </c>
      <c r="T971" s="7">
        <v>53</v>
      </c>
      <c r="U971" s="15">
        <v>16</v>
      </c>
      <c r="V971" s="15">
        <v>7</v>
      </c>
      <c r="W971" s="15">
        <v>5</v>
      </c>
      <c r="X971" t="s">
        <v>61</v>
      </c>
      <c r="Y971" t="s">
        <v>40</v>
      </c>
      <c r="Z971" s="14">
        <v>10</v>
      </c>
      <c r="AA971" s="12">
        <f>YEAR(Table1[Hire_Date])</f>
        <v>2016</v>
      </c>
      <c r="AB97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972" spans="1:28" x14ac:dyDescent="0.25">
      <c r="A972" t="s">
        <v>4009</v>
      </c>
      <c r="B972" s="16" t="s">
        <v>4010</v>
      </c>
      <c r="C972" s="16" t="s">
        <v>4011</v>
      </c>
      <c r="D972" t="s">
        <v>29</v>
      </c>
      <c r="E972" s="15">
        <v>39</v>
      </c>
      <c r="F972" s="16" t="s">
        <v>90</v>
      </c>
      <c r="G972" s="16" t="s">
        <v>13</v>
      </c>
      <c r="H972" s="16" t="s">
        <v>66</v>
      </c>
      <c r="I972" s="16" t="s">
        <v>48</v>
      </c>
      <c r="J972" s="16" t="s">
        <v>34</v>
      </c>
      <c r="K972" s="17" t="s">
        <v>4012</v>
      </c>
      <c r="M972" t="s">
        <v>36</v>
      </c>
      <c r="N972" t="s">
        <v>333</v>
      </c>
      <c r="O972" t="s">
        <v>52</v>
      </c>
      <c r="P972" s="15">
        <v>29</v>
      </c>
      <c r="Q972" s="18">
        <v>81230</v>
      </c>
      <c r="R972" s="19">
        <v>13</v>
      </c>
      <c r="S972" s="14">
        <v>3.5</v>
      </c>
      <c r="T972" s="7">
        <v>73</v>
      </c>
      <c r="U972" s="15">
        <v>5</v>
      </c>
      <c r="V972" s="15">
        <v>35</v>
      </c>
      <c r="W972" s="15">
        <v>64</v>
      </c>
      <c r="X972" t="s">
        <v>39</v>
      </c>
      <c r="Y972" t="s">
        <v>62</v>
      </c>
      <c r="Z972" s="14">
        <v>0.2</v>
      </c>
      <c r="AA972" s="12">
        <f>YEAR(Table1[Hire_Date])</f>
        <v>2026</v>
      </c>
      <c r="AB97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973" spans="1:28" x14ac:dyDescent="0.25">
      <c r="A973" t="s">
        <v>4013</v>
      </c>
      <c r="B973" s="16" t="s">
        <v>4014</v>
      </c>
      <c r="C973" s="16" t="s">
        <v>4015</v>
      </c>
      <c r="D973" t="s">
        <v>29</v>
      </c>
      <c r="E973" s="15">
        <v>39</v>
      </c>
      <c r="F973" s="16" t="s">
        <v>45</v>
      </c>
      <c r="G973" s="16" t="s">
        <v>82</v>
      </c>
      <c r="H973" s="16" t="s">
        <v>56</v>
      </c>
      <c r="I973" s="16" t="s">
        <v>48</v>
      </c>
      <c r="J973" s="16" t="s">
        <v>49</v>
      </c>
      <c r="K973" s="17" t="s">
        <v>1288</v>
      </c>
      <c r="M973" t="s">
        <v>36</v>
      </c>
      <c r="N973" t="s">
        <v>358</v>
      </c>
      <c r="O973" t="s">
        <v>60</v>
      </c>
      <c r="P973" s="15">
        <v>2</v>
      </c>
      <c r="Q973" s="18">
        <v>164820</v>
      </c>
      <c r="R973" s="19">
        <v>18</v>
      </c>
      <c r="S973" s="14">
        <v>2.9</v>
      </c>
      <c r="T973" s="7">
        <v>91</v>
      </c>
      <c r="U973" s="15">
        <v>15</v>
      </c>
      <c r="V973" s="15">
        <v>4</v>
      </c>
      <c r="W973" s="15">
        <v>32</v>
      </c>
      <c r="X973" t="s">
        <v>39</v>
      </c>
      <c r="Y973" t="s">
        <v>40</v>
      </c>
      <c r="Z973" s="14">
        <v>2.8</v>
      </c>
      <c r="AA973" s="12">
        <f>YEAR(Table1[Hire_Date])</f>
        <v>2023</v>
      </c>
      <c r="AB97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974" spans="1:28" x14ac:dyDescent="0.25">
      <c r="A974" t="s">
        <v>4016</v>
      </c>
      <c r="B974" s="16" t="s">
        <v>4017</v>
      </c>
      <c r="C974" s="16" t="s">
        <v>4018</v>
      </c>
      <c r="D974" t="s">
        <v>29</v>
      </c>
      <c r="E974" s="15">
        <v>39</v>
      </c>
      <c r="F974" s="16" t="s">
        <v>72</v>
      </c>
      <c r="G974" s="16" t="s">
        <v>97</v>
      </c>
      <c r="H974" s="16" t="s">
        <v>66</v>
      </c>
      <c r="I974" s="16" t="s">
        <v>48</v>
      </c>
      <c r="J974" s="16" t="s">
        <v>34</v>
      </c>
      <c r="K974" s="17" t="s">
        <v>3446</v>
      </c>
      <c r="M974" t="s">
        <v>36</v>
      </c>
      <c r="N974" t="s">
        <v>527</v>
      </c>
      <c r="O974" t="s">
        <v>52</v>
      </c>
      <c r="P974" s="15">
        <v>9</v>
      </c>
      <c r="Q974" s="18">
        <v>147621</v>
      </c>
      <c r="R974" s="19">
        <v>15</v>
      </c>
      <c r="S974" s="14">
        <v>2.7</v>
      </c>
      <c r="T974" s="7">
        <v>84</v>
      </c>
      <c r="U974" s="15">
        <v>9</v>
      </c>
      <c r="V974" s="15">
        <v>60</v>
      </c>
      <c r="W974" s="15">
        <v>80</v>
      </c>
      <c r="X974" t="s">
        <v>61</v>
      </c>
      <c r="Y974" t="s">
        <v>62</v>
      </c>
      <c r="Z974" s="14">
        <v>2.2000000000000002</v>
      </c>
      <c r="AA974" s="12">
        <f>YEAR(Table1[Hire_Date])</f>
        <v>2024</v>
      </c>
      <c r="AB97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975" spans="1:28" x14ac:dyDescent="0.25">
      <c r="A975" t="s">
        <v>4019</v>
      </c>
      <c r="B975" s="16" t="s">
        <v>4020</v>
      </c>
      <c r="C975" s="16" t="s">
        <v>4021</v>
      </c>
      <c r="D975" t="s">
        <v>29</v>
      </c>
      <c r="E975" s="15">
        <v>35</v>
      </c>
      <c r="F975" s="16" t="s">
        <v>90</v>
      </c>
      <c r="G975" s="16" t="s">
        <v>13</v>
      </c>
      <c r="H975" s="16" t="s">
        <v>56</v>
      </c>
      <c r="I975" s="16" t="s">
        <v>57</v>
      </c>
      <c r="J975" s="16" t="s">
        <v>49</v>
      </c>
      <c r="K975" s="17" t="s">
        <v>4022</v>
      </c>
      <c r="L975" s="17" t="s">
        <v>4023</v>
      </c>
      <c r="M975" t="s">
        <v>76</v>
      </c>
      <c r="N975" t="s">
        <v>68</v>
      </c>
      <c r="O975" t="s">
        <v>38</v>
      </c>
      <c r="P975" s="15">
        <v>13</v>
      </c>
      <c r="Q975" s="18">
        <v>62606</v>
      </c>
      <c r="R975" s="19">
        <v>18</v>
      </c>
      <c r="S975" s="14">
        <v>4.9000000000000004</v>
      </c>
      <c r="T975" s="7">
        <v>55</v>
      </c>
      <c r="U975" s="15">
        <v>3</v>
      </c>
      <c r="V975" s="15">
        <v>11</v>
      </c>
      <c r="W975" s="15">
        <v>20</v>
      </c>
      <c r="X975" t="s">
        <v>39</v>
      </c>
      <c r="Y975" t="s">
        <v>40</v>
      </c>
      <c r="Z975" s="14">
        <v>2.9</v>
      </c>
      <c r="AA975" s="12">
        <f>YEAR(Table1[Hire_Date])</f>
        <v>2023</v>
      </c>
      <c r="AB97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976" spans="1:28" x14ac:dyDescent="0.25">
      <c r="A976" t="s">
        <v>4024</v>
      </c>
      <c r="B976" s="16" t="s">
        <v>4025</v>
      </c>
      <c r="C976" s="16" t="s">
        <v>4026</v>
      </c>
      <c r="D976" t="s">
        <v>44</v>
      </c>
      <c r="E976" s="15">
        <v>29</v>
      </c>
      <c r="F976" s="16" t="s">
        <v>103</v>
      </c>
      <c r="G976" s="16" t="s">
        <v>13</v>
      </c>
      <c r="H976" s="16" t="s">
        <v>32</v>
      </c>
      <c r="I976" s="16" t="s">
        <v>48</v>
      </c>
      <c r="J976" s="16" t="s">
        <v>49</v>
      </c>
      <c r="K976" s="17" t="s">
        <v>4027</v>
      </c>
      <c r="M976" t="s">
        <v>36</v>
      </c>
      <c r="N976" t="s">
        <v>199</v>
      </c>
      <c r="O976" t="s">
        <v>52</v>
      </c>
      <c r="P976" s="15">
        <v>10</v>
      </c>
      <c r="Q976" s="18">
        <v>80959</v>
      </c>
      <c r="R976" s="19">
        <v>14</v>
      </c>
      <c r="S976" s="14">
        <v>3.1</v>
      </c>
      <c r="T976" s="7">
        <v>77</v>
      </c>
      <c r="U976" s="15">
        <v>3</v>
      </c>
      <c r="V976" s="15">
        <v>40</v>
      </c>
      <c r="W976" s="15">
        <v>12</v>
      </c>
      <c r="X976" t="s">
        <v>39</v>
      </c>
      <c r="Y976" t="s">
        <v>40</v>
      </c>
      <c r="Z976" s="14">
        <v>5.2</v>
      </c>
      <c r="AA976" s="12">
        <f>YEAR(Table1[Hire_Date])</f>
        <v>2021</v>
      </c>
      <c r="AB97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977" spans="1:28" x14ac:dyDescent="0.25">
      <c r="A977" t="s">
        <v>4028</v>
      </c>
      <c r="B977" s="16" t="s">
        <v>4029</v>
      </c>
      <c r="C977" s="16" t="s">
        <v>4030</v>
      </c>
      <c r="D977" t="s">
        <v>44</v>
      </c>
      <c r="E977" s="15">
        <v>57</v>
      </c>
      <c r="F977" s="16" t="s">
        <v>124</v>
      </c>
      <c r="G977" s="16" t="s">
        <v>104</v>
      </c>
      <c r="H977" s="16" t="s">
        <v>47</v>
      </c>
      <c r="I977" s="16" t="s">
        <v>33</v>
      </c>
      <c r="J977" s="16" t="s">
        <v>34</v>
      </c>
      <c r="K977" s="17" t="s">
        <v>4031</v>
      </c>
      <c r="M977" t="s">
        <v>36</v>
      </c>
      <c r="N977" t="s">
        <v>309</v>
      </c>
      <c r="O977" t="s">
        <v>60</v>
      </c>
      <c r="P977" s="15">
        <v>12</v>
      </c>
      <c r="Q977" s="18">
        <v>120091</v>
      </c>
      <c r="R977" s="19">
        <v>22</v>
      </c>
      <c r="S977" s="14">
        <v>3.4</v>
      </c>
      <c r="T977" s="7">
        <v>94</v>
      </c>
      <c r="U977" s="15">
        <v>2</v>
      </c>
      <c r="V977" s="15">
        <v>15</v>
      </c>
      <c r="W977" s="15">
        <v>5</v>
      </c>
      <c r="X977" t="s">
        <v>39</v>
      </c>
      <c r="Y977" t="s">
        <v>78</v>
      </c>
      <c r="Z977" s="14">
        <v>7.7</v>
      </c>
      <c r="AA977" s="12">
        <f>YEAR(Table1[Hire_Date])</f>
        <v>2018</v>
      </c>
      <c r="AB97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978" spans="1:28" x14ac:dyDescent="0.25">
      <c r="A978" t="s">
        <v>4032</v>
      </c>
      <c r="B978" s="16" t="s">
        <v>4033</v>
      </c>
      <c r="C978" s="16" t="s">
        <v>4034</v>
      </c>
      <c r="D978" t="s">
        <v>29</v>
      </c>
      <c r="E978" s="15">
        <v>59</v>
      </c>
      <c r="F978" s="16" t="s">
        <v>30</v>
      </c>
      <c r="G978" s="16" t="s">
        <v>13</v>
      </c>
      <c r="H978" s="16" t="s">
        <v>47</v>
      </c>
      <c r="I978" s="16" t="s">
        <v>48</v>
      </c>
      <c r="J978" s="16" t="s">
        <v>49</v>
      </c>
      <c r="K978" s="17" t="s">
        <v>4035</v>
      </c>
      <c r="M978" t="s">
        <v>36</v>
      </c>
      <c r="N978" t="s">
        <v>2294</v>
      </c>
      <c r="O978" t="s">
        <v>60</v>
      </c>
      <c r="P978" s="15">
        <v>34</v>
      </c>
      <c r="Q978" s="18">
        <v>168742</v>
      </c>
      <c r="R978" s="19">
        <v>17</v>
      </c>
      <c r="S978" s="14">
        <v>2.6</v>
      </c>
      <c r="T978" s="7">
        <v>68</v>
      </c>
      <c r="U978" s="15">
        <v>3</v>
      </c>
      <c r="V978" s="15">
        <v>8</v>
      </c>
      <c r="W978" s="15">
        <v>68</v>
      </c>
      <c r="X978" t="s">
        <v>39</v>
      </c>
      <c r="Y978" t="s">
        <v>40</v>
      </c>
      <c r="Z978" s="14">
        <v>9.1999999999999993</v>
      </c>
      <c r="AA978" s="12">
        <f>YEAR(Table1[Hire_Date])</f>
        <v>2017</v>
      </c>
      <c r="AB97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979" spans="1:28" x14ac:dyDescent="0.25">
      <c r="A979" t="s">
        <v>4036</v>
      </c>
      <c r="B979" s="16" t="s">
        <v>4037</v>
      </c>
      <c r="C979" s="16" t="s">
        <v>4038</v>
      </c>
      <c r="D979" t="s">
        <v>44</v>
      </c>
      <c r="E979" s="15">
        <v>36</v>
      </c>
      <c r="F979" s="16" t="s">
        <v>72</v>
      </c>
      <c r="G979" s="16" t="s">
        <v>73</v>
      </c>
      <c r="H979" s="16" t="s">
        <v>32</v>
      </c>
      <c r="I979" s="16" t="s">
        <v>33</v>
      </c>
      <c r="J979" s="16" t="s">
        <v>34</v>
      </c>
      <c r="K979" s="17" t="s">
        <v>4039</v>
      </c>
      <c r="M979" t="s">
        <v>36</v>
      </c>
      <c r="N979" t="s">
        <v>131</v>
      </c>
      <c r="O979" t="s">
        <v>52</v>
      </c>
      <c r="P979" s="15">
        <v>18</v>
      </c>
      <c r="Q979" s="18">
        <v>99663</v>
      </c>
      <c r="R979" s="19">
        <v>8</v>
      </c>
      <c r="S979" s="14">
        <v>3.4</v>
      </c>
      <c r="T979" s="7">
        <v>53</v>
      </c>
      <c r="U979" s="15">
        <v>10</v>
      </c>
      <c r="V979" s="15">
        <v>29</v>
      </c>
      <c r="W979" s="15">
        <v>23</v>
      </c>
      <c r="X979" t="s">
        <v>61</v>
      </c>
      <c r="Y979" t="s">
        <v>40</v>
      </c>
      <c r="Z979" s="14">
        <v>8.8000000000000007</v>
      </c>
      <c r="AA979" s="12">
        <f>YEAR(Table1[Hire_Date])</f>
        <v>2017</v>
      </c>
      <c r="AB97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980" spans="1:28" x14ac:dyDescent="0.25">
      <c r="A980" t="s">
        <v>4040</v>
      </c>
      <c r="B980" s="16" t="s">
        <v>4041</v>
      </c>
      <c r="C980" s="16" t="s">
        <v>4042</v>
      </c>
      <c r="D980" t="s">
        <v>44</v>
      </c>
      <c r="E980" s="15">
        <v>45</v>
      </c>
      <c r="F980" s="16" t="s">
        <v>45</v>
      </c>
      <c r="G980" s="16" t="s">
        <v>82</v>
      </c>
      <c r="H980" s="16" t="s">
        <v>56</v>
      </c>
      <c r="I980" s="16" t="s">
        <v>57</v>
      </c>
      <c r="J980" s="16" t="s">
        <v>49</v>
      </c>
      <c r="K980" s="17" t="s">
        <v>4043</v>
      </c>
      <c r="M980" t="s">
        <v>36</v>
      </c>
      <c r="N980" t="s">
        <v>180</v>
      </c>
      <c r="O980" t="s">
        <v>52</v>
      </c>
      <c r="P980" s="15">
        <v>22</v>
      </c>
      <c r="Q980" s="18">
        <v>81000</v>
      </c>
      <c r="R980" s="19">
        <v>13</v>
      </c>
      <c r="S980" s="14">
        <v>3.5</v>
      </c>
      <c r="T980" s="7">
        <v>58</v>
      </c>
      <c r="U980" s="15">
        <v>4</v>
      </c>
      <c r="V980" s="15">
        <v>18</v>
      </c>
      <c r="W980" s="15">
        <v>38</v>
      </c>
      <c r="X980" t="s">
        <v>61</v>
      </c>
      <c r="Y980" t="s">
        <v>78</v>
      </c>
      <c r="Z980" s="14">
        <v>10.4</v>
      </c>
      <c r="AA980" s="12">
        <f>YEAR(Table1[Hire_Date])</f>
        <v>2016</v>
      </c>
      <c r="AB98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981" spans="1:28" x14ac:dyDescent="0.25">
      <c r="A981" t="s">
        <v>4044</v>
      </c>
      <c r="B981" s="16" t="s">
        <v>4045</v>
      </c>
      <c r="C981" s="16" t="s">
        <v>4046</v>
      </c>
      <c r="D981" t="s">
        <v>44</v>
      </c>
      <c r="E981" s="15">
        <v>31</v>
      </c>
      <c r="F981" s="16" t="s">
        <v>30</v>
      </c>
      <c r="G981" s="16" t="s">
        <v>31</v>
      </c>
      <c r="H981" s="16" t="s">
        <v>32</v>
      </c>
      <c r="I981" s="16" t="s">
        <v>33</v>
      </c>
      <c r="J981" s="16" t="s">
        <v>34</v>
      </c>
      <c r="K981" s="17" t="s">
        <v>945</v>
      </c>
      <c r="M981" t="s">
        <v>36</v>
      </c>
      <c r="N981" t="s">
        <v>106</v>
      </c>
      <c r="O981" t="s">
        <v>38</v>
      </c>
      <c r="P981" s="15">
        <v>1</v>
      </c>
      <c r="Q981" s="18">
        <v>173625</v>
      </c>
      <c r="R981" s="19">
        <v>15</v>
      </c>
      <c r="S981" s="14">
        <v>3.5</v>
      </c>
      <c r="T981" s="7">
        <v>100</v>
      </c>
      <c r="U981" s="15">
        <v>7</v>
      </c>
      <c r="V981" s="15">
        <v>48</v>
      </c>
      <c r="W981" s="15">
        <v>51</v>
      </c>
      <c r="X981" t="s">
        <v>61</v>
      </c>
      <c r="Y981" t="s">
        <v>40</v>
      </c>
      <c r="Z981" s="14">
        <v>8.3000000000000007</v>
      </c>
      <c r="AA981" s="12">
        <f>YEAR(Table1[Hire_Date])</f>
        <v>2018</v>
      </c>
      <c r="AB98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982" spans="1:28" x14ac:dyDescent="0.25">
      <c r="A982" t="s">
        <v>4047</v>
      </c>
      <c r="B982" s="16" t="s">
        <v>4048</v>
      </c>
      <c r="C982" s="16" t="s">
        <v>4049</v>
      </c>
      <c r="D982" t="s">
        <v>44</v>
      </c>
      <c r="E982" s="15">
        <v>34</v>
      </c>
      <c r="F982" s="16" t="s">
        <v>90</v>
      </c>
      <c r="G982" s="16" t="s">
        <v>281</v>
      </c>
      <c r="H982" s="16" t="s">
        <v>47</v>
      </c>
      <c r="I982" s="16" t="s">
        <v>33</v>
      </c>
      <c r="J982" s="16" t="s">
        <v>34</v>
      </c>
      <c r="K982" s="17" t="s">
        <v>4050</v>
      </c>
      <c r="M982" t="s">
        <v>36</v>
      </c>
      <c r="N982" t="s">
        <v>111</v>
      </c>
      <c r="O982" t="s">
        <v>60</v>
      </c>
      <c r="P982" s="15">
        <v>15</v>
      </c>
      <c r="Q982" s="18">
        <v>168269</v>
      </c>
      <c r="R982" s="19">
        <v>18</v>
      </c>
      <c r="S982" s="14">
        <v>2.5</v>
      </c>
      <c r="T982" s="7">
        <v>81</v>
      </c>
      <c r="U982" s="15">
        <v>3</v>
      </c>
      <c r="V982" s="15">
        <v>3</v>
      </c>
      <c r="W982" s="15">
        <v>38</v>
      </c>
      <c r="X982" t="s">
        <v>39</v>
      </c>
      <c r="Y982" t="s">
        <v>40</v>
      </c>
      <c r="Z982" s="14">
        <v>9.3000000000000007</v>
      </c>
      <c r="AA982" s="12">
        <f>YEAR(Table1[Hire_Date])</f>
        <v>2017</v>
      </c>
      <c r="AB98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983" spans="1:28" x14ac:dyDescent="0.25">
      <c r="A983" t="s">
        <v>4051</v>
      </c>
      <c r="B983" s="16" t="s">
        <v>4052</v>
      </c>
      <c r="C983" s="16" t="s">
        <v>4053</v>
      </c>
      <c r="D983" t="s">
        <v>29</v>
      </c>
      <c r="E983" s="15">
        <v>43</v>
      </c>
      <c r="F983" s="16" t="s">
        <v>72</v>
      </c>
      <c r="G983" s="16" t="s">
        <v>97</v>
      </c>
      <c r="H983" s="16" t="s">
        <v>83</v>
      </c>
      <c r="I983" s="16" t="s">
        <v>48</v>
      </c>
      <c r="J983" s="16" t="s">
        <v>49</v>
      </c>
      <c r="K983" s="17" t="s">
        <v>4054</v>
      </c>
      <c r="M983" t="s">
        <v>36</v>
      </c>
      <c r="N983" t="s">
        <v>337</v>
      </c>
      <c r="O983" t="s">
        <v>52</v>
      </c>
      <c r="P983" s="15">
        <v>35</v>
      </c>
      <c r="Q983" s="18">
        <v>125759</v>
      </c>
      <c r="R983" s="19">
        <v>22</v>
      </c>
      <c r="S983" s="14">
        <v>2.8</v>
      </c>
      <c r="T983" s="7">
        <v>100</v>
      </c>
      <c r="U983" s="15">
        <v>13</v>
      </c>
      <c r="V983" s="15">
        <v>32</v>
      </c>
      <c r="W983" s="15">
        <v>31</v>
      </c>
      <c r="X983" t="s">
        <v>61</v>
      </c>
      <c r="Y983" t="s">
        <v>40</v>
      </c>
      <c r="Z983" s="14">
        <v>4</v>
      </c>
      <c r="AA983" s="12">
        <f>YEAR(Table1[Hire_Date])</f>
        <v>2022</v>
      </c>
      <c r="AB98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984" spans="1:28" x14ac:dyDescent="0.25">
      <c r="A984" t="s">
        <v>4055</v>
      </c>
      <c r="B984" s="16" t="s">
        <v>4056</v>
      </c>
      <c r="C984" s="16" t="s">
        <v>4057</v>
      </c>
      <c r="D984" t="s">
        <v>29</v>
      </c>
      <c r="E984" s="15">
        <v>54</v>
      </c>
      <c r="F984" s="16" t="s">
        <v>90</v>
      </c>
      <c r="G984" s="16" t="s">
        <v>13</v>
      </c>
      <c r="H984" s="16" t="s">
        <v>32</v>
      </c>
      <c r="I984" s="16" t="s">
        <v>48</v>
      </c>
      <c r="J984" s="16" t="s">
        <v>49</v>
      </c>
      <c r="K984" s="17" t="s">
        <v>4058</v>
      </c>
      <c r="M984" t="s">
        <v>36</v>
      </c>
      <c r="N984" t="s">
        <v>77</v>
      </c>
      <c r="O984" t="s">
        <v>60</v>
      </c>
      <c r="P984" s="15">
        <v>30</v>
      </c>
      <c r="Q984" s="18">
        <v>42826</v>
      </c>
      <c r="R984" s="19">
        <v>11</v>
      </c>
      <c r="S984" s="14">
        <v>4.0999999999999996</v>
      </c>
      <c r="T984" s="7">
        <v>75</v>
      </c>
      <c r="U984" s="15">
        <v>14</v>
      </c>
      <c r="V984" s="15">
        <v>11</v>
      </c>
      <c r="W984" s="15">
        <v>19</v>
      </c>
      <c r="X984" t="s">
        <v>61</v>
      </c>
      <c r="Y984" t="s">
        <v>78</v>
      </c>
      <c r="Z984" s="14">
        <v>5.3</v>
      </c>
      <c r="AA984" s="12">
        <f>YEAR(Table1[Hire_Date])</f>
        <v>2021</v>
      </c>
      <c r="AB98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985" spans="1:28" x14ac:dyDescent="0.25">
      <c r="A985" t="s">
        <v>4059</v>
      </c>
      <c r="B985" s="16" t="s">
        <v>4060</v>
      </c>
      <c r="C985" s="16" t="s">
        <v>4061</v>
      </c>
      <c r="D985" t="s">
        <v>44</v>
      </c>
      <c r="E985" s="15">
        <v>38</v>
      </c>
      <c r="F985" s="16" t="s">
        <v>30</v>
      </c>
      <c r="G985" s="16" t="s">
        <v>31</v>
      </c>
      <c r="H985" s="16" t="s">
        <v>56</v>
      </c>
      <c r="I985" s="16" t="s">
        <v>33</v>
      </c>
      <c r="J985" s="16" t="s">
        <v>34</v>
      </c>
      <c r="K985" s="17" t="s">
        <v>2555</v>
      </c>
      <c r="M985" t="s">
        <v>36</v>
      </c>
      <c r="N985" t="s">
        <v>131</v>
      </c>
      <c r="O985" t="s">
        <v>60</v>
      </c>
      <c r="P985" s="15">
        <v>25</v>
      </c>
      <c r="Q985" s="18">
        <v>159921</v>
      </c>
      <c r="R985" s="19">
        <v>5</v>
      </c>
      <c r="S985" s="14">
        <v>2.9</v>
      </c>
      <c r="T985" s="7">
        <v>58</v>
      </c>
      <c r="U985" s="15">
        <v>12</v>
      </c>
      <c r="V985" s="15">
        <v>2</v>
      </c>
      <c r="W985" s="15">
        <v>36</v>
      </c>
      <c r="X985" t="s">
        <v>61</v>
      </c>
      <c r="Y985" t="s">
        <v>40</v>
      </c>
      <c r="Z985" s="14">
        <v>8.3000000000000007</v>
      </c>
      <c r="AA985" s="12">
        <f>YEAR(Table1[Hire_Date])</f>
        <v>2018</v>
      </c>
      <c r="AB98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986" spans="1:28" x14ac:dyDescent="0.25">
      <c r="A986" t="s">
        <v>4062</v>
      </c>
      <c r="B986" s="16" t="s">
        <v>4063</v>
      </c>
      <c r="C986" s="16" t="s">
        <v>4064</v>
      </c>
      <c r="D986" t="s">
        <v>44</v>
      </c>
      <c r="E986" s="15">
        <v>23</v>
      </c>
      <c r="F986" s="16" t="s">
        <v>124</v>
      </c>
      <c r="G986" s="16" t="s">
        <v>104</v>
      </c>
      <c r="H986" s="16" t="s">
        <v>66</v>
      </c>
      <c r="I986" s="16" t="s">
        <v>33</v>
      </c>
      <c r="J986" s="16" t="s">
        <v>34</v>
      </c>
      <c r="K986" s="17" t="s">
        <v>4065</v>
      </c>
      <c r="M986" t="s">
        <v>36</v>
      </c>
      <c r="N986" t="s">
        <v>333</v>
      </c>
      <c r="O986" t="s">
        <v>52</v>
      </c>
      <c r="P986" s="15">
        <v>0</v>
      </c>
      <c r="Q986" s="18">
        <v>105130</v>
      </c>
      <c r="R986" s="19">
        <v>5</v>
      </c>
      <c r="S986" s="14">
        <v>2.7</v>
      </c>
      <c r="T986" s="7">
        <v>90</v>
      </c>
      <c r="U986" s="15">
        <v>7</v>
      </c>
      <c r="V986" s="15">
        <v>44</v>
      </c>
      <c r="W986" s="15">
        <v>34</v>
      </c>
      <c r="X986" t="s">
        <v>39</v>
      </c>
      <c r="Y986" t="s">
        <v>78</v>
      </c>
      <c r="Z986" s="14">
        <v>5</v>
      </c>
      <c r="AA986" s="12">
        <f>YEAR(Table1[Hire_Date])</f>
        <v>2021</v>
      </c>
      <c r="AB98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987" spans="1:28" x14ac:dyDescent="0.25">
      <c r="A987" t="s">
        <v>4066</v>
      </c>
      <c r="B987" s="16" t="s">
        <v>4067</v>
      </c>
      <c r="C987" s="16" t="s">
        <v>4068</v>
      </c>
      <c r="D987" t="s">
        <v>29</v>
      </c>
      <c r="E987" s="15">
        <v>32</v>
      </c>
      <c r="F987" s="16" t="s">
        <v>30</v>
      </c>
      <c r="G987" s="16" t="s">
        <v>31</v>
      </c>
      <c r="H987" s="16" t="s">
        <v>56</v>
      </c>
      <c r="I987" s="16" t="s">
        <v>57</v>
      </c>
      <c r="J987" s="16" t="s">
        <v>49</v>
      </c>
      <c r="K987" s="17" t="s">
        <v>4069</v>
      </c>
      <c r="M987" t="s">
        <v>36</v>
      </c>
      <c r="N987" t="s">
        <v>536</v>
      </c>
      <c r="O987" t="s">
        <v>60</v>
      </c>
      <c r="P987" s="15">
        <v>14</v>
      </c>
      <c r="Q987" s="18">
        <v>144281</v>
      </c>
      <c r="R987" s="19">
        <v>11</v>
      </c>
      <c r="S987" s="14">
        <v>2.6</v>
      </c>
      <c r="T987" s="7">
        <v>51</v>
      </c>
      <c r="U987" s="15">
        <v>1</v>
      </c>
      <c r="V987" s="15">
        <v>39</v>
      </c>
      <c r="W987" s="15">
        <v>61</v>
      </c>
      <c r="X987" t="s">
        <v>61</v>
      </c>
      <c r="Y987" t="s">
        <v>78</v>
      </c>
      <c r="Z987" s="14">
        <v>1.2</v>
      </c>
      <c r="AA987" s="12">
        <f>YEAR(Table1[Hire_Date])</f>
        <v>2025</v>
      </c>
      <c r="AB98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&lt;2 Years</v>
      </c>
    </row>
    <row r="988" spans="1:28" x14ac:dyDescent="0.25">
      <c r="A988" t="s">
        <v>4070</v>
      </c>
      <c r="B988" s="16" t="s">
        <v>4071</v>
      </c>
      <c r="C988" s="16" t="s">
        <v>4072</v>
      </c>
      <c r="D988" t="s">
        <v>44</v>
      </c>
      <c r="E988" s="15">
        <v>32</v>
      </c>
      <c r="F988" s="16" t="s">
        <v>90</v>
      </c>
      <c r="G988" s="16" t="s">
        <v>281</v>
      </c>
      <c r="H988" s="16" t="s">
        <v>83</v>
      </c>
      <c r="I988" s="16" t="s">
        <v>57</v>
      </c>
      <c r="J988" s="16" t="s">
        <v>34</v>
      </c>
      <c r="K988" s="17" t="s">
        <v>2685</v>
      </c>
      <c r="M988" t="s">
        <v>36</v>
      </c>
      <c r="N988" t="s">
        <v>99</v>
      </c>
      <c r="O988" t="s">
        <v>60</v>
      </c>
      <c r="P988" s="15">
        <v>19</v>
      </c>
      <c r="Q988" s="18">
        <v>57511</v>
      </c>
      <c r="R988" s="19">
        <v>6</v>
      </c>
      <c r="S988" s="14">
        <v>3</v>
      </c>
      <c r="T988" s="7">
        <v>79</v>
      </c>
      <c r="U988" s="15">
        <v>1</v>
      </c>
      <c r="V988" s="15">
        <v>27</v>
      </c>
      <c r="W988" s="15">
        <v>39</v>
      </c>
      <c r="X988" t="s">
        <v>39</v>
      </c>
      <c r="Y988" t="s">
        <v>78</v>
      </c>
      <c r="Z988" s="14">
        <v>9.5</v>
      </c>
      <c r="AA988" s="12">
        <f>YEAR(Table1[Hire_Date])</f>
        <v>2017</v>
      </c>
      <c r="AB98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989" spans="1:28" x14ac:dyDescent="0.25">
      <c r="A989" t="s">
        <v>4073</v>
      </c>
      <c r="B989" s="16" t="s">
        <v>4074</v>
      </c>
      <c r="C989" s="16" t="s">
        <v>4075</v>
      </c>
      <c r="D989" t="s">
        <v>29</v>
      </c>
      <c r="E989" s="15">
        <v>29</v>
      </c>
      <c r="F989" s="16" t="s">
        <v>45</v>
      </c>
      <c r="G989" s="16" t="s">
        <v>46</v>
      </c>
      <c r="H989" s="16" t="s">
        <v>47</v>
      </c>
      <c r="I989" s="16" t="s">
        <v>57</v>
      </c>
      <c r="J989" s="16" t="s">
        <v>49</v>
      </c>
      <c r="K989" s="17" t="s">
        <v>1060</v>
      </c>
      <c r="M989" t="s">
        <v>36</v>
      </c>
      <c r="N989" t="s">
        <v>209</v>
      </c>
      <c r="O989" t="s">
        <v>38</v>
      </c>
      <c r="P989" s="15">
        <v>1</v>
      </c>
      <c r="Q989" s="18">
        <v>74548</v>
      </c>
      <c r="R989" s="19">
        <v>9</v>
      </c>
      <c r="S989" s="14">
        <v>4</v>
      </c>
      <c r="T989" s="7">
        <v>88</v>
      </c>
      <c r="U989" s="15">
        <v>18</v>
      </c>
      <c r="V989" s="15">
        <v>21</v>
      </c>
      <c r="W989" s="15">
        <v>57</v>
      </c>
      <c r="X989" t="s">
        <v>39</v>
      </c>
      <c r="Y989" t="s">
        <v>40</v>
      </c>
      <c r="Z989" s="14">
        <v>3.1</v>
      </c>
      <c r="AA989" s="12">
        <f>YEAR(Table1[Hire_Date])</f>
        <v>2023</v>
      </c>
      <c r="AB98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990" spans="1:28" x14ac:dyDescent="0.25">
      <c r="A990" t="s">
        <v>4076</v>
      </c>
      <c r="B990" s="16" t="s">
        <v>4077</v>
      </c>
      <c r="C990" s="16" t="s">
        <v>4078</v>
      </c>
      <c r="D990" t="s">
        <v>44</v>
      </c>
      <c r="E990" s="15">
        <v>55</v>
      </c>
      <c r="F990" s="16" t="s">
        <v>90</v>
      </c>
      <c r="G990" s="16" t="s">
        <v>13</v>
      </c>
      <c r="H990" s="16" t="s">
        <v>47</v>
      </c>
      <c r="I990" s="16" t="s">
        <v>57</v>
      </c>
      <c r="J990" s="16" t="s">
        <v>49</v>
      </c>
      <c r="K990" s="17" t="s">
        <v>4079</v>
      </c>
      <c r="M990" t="s">
        <v>36</v>
      </c>
      <c r="N990" t="s">
        <v>395</v>
      </c>
      <c r="O990" t="s">
        <v>52</v>
      </c>
      <c r="P990" s="15">
        <v>35</v>
      </c>
      <c r="Q990" s="18">
        <v>148118</v>
      </c>
      <c r="R990" s="19">
        <v>22</v>
      </c>
      <c r="S990" s="14">
        <v>5</v>
      </c>
      <c r="T990" s="7">
        <v>87</v>
      </c>
      <c r="U990" s="15">
        <v>0</v>
      </c>
      <c r="V990" s="15">
        <v>46</v>
      </c>
      <c r="W990" s="15">
        <v>58</v>
      </c>
      <c r="X990" t="s">
        <v>39</v>
      </c>
      <c r="Y990" t="s">
        <v>62</v>
      </c>
      <c r="Z990" s="14">
        <v>4.9000000000000004</v>
      </c>
      <c r="AA990" s="12">
        <f>YEAR(Table1[Hire_Date])</f>
        <v>2021</v>
      </c>
      <c r="AB99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991" spans="1:28" x14ac:dyDescent="0.25">
      <c r="A991" t="s">
        <v>4080</v>
      </c>
      <c r="B991" s="16" t="s">
        <v>4081</v>
      </c>
      <c r="C991" s="16" t="s">
        <v>4082</v>
      </c>
      <c r="D991" t="s">
        <v>29</v>
      </c>
      <c r="E991" s="15">
        <v>54</v>
      </c>
      <c r="F991" s="16" t="s">
        <v>90</v>
      </c>
      <c r="G991" s="16" t="s">
        <v>13</v>
      </c>
      <c r="H991" s="16" t="s">
        <v>56</v>
      </c>
      <c r="I991" s="16" t="s">
        <v>48</v>
      </c>
      <c r="J991" s="16" t="s">
        <v>34</v>
      </c>
      <c r="K991" s="17" t="s">
        <v>4083</v>
      </c>
      <c r="M991" t="s">
        <v>36</v>
      </c>
      <c r="N991" t="s">
        <v>224</v>
      </c>
      <c r="O991" t="s">
        <v>60</v>
      </c>
      <c r="P991" s="15">
        <v>34</v>
      </c>
      <c r="Q991" s="18">
        <v>100010</v>
      </c>
      <c r="R991" s="19">
        <v>20</v>
      </c>
      <c r="S991" s="14">
        <v>3.3</v>
      </c>
      <c r="T991" s="7">
        <v>68</v>
      </c>
      <c r="U991" s="15">
        <v>6</v>
      </c>
      <c r="V991" s="15">
        <v>37</v>
      </c>
      <c r="W991" s="15">
        <v>53</v>
      </c>
      <c r="X991" t="s">
        <v>39</v>
      </c>
      <c r="Y991" t="s">
        <v>62</v>
      </c>
      <c r="Z991" s="14">
        <v>9</v>
      </c>
      <c r="AA991" s="12">
        <f>YEAR(Table1[Hire_Date])</f>
        <v>2017</v>
      </c>
      <c r="AB99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992" spans="1:28" x14ac:dyDescent="0.25">
      <c r="A992" t="s">
        <v>4084</v>
      </c>
      <c r="B992" s="16" t="s">
        <v>4085</v>
      </c>
      <c r="C992" s="16" t="s">
        <v>4086</v>
      </c>
      <c r="D992" t="s">
        <v>29</v>
      </c>
      <c r="E992" s="15">
        <v>36</v>
      </c>
      <c r="F992" s="16" t="s">
        <v>72</v>
      </c>
      <c r="G992" s="16" t="s">
        <v>97</v>
      </c>
      <c r="H992" s="16" t="s">
        <v>66</v>
      </c>
      <c r="I992" s="16" t="s">
        <v>48</v>
      </c>
      <c r="J992" s="16" t="s">
        <v>34</v>
      </c>
      <c r="K992" s="17" t="s">
        <v>4087</v>
      </c>
      <c r="L992" s="17" t="s">
        <v>58</v>
      </c>
      <c r="M992" t="s">
        <v>76</v>
      </c>
      <c r="N992" t="s">
        <v>155</v>
      </c>
      <c r="O992" t="s">
        <v>52</v>
      </c>
      <c r="P992" s="15">
        <v>30</v>
      </c>
      <c r="Q992" s="18">
        <v>52244</v>
      </c>
      <c r="R992" s="19">
        <v>17</v>
      </c>
      <c r="S992" s="14">
        <v>4.2</v>
      </c>
      <c r="T992" s="7">
        <v>67</v>
      </c>
      <c r="U992" s="15">
        <v>4</v>
      </c>
      <c r="V992" s="15">
        <v>58</v>
      </c>
      <c r="W992" s="15">
        <v>40</v>
      </c>
      <c r="X992" t="s">
        <v>39</v>
      </c>
      <c r="Y992" t="s">
        <v>40</v>
      </c>
      <c r="Z992" s="14">
        <v>9.3000000000000007</v>
      </c>
      <c r="AA992" s="12">
        <f>YEAR(Table1[Hire_Date])</f>
        <v>2017</v>
      </c>
      <c r="AB992"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993" spans="1:28" x14ac:dyDescent="0.25">
      <c r="A993" t="s">
        <v>4088</v>
      </c>
      <c r="B993" s="16" t="s">
        <v>4089</v>
      </c>
      <c r="C993" s="16" t="s">
        <v>4090</v>
      </c>
      <c r="D993" t="s">
        <v>29</v>
      </c>
      <c r="E993" s="15">
        <v>57</v>
      </c>
      <c r="F993" s="16" t="s">
        <v>124</v>
      </c>
      <c r="G993" s="16" t="s">
        <v>104</v>
      </c>
      <c r="H993" s="16" t="s">
        <v>56</v>
      </c>
      <c r="I993" s="16" t="s">
        <v>33</v>
      </c>
      <c r="J993" s="16" t="s">
        <v>49</v>
      </c>
      <c r="K993" s="17" t="s">
        <v>4091</v>
      </c>
      <c r="M993" t="s">
        <v>36</v>
      </c>
      <c r="N993" t="s">
        <v>189</v>
      </c>
      <c r="O993" t="s">
        <v>60</v>
      </c>
      <c r="P993" s="15">
        <v>14</v>
      </c>
      <c r="Q993" s="18">
        <v>111712</v>
      </c>
      <c r="R993" s="19">
        <v>11</v>
      </c>
      <c r="S993" s="14">
        <v>2.7</v>
      </c>
      <c r="T993" s="7">
        <v>60</v>
      </c>
      <c r="U993" s="15">
        <v>5</v>
      </c>
      <c r="V993" s="15">
        <v>51</v>
      </c>
      <c r="W993" s="15">
        <v>42</v>
      </c>
      <c r="X993" t="s">
        <v>39</v>
      </c>
      <c r="Y993" t="s">
        <v>78</v>
      </c>
      <c r="Z993" s="14">
        <v>2.1</v>
      </c>
      <c r="AA993" s="12">
        <f>YEAR(Table1[Hire_Date])</f>
        <v>2024</v>
      </c>
      <c r="AB993"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994" spans="1:28" x14ac:dyDescent="0.25">
      <c r="A994" t="s">
        <v>4092</v>
      </c>
      <c r="B994" s="16" t="s">
        <v>4093</v>
      </c>
      <c r="C994" s="16" t="s">
        <v>4094</v>
      </c>
      <c r="D994" t="s">
        <v>44</v>
      </c>
      <c r="E994" s="15">
        <v>35</v>
      </c>
      <c r="F994" s="16" t="s">
        <v>72</v>
      </c>
      <c r="G994" s="16" t="s">
        <v>73</v>
      </c>
      <c r="H994" s="16" t="s">
        <v>66</v>
      </c>
      <c r="I994" s="16" t="s">
        <v>48</v>
      </c>
      <c r="J994" s="16" t="s">
        <v>49</v>
      </c>
      <c r="K994" s="17" t="s">
        <v>4095</v>
      </c>
      <c r="M994" t="s">
        <v>36</v>
      </c>
      <c r="N994" t="s">
        <v>353</v>
      </c>
      <c r="O994" t="s">
        <v>60</v>
      </c>
      <c r="P994" s="15">
        <v>10</v>
      </c>
      <c r="Q994" s="18">
        <v>118874</v>
      </c>
      <c r="R994" s="19">
        <v>15</v>
      </c>
      <c r="S994" s="14">
        <v>3.6</v>
      </c>
      <c r="T994" s="7">
        <v>71</v>
      </c>
      <c r="U994" s="15">
        <v>17</v>
      </c>
      <c r="V994" s="15">
        <v>2</v>
      </c>
      <c r="W994" s="15">
        <v>71</v>
      </c>
      <c r="X994" t="s">
        <v>39</v>
      </c>
      <c r="Y994" t="s">
        <v>40</v>
      </c>
      <c r="Z994" s="14">
        <v>5.4</v>
      </c>
      <c r="AA994" s="12">
        <f>YEAR(Table1[Hire_Date])</f>
        <v>2021</v>
      </c>
      <c r="AB994"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row r="995" spans="1:28" x14ac:dyDescent="0.25">
      <c r="A995" t="s">
        <v>4096</v>
      </c>
      <c r="B995" s="16" t="s">
        <v>4097</v>
      </c>
      <c r="C995" s="16" t="s">
        <v>4098</v>
      </c>
      <c r="D995" t="s">
        <v>29</v>
      </c>
      <c r="E995" s="15">
        <v>51</v>
      </c>
      <c r="F995" s="16" t="s">
        <v>124</v>
      </c>
      <c r="G995" s="16" t="s">
        <v>141</v>
      </c>
      <c r="H995" s="16" t="s">
        <v>66</v>
      </c>
      <c r="I995" s="16" t="s">
        <v>33</v>
      </c>
      <c r="J995" s="16" t="s">
        <v>34</v>
      </c>
      <c r="K995" s="17" t="s">
        <v>4099</v>
      </c>
      <c r="M995" t="s">
        <v>36</v>
      </c>
      <c r="N995" t="s">
        <v>194</v>
      </c>
      <c r="O995" t="s">
        <v>52</v>
      </c>
      <c r="P995" s="15">
        <v>11</v>
      </c>
      <c r="Q995" s="18">
        <v>150755</v>
      </c>
      <c r="R995" s="19">
        <v>21</v>
      </c>
      <c r="S995" s="14">
        <v>2.9</v>
      </c>
      <c r="T995" s="7">
        <v>61</v>
      </c>
      <c r="U995" s="15">
        <v>16</v>
      </c>
      <c r="V995" s="15">
        <v>34</v>
      </c>
      <c r="W995" s="15">
        <v>77</v>
      </c>
      <c r="X995" t="s">
        <v>61</v>
      </c>
      <c r="Y995" t="s">
        <v>62</v>
      </c>
      <c r="Z995" s="14">
        <v>10.1</v>
      </c>
      <c r="AA995" s="12">
        <f>YEAR(Table1[Hire_Date])</f>
        <v>2016</v>
      </c>
      <c r="AB995" s="12" t="str">
        <f ca="1">IF(DATEDIF(Table1[[#This Row],[Hire_Date]],TODAY(),"Y")&gt;=10, "10+ Years", IF(DATEDIF(Table1[[#This Row],[Hire_Date]],TODAY(),"Y")&gt;=8, "8+ Years", IF(DATEDIF(Table1[[#This Row],[Hire_Date]],TODAY(),"Y")&gt;=6, "6+ Years", IF(DATEDIF(Table1[[#This Row],[Hire_Date]],TODAY(),"Y")&gt;=4, "4+ Years", IF(DATEDIF(Table1[[#This Row],[Hire_Date]],TODAY(),"Y")&gt;=2, "2+ Years", "&lt;2 Years")))))</f>
        <v>10+ Years</v>
      </c>
    </row>
    <row r="996" spans="1:28" x14ac:dyDescent="0.25">
      <c r="A996" t="s">
        <v>4100</v>
      </c>
      <c r="B996" s="16" t="s">
        <v>4101</v>
      </c>
      <c r="C996" s="16" t="s">
        <v>4102</v>
      </c>
      <c r="D996" t="s">
        <v>29</v>
      </c>
      <c r="E996" s="15">
        <v>41</v>
      </c>
      <c r="F996" s="16" t="s">
        <v>45</v>
      </c>
      <c r="G996" s="16" t="s">
        <v>82</v>
      </c>
      <c r="H996" s="16" t="s">
        <v>83</v>
      </c>
      <c r="I996" s="16" t="s">
        <v>48</v>
      </c>
      <c r="J996" s="16" t="s">
        <v>34</v>
      </c>
      <c r="K996" s="17" t="s">
        <v>4103</v>
      </c>
      <c r="M996" t="s">
        <v>36</v>
      </c>
      <c r="N996" t="s">
        <v>224</v>
      </c>
      <c r="O996" t="s">
        <v>38</v>
      </c>
      <c r="P996" s="15">
        <v>27</v>
      </c>
      <c r="Q996" s="18">
        <v>92911</v>
      </c>
      <c r="R996" s="19">
        <v>9</v>
      </c>
      <c r="S996" s="14">
        <v>3</v>
      </c>
      <c r="T996" s="7">
        <v>72</v>
      </c>
      <c r="U996" s="15">
        <v>16</v>
      </c>
      <c r="V996" s="15">
        <v>3</v>
      </c>
      <c r="W996" s="15">
        <v>30</v>
      </c>
      <c r="X996" t="s">
        <v>61</v>
      </c>
      <c r="Y996" t="s">
        <v>78</v>
      </c>
      <c r="Z996" s="14">
        <v>6.2</v>
      </c>
      <c r="AA996" s="12">
        <f>YEAR(Table1[Hire_Date])</f>
        <v>2020</v>
      </c>
      <c r="AB996"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997" spans="1:28" x14ac:dyDescent="0.25">
      <c r="A997" t="s">
        <v>4104</v>
      </c>
      <c r="B997" s="16" t="s">
        <v>4105</v>
      </c>
      <c r="C997" s="16" t="s">
        <v>4106</v>
      </c>
      <c r="D997" t="s">
        <v>44</v>
      </c>
      <c r="E997" s="15">
        <v>48</v>
      </c>
      <c r="F997" s="16" t="s">
        <v>45</v>
      </c>
      <c r="G997" s="16" t="s">
        <v>82</v>
      </c>
      <c r="H997" s="16" t="s">
        <v>83</v>
      </c>
      <c r="I997" s="16" t="s">
        <v>57</v>
      </c>
      <c r="J997" s="16" t="s">
        <v>49</v>
      </c>
      <c r="K997" s="17" t="s">
        <v>4107</v>
      </c>
      <c r="M997" t="s">
        <v>36</v>
      </c>
      <c r="N997" t="s">
        <v>143</v>
      </c>
      <c r="O997" t="s">
        <v>60</v>
      </c>
      <c r="P997" s="15">
        <v>16</v>
      </c>
      <c r="Q997" s="18">
        <v>167966</v>
      </c>
      <c r="R997" s="19">
        <v>21</v>
      </c>
      <c r="S997" s="14">
        <v>3</v>
      </c>
      <c r="T997" s="7">
        <v>53</v>
      </c>
      <c r="U997" s="15">
        <v>0</v>
      </c>
      <c r="V997" s="15">
        <v>10</v>
      </c>
      <c r="W997" s="15">
        <v>25</v>
      </c>
      <c r="X997" t="s">
        <v>61</v>
      </c>
      <c r="Y997" t="s">
        <v>78</v>
      </c>
      <c r="Z997" s="14">
        <v>8.6999999999999993</v>
      </c>
      <c r="AA997" s="12">
        <f>YEAR(Table1[Hire_Date])</f>
        <v>2017</v>
      </c>
      <c r="AB997" s="12" t="str">
        <f ca="1">IF(DATEDIF(Table1[[#This Row],[Hire_Date]],TODAY(),"Y")&gt;=10, "10+ Years", IF(DATEDIF(Table1[[#This Row],[Hire_Date]],TODAY(),"Y")&gt;=8, "8+ Years", IF(DATEDIF(Table1[[#This Row],[Hire_Date]],TODAY(),"Y")&gt;=6, "6+ Years", IF(DATEDIF(Table1[[#This Row],[Hire_Date]],TODAY(),"Y")&gt;=4, "4+ Years", IF(DATEDIF(Table1[[#This Row],[Hire_Date]],TODAY(),"Y")&gt;=2, "2+ Years", "&lt;2 Years")))))</f>
        <v>8+ Years</v>
      </c>
    </row>
    <row r="998" spans="1:28" x14ac:dyDescent="0.25">
      <c r="A998" t="s">
        <v>4108</v>
      </c>
      <c r="B998" s="16" t="s">
        <v>4109</v>
      </c>
      <c r="C998" s="16" t="s">
        <v>4110</v>
      </c>
      <c r="D998" t="s">
        <v>29</v>
      </c>
      <c r="E998" s="15">
        <v>23</v>
      </c>
      <c r="F998" s="16" t="s">
        <v>90</v>
      </c>
      <c r="G998" s="16" t="s">
        <v>13</v>
      </c>
      <c r="H998" s="16" t="s">
        <v>83</v>
      </c>
      <c r="I998" s="16" t="s">
        <v>57</v>
      </c>
      <c r="J998" s="16" t="s">
        <v>49</v>
      </c>
      <c r="K998" s="17" t="s">
        <v>4111</v>
      </c>
      <c r="M998" t="s">
        <v>36</v>
      </c>
      <c r="N998" t="s">
        <v>896</v>
      </c>
      <c r="O998" t="s">
        <v>38</v>
      </c>
      <c r="P998" s="15">
        <v>29</v>
      </c>
      <c r="Q998" s="18">
        <v>53809</v>
      </c>
      <c r="R998" s="19">
        <v>16</v>
      </c>
      <c r="S998" s="14">
        <v>2.8</v>
      </c>
      <c r="T998" s="7">
        <v>52</v>
      </c>
      <c r="U998" s="15">
        <v>16</v>
      </c>
      <c r="V998" s="15">
        <v>21</v>
      </c>
      <c r="W998" s="15">
        <v>19</v>
      </c>
      <c r="X998" t="s">
        <v>61</v>
      </c>
      <c r="Y998" t="s">
        <v>40</v>
      </c>
      <c r="Z998" s="14">
        <v>7.6</v>
      </c>
      <c r="AA998" s="12">
        <f>YEAR(Table1[Hire_Date])</f>
        <v>2018</v>
      </c>
      <c r="AB998"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999" spans="1:28" x14ac:dyDescent="0.25">
      <c r="A999" t="s">
        <v>4112</v>
      </c>
      <c r="B999" s="16" t="s">
        <v>4113</v>
      </c>
      <c r="C999" s="16" t="s">
        <v>4114</v>
      </c>
      <c r="D999" t="s">
        <v>29</v>
      </c>
      <c r="E999" s="15">
        <v>36</v>
      </c>
      <c r="F999" s="16" t="s">
        <v>45</v>
      </c>
      <c r="G999" s="16" t="s">
        <v>82</v>
      </c>
      <c r="H999" s="16" t="s">
        <v>32</v>
      </c>
      <c r="I999" s="16" t="s">
        <v>57</v>
      </c>
      <c r="J999" s="16" t="s">
        <v>34</v>
      </c>
      <c r="K999" s="17" t="s">
        <v>1152</v>
      </c>
      <c r="L999" s="17" t="s">
        <v>3161</v>
      </c>
      <c r="M999" t="s">
        <v>76</v>
      </c>
      <c r="N999" t="s">
        <v>348</v>
      </c>
      <c r="O999" t="s">
        <v>52</v>
      </c>
      <c r="P999" s="15">
        <v>18</v>
      </c>
      <c r="Q999" s="18">
        <v>144558</v>
      </c>
      <c r="R999" s="19">
        <v>10</v>
      </c>
      <c r="S999" s="14">
        <v>2.8</v>
      </c>
      <c r="T999" s="7">
        <v>60</v>
      </c>
      <c r="U999" s="15">
        <v>6</v>
      </c>
      <c r="V999" s="15">
        <v>26</v>
      </c>
      <c r="W999" s="15">
        <v>33</v>
      </c>
      <c r="X999" t="s">
        <v>39</v>
      </c>
      <c r="Y999" t="s">
        <v>40</v>
      </c>
      <c r="Z999" s="14">
        <v>5.8</v>
      </c>
      <c r="AA999" s="12">
        <f>YEAR(Table1[Hire_Date])</f>
        <v>2020</v>
      </c>
      <c r="AB999" s="12" t="str">
        <f ca="1">IF(DATEDIF(Table1[[#This Row],[Hire_Date]],TODAY(),"Y")&gt;=10, "10+ Years", IF(DATEDIF(Table1[[#This Row],[Hire_Date]],TODAY(),"Y")&gt;=8, "8+ Years", IF(DATEDIF(Table1[[#This Row],[Hire_Date]],TODAY(),"Y")&gt;=6, "6+ Years", IF(DATEDIF(Table1[[#This Row],[Hire_Date]],TODAY(),"Y")&gt;=4, "4+ Years", IF(DATEDIF(Table1[[#This Row],[Hire_Date]],TODAY(),"Y")&gt;=2, "2+ Years", "&lt;2 Years")))))</f>
        <v>6+ Years</v>
      </c>
    </row>
    <row r="1000" spans="1:28" x14ac:dyDescent="0.25">
      <c r="A1000" t="s">
        <v>4115</v>
      </c>
      <c r="B1000" s="16" t="s">
        <v>4116</v>
      </c>
      <c r="C1000" s="16" t="s">
        <v>4117</v>
      </c>
      <c r="D1000" t="s">
        <v>44</v>
      </c>
      <c r="E1000" s="15">
        <v>34</v>
      </c>
      <c r="F1000" s="16" t="s">
        <v>45</v>
      </c>
      <c r="G1000" s="16" t="s">
        <v>46</v>
      </c>
      <c r="H1000" s="16" t="s">
        <v>47</v>
      </c>
      <c r="I1000" s="16" t="s">
        <v>33</v>
      </c>
      <c r="J1000" s="16" t="s">
        <v>49</v>
      </c>
      <c r="K1000" s="17" t="s">
        <v>4118</v>
      </c>
      <c r="M1000" t="s">
        <v>36</v>
      </c>
      <c r="N1000" t="s">
        <v>209</v>
      </c>
      <c r="O1000" t="s">
        <v>38</v>
      </c>
      <c r="P1000" s="15">
        <v>17</v>
      </c>
      <c r="Q1000" s="18">
        <v>88364</v>
      </c>
      <c r="R1000" s="19">
        <v>17</v>
      </c>
      <c r="S1000" s="14">
        <v>3.5</v>
      </c>
      <c r="T1000" s="7">
        <v>54</v>
      </c>
      <c r="U1000" s="15">
        <v>18</v>
      </c>
      <c r="V1000" s="15">
        <v>0</v>
      </c>
      <c r="W1000" s="15">
        <v>42</v>
      </c>
      <c r="X1000" t="s">
        <v>61</v>
      </c>
      <c r="Y1000" t="s">
        <v>78</v>
      </c>
      <c r="Z1000" s="14">
        <v>2.1</v>
      </c>
      <c r="AA1000" s="12">
        <f>YEAR(Table1[Hire_Date])</f>
        <v>2024</v>
      </c>
      <c r="AB1000" s="12" t="str">
        <f ca="1">IF(DATEDIF(Table1[[#This Row],[Hire_Date]],TODAY(),"Y")&gt;=10, "10+ Years", IF(DATEDIF(Table1[[#This Row],[Hire_Date]],TODAY(),"Y")&gt;=8, "8+ Years", IF(DATEDIF(Table1[[#This Row],[Hire_Date]],TODAY(),"Y")&gt;=6, "6+ Years", IF(DATEDIF(Table1[[#This Row],[Hire_Date]],TODAY(),"Y")&gt;=4, "4+ Years", IF(DATEDIF(Table1[[#This Row],[Hire_Date]],TODAY(),"Y")&gt;=2, "2+ Years", "&lt;2 Years")))))</f>
        <v>2+ Years</v>
      </c>
    </row>
    <row r="1001" spans="1:28" x14ac:dyDescent="0.25">
      <c r="A1001" t="s">
        <v>4119</v>
      </c>
      <c r="B1001" s="16" t="s">
        <v>4120</v>
      </c>
      <c r="C1001" s="16" t="s">
        <v>4121</v>
      </c>
      <c r="D1001" t="s">
        <v>29</v>
      </c>
      <c r="E1001" s="15">
        <v>27</v>
      </c>
      <c r="F1001" s="16" t="s">
        <v>72</v>
      </c>
      <c r="G1001" s="16" t="s">
        <v>73</v>
      </c>
      <c r="H1001" s="16" t="s">
        <v>66</v>
      </c>
      <c r="I1001" s="16" t="s">
        <v>48</v>
      </c>
      <c r="J1001" s="16" t="s">
        <v>49</v>
      </c>
      <c r="K1001" s="17" t="s">
        <v>4122</v>
      </c>
      <c r="M1001" t="s">
        <v>36</v>
      </c>
      <c r="N1001" t="s">
        <v>199</v>
      </c>
      <c r="O1001" t="s">
        <v>60</v>
      </c>
      <c r="P1001" s="15">
        <v>12</v>
      </c>
      <c r="Q1001" s="18">
        <v>102102</v>
      </c>
      <c r="R1001" s="19">
        <v>10</v>
      </c>
      <c r="S1001" s="14">
        <v>2.9</v>
      </c>
      <c r="T1001" s="7">
        <v>94</v>
      </c>
      <c r="U1001" s="15">
        <v>7</v>
      </c>
      <c r="V1001" s="15">
        <v>14</v>
      </c>
      <c r="W1001" s="15">
        <v>15</v>
      </c>
      <c r="X1001" t="s">
        <v>39</v>
      </c>
      <c r="Y1001" t="s">
        <v>40</v>
      </c>
      <c r="Z1001" s="14">
        <v>4.9000000000000004</v>
      </c>
      <c r="AA1001" s="12">
        <f>YEAR(Table1[Hire_Date])</f>
        <v>2021</v>
      </c>
      <c r="AB1001" s="12" t="str">
        <f ca="1">IF(DATEDIF(Table1[[#This Row],[Hire_Date]],TODAY(),"Y")&gt;=10, "10+ Years", IF(DATEDIF(Table1[[#This Row],[Hire_Date]],TODAY(),"Y")&gt;=8, "8+ Years", IF(DATEDIF(Table1[[#This Row],[Hire_Date]],TODAY(),"Y")&gt;=6, "6+ Years", IF(DATEDIF(Table1[[#This Row],[Hire_Date]],TODAY(),"Y")&gt;=4, "4+ Years", IF(DATEDIF(Table1[[#This Row],[Hire_Date]],TODAY(),"Y")&gt;=2, "2+ Years", "&lt;2 Years")))))</f>
        <v>4+ Years</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1B823-1C79-410A-81CB-8D1B7AB666CD}">
  <dimension ref="B1:L28"/>
  <sheetViews>
    <sheetView showGridLines="0" zoomScale="80" zoomScaleNormal="80" workbookViewId="0">
      <selection activeCell="C14" sqref="C14"/>
    </sheetView>
  </sheetViews>
  <sheetFormatPr defaultRowHeight="13.8" x14ac:dyDescent="0.25"/>
  <cols>
    <col min="2" max="2" width="23.59765625" bestFit="1" customWidth="1"/>
    <col min="5" max="5" width="18.8984375" bestFit="1" customWidth="1"/>
    <col min="6" max="6" width="5.5" bestFit="1" customWidth="1"/>
    <col min="8" max="8" width="14" bestFit="1" customWidth="1"/>
    <col min="10" max="10" width="13.5" bestFit="1" customWidth="1"/>
    <col min="11" max="11" width="5.5" bestFit="1" customWidth="1"/>
  </cols>
  <sheetData>
    <row r="1" spans="2:11" ht="18" x14ac:dyDescent="0.35">
      <c r="B1" s="10" t="s">
        <v>4134</v>
      </c>
    </row>
    <row r="2" spans="2:11" x14ac:dyDescent="0.25">
      <c r="E2" s="1" t="s">
        <v>12</v>
      </c>
      <c r="F2" t="s">
        <v>4173</v>
      </c>
      <c r="H2" t="s">
        <v>4168</v>
      </c>
      <c r="J2" s="1" t="s">
        <v>4172</v>
      </c>
      <c r="K2" t="s">
        <v>4173</v>
      </c>
    </row>
    <row r="3" spans="2:11" x14ac:dyDescent="0.25">
      <c r="E3" s="2" t="s">
        <v>36</v>
      </c>
      <c r="F3" s="34">
        <v>453</v>
      </c>
      <c r="H3" s="3">
        <f>COUNTA(Table1[Employee_ID])</f>
        <v>1000</v>
      </c>
      <c r="J3" s="2" t="s">
        <v>40</v>
      </c>
      <c r="K3" s="34">
        <v>179</v>
      </c>
    </row>
    <row r="4" spans="2:11" x14ac:dyDescent="0.25">
      <c r="B4" s="2" t="s">
        <v>4165</v>
      </c>
      <c r="C4" t="s">
        <v>4166</v>
      </c>
      <c r="E4" s="2" t="s">
        <v>76</v>
      </c>
      <c r="F4" s="34">
        <v>50</v>
      </c>
      <c r="J4" s="2" t="s">
        <v>78</v>
      </c>
      <c r="K4" s="34">
        <v>150</v>
      </c>
    </row>
    <row r="5" spans="2:11" x14ac:dyDescent="0.25">
      <c r="B5" s="2" t="s">
        <v>4167</v>
      </c>
      <c r="C5">
        <f>GETPIVOTDATA("Employment_Status",$E$2)</f>
        <v>503</v>
      </c>
      <c r="E5" s="2" t="s">
        <v>4125</v>
      </c>
      <c r="F5" s="34">
        <v>503</v>
      </c>
      <c r="H5" t="s">
        <v>4127</v>
      </c>
      <c r="J5" s="2" t="s">
        <v>62</v>
      </c>
      <c r="K5" s="34">
        <v>174</v>
      </c>
    </row>
    <row r="6" spans="2:11" x14ac:dyDescent="0.25">
      <c r="B6" s="2" t="s">
        <v>4127</v>
      </c>
      <c r="C6">
        <f>GETPIVOTDATA("Employment_Status",$E$2,"Employment_Status","Active")</f>
        <v>453</v>
      </c>
      <c r="H6" s="3">
        <f>COUNTIF(HR_Data!M:M,"Active")</f>
        <v>870</v>
      </c>
      <c r="J6" s="2" t="s">
        <v>4125</v>
      </c>
      <c r="K6" s="34">
        <v>503</v>
      </c>
    </row>
    <row r="7" spans="2:11" x14ac:dyDescent="0.25">
      <c r="B7" s="2" t="s">
        <v>4128</v>
      </c>
      <c r="C7">
        <f>H12</f>
        <v>13</v>
      </c>
    </row>
    <row r="8" spans="2:11" x14ac:dyDescent="0.25">
      <c r="B8" s="2" t="s">
        <v>4178</v>
      </c>
      <c r="C8">
        <f>GETPIVOTDATA("Attrition_Risk",$J$2,"Attrition_Risk","High")</f>
        <v>179</v>
      </c>
      <c r="E8" t="s">
        <v>4148</v>
      </c>
      <c r="F8" t="s">
        <v>4132</v>
      </c>
      <c r="H8" t="s">
        <v>4129</v>
      </c>
    </row>
    <row r="9" spans="2:11" x14ac:dyDescent="0.25">
      <c r="B9" s="2" t="s">
        <v>4195</v>
      </c>
      <c r="C9" s="20">
        <f>GETPIVOTDATA("Attrition_Risk",$J$2,"Attrition_Risk","High")/GETPIVOTDATA("Attrition_Risk",$J$2)</f>
        <v>0.35586481113320079</v>
      </c>
      <c r="E9" t="s">
        <v>4149</v>
      </c>
      <c r="F9">
        <v>3.7166000000000095</v>
      </c>
      <c r="H9" s="3">
        <f>COUNTIF(HR_Data!M:M,"Terminated")</f>
        <v>130</v>
      </c>
    </row>
    <row r="11" spans="2:11" x14ac:dyDescent="0.25">
      <c r="B11" s="2" t="s">
        <v>4169</v>
      </c>
      <c r="C11">
        <f>GETPIVOTDATA("Engagement_Score",$F$11)</f>
        <v>74.483999999999995</v>
      </c>
      <c r="F11" t="s">
        <v>4133</v>
      </c>
      <c r="H11" t="s">
        <v>4128</v>
      </c>
      <c r="J11" t="s">
        <v>4153</v>
      </c>
    </row>
    <row r="12" spans="2:11" x14ac:dyDescent="0.25">
      <c r="B12" s="2" t="s">
        <v>4170</v>
      </c>
      <c r="C12">
        <f>GETPIVOTDATA("Performance_Rating",$F$8)</f>
        <v>3.7166000000000095</v>
      </c>
      <c r="F12">
        <v>74.483999999999995</v>
      </c>
      <c r="H12" s="3">
        <f>(H9/H3)*100</f>
        <v>13</v>
      </c>
      <c r="J12" t="s">
        <v>4152</v>
      </c>
      <c r="K12" t="s">
        <v>4176</v>
      </c>
    </row>
    <row r="13" spans="2:11" x14ac:dyDescent="0.25">
      <c r="B13" s="2" t="s">
        <v>4171</v>
      </c>
      <c r="C13">
        <f>GETPIVOTDATA("Salary_USD",$F$17)</f>
        <v>110497.10799999999</v>
      </c>
      <c r="J13">
        <v>39728</v>
      </c>
      <c r="K13">
        <v>39.728000000000002</v>
      </c>
    </row>
    <row r="17" spans="3:12" x14ac:dyDescent="0.25">
      <c r="F17" t="s">
        <v>4131</v>
      </c>
    </row>
    <row r="18" spans="3:12" x14ac:dyDescent="0.25">
      <c r="C18" t="s">
        <v>4136</v>
      </c>
      <c r="E18" t="s">
        <v>4196</v>
      </c>
      <c r="F18">
        <v>110497.10799999999</v>
      </c>
    </row>
    <row r="19" spans="3:12" x14ac:dyDescent="0.25">
      <c r="D19" t="s">
        <v>4137</v>
      </c>
      <c r="F19" t="s">
        <v>4182</v>
      </c>
      <c r="J19" t="s">
        <v>4174</v>
      </c>
    </row>
    <row r="20" spans="3:12" x14ac:dyDescent="0.25">
      <c r="F20" t="s">
        <v>4139</v>
      </c>
      <c r="J20" t="e">
        <f>GETPIVOTDATA("Gender",'Attrition &amp; Workforce'!$K$4,"Gender","Female")/GETPIVOTDATA("Gender",'Attrition &amp; Workforce'!$K$4,"Gender","Male")</f>
        <v>#REF!</v>
      </c>
      <c r="K20" s="11" t="s">
        <v>4175</v>
      </c>
    </row>
    <row r="21" spans="3:12" x14ac:dyDescent="0.25">
      <c r="L21" t="s">
        <v>4155</v>
      </c>
    </row>
    <row r="22" spans="3:12" x14ac:dyDescent="0.25">
      <c r="J22" s="9"/>
      <c r="L22">
        <v>10.26</v>
      </c>
    </row>
    <row r="23" spans="3:12" ht="18" x14ac:dyDescent="0.35">
      <c r="G23" s="6"/>
    </row>
    <row r="24" spans="3:12" x14ac:dyDescent="0.25">
      <c r="E24" s="24" t="s">
        <v>4157</v>
      </c>
      <c r="F24" s="24"/>
    </row>
    <row r="25" spans="3:12" x14ac:dyDescent="0.25">
      <c r="E25" s="1" t="s">
        <v>4124</v>
      </c>
      <c r="F25" t="s">
        <v>4177</v>
      </c>
    </row>
    <row r="26" spans="3:12" x14ac:dyDescent="0.25">
      <c r="E26" s="2" t="s">
        <v>61</v>
      </c>
      <c r="F26" s="8">
        <v>0.5188866799204771</v>
      </c>
    </row>
    <row r="27" spans="3:12" x14ac:dyDescent="0.25">
      <c r="E27" s="2" t="s">
        <v>39</v>
      </c>
      <c r="F27" s="8">
        <v>0.48111332007952284</v>
      </c>
    </row>
    <row r="28" spans="3:12" x14ac:dyDescent="0.25">
      <c r="E28" s="2" t="s">
        <v>4125</v>
      </c>
      <c r="F28" s="8">
        <v>1</v>
      </c>
    </row>
  </sheetData>
  <mergeCells count="1">
    <mergeCell ref="E24:F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BD6D9-699C-449E-A358-5862CA01CD85}">
  <dimension ref="H1:Z29"/>
  <sheetViews>
    <sheetView showGridLines="0" tabSelected="1" zoomScale="79" zoomScaleNormal="79" workbookViewId="0">
      <selection activeCell="S41" sqref="S41"/>
    </sheetView>
  </sheetViews>
  <sheetFormatPr defaultRowHeight="13.8" x14ac:dyDescent="0.25"/>
  <cols>
    <col min="25" max="25" width="12.3984375" bestFit="1" customWidth="1"/>
    <col min="26" max="26" width="18.5" bestFit="1" customWidth="1"/>
    <col min="35" max="35" width="12.3984375" bestFit="1" customWidth="1"/>
    <col min="36" max="36" width="18.5" bestFit="1" customWidth="1"/>
  </cols>
  <sheetData>
    <row r="1" spans="8:20" ht="33.6" customHeight="1" x14ac:dyDescent="0.25">
      <c r="H1" s="25" t="s">
        <v>4164</v>
      </c>
      <c r="I1" s="26"/>
      <c r="J1" s="26"/>
      <c r="K1" s="26"/>
      <c r="L1" s="26"/>
      <c r="M1" s="26"/>
      <c r="N1" s="26"/>
      <c r="O1" s="26"/>
      <c r="P1" s="26"/>
      <c r="Q1" s="26"/>
      <c r="R1" s="26"/>
      <c r="S1" s="26"/>
      <c r="T1" s="27"/>
    </row>
    <row r="2" spans="8:20" ht="21.6" customHeight="1" x14ac:dyDescent="0.25"/>
    <row r="25" spans="25:26" x14ac:dyDescent="0.25">
      <c r="Y25" t="s">
        <v>4157</v>
      </c>
    </row>
    <row r="26" spans="25:26" x14ac:dyDescent="0.25">
      <c r="Y26" s="1" t="s">
        <v>4124</v>
      </c>
      <c r="Z26" t="s">
        <v>4177</v>
      </c>
    </row>
    <row r="27" spans="25:26" x14ac:dyDescent="0.25">
      <c r="Y27" s="2" t="s">
        <v>61</v>
      </c>
      <c r="Z27" s="8">
        <v>0.5188866799204771</v>
      </c>
    </row>
    <row r="28" spans="25:26" x14ac:dyDescent="0.25">
      <c r="Y28" s="2" t="s">
        <v>39</v>
      </c>
      <c r="Z28" s="8">
        <v>0.48111332007952284</v>
      </c>
    </row>
    <row r="29" spans="25:26" x14ac:dyDescent="0.25">
      <c r="Y29" s="2" t="s">
        <v>4125</v>
      </c>
      <c r="Z29" s="8">
        <v>1</v>
      </c>
    </row>
  </sheetData>
  <mergeCells count="1">
    <mergeCell ref="H1:T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31AB7-8976-438A-96DD-344F16BF50AA}">
  <dimension ref="B2:U15"/>
  <sheetViews>
    <sheetView showGridLines="0" zoomScale="76" zoomScaleNormal="76" workbookViewId="0">
      <selection activeCell="R21" sqref="R21"/>
    </sheetView>
  </sheetViews>
  <sheetFormatPr defaultRowHeight="13.8" x14ac:dyDescent="0.25"/>
  <cols>
    <col min="1" max="1" width="5.8984375" customWidth="1"/>
    <col min="2" max="2" width="18.796875" bestFit="1" customWidth="1"/>
    <col min="3" max="3" width="14.3984375" bestFit="1" customWidth="1"/>
    <col min="4" max="4" width="4.09765625" bestFit="1" customWidth="1"/>
    <col min="5" max="5" width="7.09765625" bestFit="1" customWidth="1"/>
    <col min="6" max="6" width="10.09765625" bestFit="1" customWidth="1"/>
    <col min="7" max="7" width="5.796875" customWidth="1"/>
    <col min="8" max="8" width="12.296875" bestFit="1" customWidth="1"/>
    <col min="9" max="9" width="12.09765625" customWidth="1"/>
    <col min="10" max="10" width="5.5" customWidth="1"/>
    <col min="11" max="11" width="15.09765625" bestFit="1" customWidth="1"/>
    <col min="12" max="12" width="13.796875" bestFit="1" customWidth="1"/>
    <col min="13" max="13" width="8.69921875" customWidth="1"/>
    <col min="14" max="14" width="12.296875" bestFit="1" customWidth="1"/>
    <col min="15" max="15" width="18.3984375" bestFit="1" customWidth="1"/>
    <col min="16" max="16" width="3.8984375" bestFit="1" customWidth="1"/>
    <col min="17" max="17" width="12.19921875" bestFit="1" customWidth="1"/>
    <col min="18" max="18" width="18.3984375" bestFit="1" customWidth="1"/>
    <col min="19" max="19" width="5.59765625" customWidth="1"/>
    <col min="20" max="20" width="12.19921875" bestFit="1" customWidth="1"/>
    <col min="21" max="21" width="18.3984375" bestFit="1" customWidth="1"/>
    <col min="22" max="22" width="5.296875" customWidth="1"/>
    <col min="23" max="23" width="4.09765625" bestFit="1" customWidth="1"/>
    <col min="24" max="24" width="7.09765625" bestFit="1" customWidth="1"/>
    <col min="25" max="25" width="10.09765625" bestFit="1" customWidth="1"/>
    <col min="28" max="28" width="11.8984375" bestFit="1" customWidth="1"/>
    <col min="29" max="29" width="18.09765625" bestFit="1" customWidth="1"/>
    <col min="32" max="32" width="13.19921875" customWidth="1"/>
    <col min="33" max="33" width="8.8984375" customWidth="1"/>
    <col min="34" max="34" width="4.69921875" bestFit="1" customWidth="1"/>
    <col min="35" max="35" width="7.19921875" customWidth="1"/>
    <col min="36" max="36" width="10.09765625" bestFit="1" customWidth="1"/>
  </cols>
  <sheetData>
    <row r="2" spans="2:21" x14ac:dyDescent="0.25">
      <c r="K2" s="1" t="s">
        <v>12</v>
      </c>
      <c r="L2" t="s">
        <v>4185</v>
      </c>
    </row>
    <row r="3" spans="2:21" x14ac:dyDescent="0.25">
      <c r="B3" s="1" t="s">
        <v>4126</v>
      </c>
      <c r="C3" s="1" t="s">
        <v>4162</v>
      </c>
      <c r="H3" s="1" t="s">
        <v>4124</v>
      </c>
      <c r="I3" t="s">
        <v>4123</v>
      </c>
      <c r="N3" s="1" t="s">
        <v>4124</v>
      </c>
      <c r="O3" t="s">
        <v>4123</v>
      </c>
    </row>
    <row r="4" spans="2:21" x14ac:dyDescent="0.25">
      <c r="B4" s="1" t="s">
        <v>4124</v>
      </c>
      <c r="C4" t="s">
        <v>40</v>
      </c>
      <c r="D4" t="s">
        <v>78</v>
      </c>
      <c r="E4" t="s">
        <v>62</v>
      </c>
      <c r="F4" t="s">
        <v>4125</v>
      </c>
      <c r="H4" s="2" t="s">
        <v>124</v>
      </c>
      <c r="I4" s="34">
        <v>88</v>
      </c>
      <c r="K4" s="1" t="s">
        <v>4124</v>
      </c>
      <c r="L4" t="s">
        <v>4135</v>
      </c>
      <c r="N4" s="2" t="s">
        <v>141</v>
      </c>
      <c r="O4" s="34">
        <v>36</v>
      </c>
      <c r="Q4" s="1" t="s">
        <v>4124</v>
      </c>
      <c r="R4" t="s">
        <v>4123</v>
      </c>
      <c r="T4" s="1" t="s">
        <v>4124</v>
      </c>
      <c r="U4" t="s">
        <v>4123</v>
      </c>
    </row>
    <row r="5" spans="2:21" x14ac:dyDescent="0.25">
      <c r="B5" s="2" t="s">
        <v>124</v>
      </c>
      <c r="C5" s="34">
        <v>35</v>
      </c>
      <c r="D5" s="34">
        <v>20</v>
      </c>
      <c r="E5" s="34">
        <v>33</v>
      </c>
      <c r="F5" s="34">
        <v>88</v>
      </c>
      <c r="H5" s="2" t="s">
        <v>72</v>
      </c>
      <c r="I5" s="34">
        <v>90</v>
      </c>
      <c r="K5" s="2" t="s">
        <v>44</v>
      </c>
      <c r="L5" s="34">
        <v>503</v>
      </c>
      <c r="N5" s="2" t="s">
        <v>104</v>
      </c>
      <c r="O5" s="34">
        <v>43</v>
      </c>
      <c r="Q5" s="2" t="s">
        <v>48</v>
      </c>
      <c r="R5" s="34">
        <v>167</v>
      </c>
      <c r="T5" s="2" t="s">
        <v>32</v>
      </c>
      <c r="U5" s="34">
        <v>90</v>
      </c>
    </row>
    <row r="6" spans="2:21" x14ac:dyDescent="0.25">
      <c r="B6" s="2" t="s">
        <v>72</v>
      </c>
      <c r="C6" s="34">
        <v>31</v>
      </c>
      <c r="D6" s="34">
        <v>31</v>
      </c>
      <c r="E6" s="34">
        <v>28</v>
      </c>
      <c r="F6" s="34">
        <v>90</v>
      </c>
      <c r="H6" s="2" t="s">
        <v>103</v>
      </c>
      <c r="I6" s="34">
        <v>75</v>
      </c>
      <c r="K6" s="2" t="s">
        <v>4125</v>
      </c>
      <c r="L6" s="34">
        <v>503</v>
      </c>
      <c r="N6" s="2" t="s">
        <v>31</v>
      </c>
      <c r="O6" s="34">
        <v>49</v>
      </c>
      <c r="Q6" s="2" t="s">
        <v>57</v>
      </c>
      <c r="R6" s="34">
        <v>173</v>
      </c>
      <c r="T6" s="2" t="s">
        <v>83</v>
      </c>
      <c r="U6" s="34">
        <v>123</v>
      </c>
    </row>
    <row r="7" spans="2:21" x14ac:dyDescent="0.25">
      <c r="B7" s="2" t="s">
        <v>103</v>
      </c>
      <c r="C7" s="34">
        <v>26</v>
      </c>
      <c r="D7" s="34">
        <v>25</v>
      </c>
      <c r="E7" s="34">
        <v>24</v>
      </c>
      <c r="F7" s="34">
        <v>75</v>
      </c>
      <c r="H7" s="2" t="s">
        <v>90</v>
      </c>
      <c r="I7" s="34">
        <v>72</v>
      </c>
      <c r="N7" s="2" t="s">
        <v>147</v>
      </c>
      <c r="O7" s="34">
        <v>24</v>
      </c>
      <c r="Q7" s="2" t="s">
        <v>33</v>
      </c>
      <c r="R7" s="34">
        <v>163</v>
      </c>
      <c r="T7" s="2" t="s">
        <v>47</v>
      </c>
      <c r="U7" s="34">
        <v>103</v>
      </c>
    </row>
    <row r="8" spans="2:21" x14ac:dyDescent="0.25">
      <c r="B8" s="2" t="s">
        <v>90</v>
      </c>
      <c r="C8" s="34">
        <v>26</v>
      </c>
      <c r="D8" s="34">
        <v>20</v>
      </c>
      <c r="E8" s="34">
        <v>26</v>
      </c>
      <c r="F8" s="34">
        <v>72</v>
      </c>
      <c r="H8" s="2" t="s">
        <v>30</v>
      </c>
      <c r="I8" s="34">
        <v>96</v>
      </c>
      <c r="N8" s="2" t="s">
        <v>97</v>
      </c>
      <c r="O8" s="34">
        <v>35</v>
      </c>
      <c r="Q8" s="2" t="s">
        <v>4125</v>
      </c>
      <c r="R8" s="34">
        <v>503</v>
      </c>
      <c r="T8" s="2" t="s">
        <v>66</v>
      </c>
      <c r="U8" s="34">
        <v>87</v>
      </c>
    </row>
    <row r="9" spans="2:21" x14ac:dyDescent="0.25">
      <c r="B9" s="2" t="s">
        <v>30</v>
      </c>
      <c r="C9" s="34">
        <v>30</v>
      </c>
      <c r="D9" s="34">
        <v>28</v>
      </c>
      <c r="E9" s="34">
        <v>38</v>
      </c>
      <c r="F9" s="34">
        <v>96</v>
      </c>
      <c r="H9" s="2" t="s">
        <v>45</v>
      </c>
      <c r="I9" s="34">
        <v>82</v>
      </c>
      <c r="N9" s="2" t="s">
        <v>73</v>
      </c>
      <c r="O9" s="34">
        <v>29</v>
      </c>
      <c r="T9" s="2" t="s">
        <v>56</v>
      </c>
      <c r="U9" s="34">
        <v>100</v>
      </c>
    </row>
    <row r="10" spans="2:21" x14ac:dyDescent="0.25">
      <c r="B10" s="2" t="s">
        <v>45</v>
      </c>
      <c r="C10" s="34">
        <v>31</v>
      </c>
      <c r="D10" s="34">
        <v>26</v>
      </c>
      <c r="E10" s="34">
        <v>25</v>
      </c>
      <c r="F10" s="34">
        <v>82</v>
      </c>
      <c r="H10" s="2" t="s">
        <v>4125</v>
      </c>
      <c r="I10" s="34">
        <v>503</v>
      </c>
      <c r="N10" s="2" t="s">
        <v>13</v>
      </c>
      <c r="O10" s="34">
        <v>142</v>
      </c>
      <c r="T10" s="2" t="s">
        <v>4125</v>
      </c>
      <c r="U10" s="34">
        <v>503</v>
      </c>
    </row>
    <row r="11" spans="2:21" x14ac:dyDescent="0.25">
      <c r="B11" s="2" t="s">
        <v>4125</v>
      </c>
      <c r="C11" s="34">
        <v>179</v>
      </c>
      <c r="D11" s="34">
        <v>150</v>
      </c>
      <c r="E11" s="34">
        <v>174</v>
      </c>
      <c r="F11" s="34">
        <v>503</v>
      </c>
      <c r="N11" s="2" t="s">
        <v>135</v>
      </c>
      <c r="O11" s="34">
        <v>26</v>
      </c>
    </row>
    <row r="12" spans="2:21" x14ac:dyDescent="0.25">
      <c r="N12" s="2" t="s">
        <v>82</v>
      </c>
      <c r="O12" s="34">
        <v>46</v>
      </c>
    </row>
    <row r="13" spans="2:21" x14ac:dyDescent="0.25">
      <c r="N13" s="2" t="s">
        <v>46</v>
      </c>
      <c r="O13" s="34">
        <v>36</v>
      </c>
    </row>
    <row r="14" spans="2:21" x14ac:dyDescent="0.25">
      <c r="N14" s="2" t="s">
        <v>281</v>
      </c>
      <c r="O14" s="34">
        <v>37</v>
      </c>
    </row>
    <row r="15" spans="2:21" x14ac:dyDescent="0.25">
      <c r="N15" s="2" t="s">
        <v>4125</v>
      </c>
      <c r="O15" s="34">
        <v>503</v>
      </c>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89678-F24E-465E-A023-1839580EB612}">
  <dimension ref="B4:G33"/>
  <sheetViews>
    <sheetView showGridLines="0" zoomScale="77" zoomScaleNormal="77" workbookViewId="0">
      <selection activeCell="K33" sqref="K33"/>
    </sheetView>
  </sheetViews>
  <sheetFormatPr defaultRowHeight="13.8" x14ac:dyDescent="0.25"/>
  <cols>
    <col min="2" max="2" width="14.8984375" bestFit="1" customWidth="1"/>
    <col min="3" max="3" width="22.69921875" bestFit="1" customWidth="1"/>
    <col min="4" max="4" width="22.8984375" bestFit="1" customWidth="1"/>
    <col min="5" max="5" width="28.5" bestFit="1" customWidth="1"/>
    <col min="6" max="6" width="12.19921875" bestFit="1" customWidth="1"/>
    <col min="7" max="7" width="17.69921875" bestFit="1" customWidth="1"/>
    <col min="8" max="8" width="14.8984375" bestFit="1" customWidth="1"/>
    <col min="9" max="9" width="22.69921875" bestFit="1" customWidth="1"/>
    <col min="10" max="10" width="9.59765625" bestFit="1" customWidth="1"/>
    <col min="11" max="11" width="10.09765625" bestFit="1" customWidth="1"/>
    <col min="13" max="13" width="22.69921875" bestFit="1" customWidth="1"/>
    <col min="14" max="14" width="14.3984375" bestFit="1" customWidth="1"/>
    <col min="15" max="15" width="8.09765625" bestFit="1" customWidth="1"/>
    <col min="16" max="16" width="10.09765625" bestFit="1" customWidth="1"/>
    <col min="21" max="21" width="11.8984375" bestFit="1" customWidth="1"/>
    <col min="22" max="22" width="22.8984375" bestFit="1" customWidth="1"/>
    <col min="23" max="23" width="28.5" bestFit="1" customWidth="1"/>
    <col min="24" max="24" width="28.3984375" bestFit="1" customWidth="1"/>
    <col min="25" max="25" width="23.59765625" bestFit="1" customWidth="1"/>
    <col min="26" max="26" width="27.3984375" bestFit="1" customWidth="1"/>
    <col min="27" max="27" width="28.09765625" bestFit="1" customWidth="1"/>
    <col min="28" max="32" width="4.296875" bestFit="1" customWidth="1"/>
    <col min="33" max="33" width="3.296875" bestFit="1" customWidth="1"/>
    <col min="34" max="43" width="4.296875" bestFit="1" customWidth="1"/>
    <col min="44" max="44" width="3.296875" bestFit="1" customWidth="1"/>
    <col min="45" max="54" width="4.296875" bestFit="1" customWidth="1"/>
    <col min="55" max="55" width="3.296875" bestFit="1" customWidth="1"/>
    <col min="56" max="65" width="4.296875" bestFit="1" customWidth="1"/>
    <col min="66" max="66" width="3.296875" bestFit="1" customWidth="1"/>
    <col min="67" max="76" width="4.296875" bestFit="1" customWidth="1"/>
    <col min="77" max="77" width="3.296875" bestFit="1" customWidth="1"/>
    <col min="78" max="87" width="4.296875" bestFit="1" customWidth="1"/>
    <col min="88" max="88" width="3.296875" bestFit="1" customWidth="1"/>
    <col min="89" max="98" width="4.296875" bestFit="1" customWidth="1"/>
    <col min="99" max="99" width="3.296875" bestFit="1" customWidth="1"/>
    <col min="100" max="100" width="4.296875" bestFit="1" customWidth="1"/>
    <col min="101" max="101" width="3.296875" bestFit="1" customWidth="1"/>
    <col min="102" max="898" width="10.09765625" bestFit="1" customWidth="1"/>
  </cols>
  <sheetData>
    <row r="4" spans="2:7" x14ac:dyDescent="0.25">
      <c r="B4" s="1" t="s">
        <v>12</v>
      </c>
      <c r="C4" t="s">
        <v>4185</v>
      </c>
    </row>
    <row r="5" spans="2:7" x14ac:dyDescent="0.25">
      <c r="F5" s="1" t="s">
        <v>6</v>
      </c>
      <c r="G5" t="s">
        <v>4140</v>
      </c>
    </row>
    <row r="6" spans="2:7" x14ac:dyDescent="0.25">
      <c r="B6" s="1" t="s">
        <v>4124</v>
      </c>
      <c r="C6" t="s">
        <v>4163</v>
      </c>
      <c r="F6" s="2" t="s">
        <v>141</v>
      </c>
      <c r="G6" s="7">
        <v>13.638888888888889</v>
      </c>
    </row>
    <row r="7" spans="2:7" x14ac:dyDescent="0.25">
      <c r="B7" s="2" t="s">
        <v>34</v>
      </c>
      <c r="C7" s="34">
        <v>270</v>
      </c>
      <c r="F7" s="2" t="s">
        <v>104</v>
      </c>
      <c r="G7" s="7">
        <v>15.186046511627907</v>
      </c>
    </row>
    <row r="8" spans="2:7" x14ac:dyDescent="0.25">
      <c r="B8" s="2" t="s">
        <v>49</v>
      </c>
      <c r="C8" s="34">
        <v>233</v>
      </c>
      <c r="F8" s="2" t="s">
        <v>31</v>
      </c>
      <c r="G8" s="7">
        <v>16.530612244897959</v>
      </c>
    </row>
    <row r="9" spans="2:7" x14ac:dyDescent="0.25">
      <c r="B9" s="2" t="s">
        <v>4125</v>
      </c>
      <c r="C9" s="34">
        <v>503</v>
      </c>
      <c r="F9" s="2" t="s">
        <v>147</v>
      </c>
      <c r="G9" s="7">
        <v>14.333333333333334</v>
      </c>
    </row>
    <row r="10" spans="2:7" x14ac:dyDescent="0.25">
      <c r="F10" s="2" t="s">
        <v>97</v>
      </c>
      <c r="G10" s="7">
        <v>15.142857142857142</v>
      </c>
    </row>
    <row r="11" spans="2:7" x14ac:dyDescent="0.25">
      <c r="F11" s="2" t="s">
        <v>73</v>
      </c>
      <c r="G11" s="7">
        <v>15.620689655172415</v>
      </c>
    </row>
    <row r="12" spans="2:7" x14ac:dyDescent="0.25">
      <c r="F12" s="2" t="s">
        <v>13</v>
      </c>
      <c r="G12" s="7">
        <v>14.45774647887324</v>
      </c>
    </row>
    <row r="13" spans="2:7" x14ac:dyDescent="0.25">
      <c r="F13" s="2" t="s">
        <v>135</v>
      </c>
      <c r="G13" s="7">
        <v>14.692307692307692</v>
      </c>
    </row>
    <row r="14" spans="2:7" x14ac:dyDescent="0.25">
      <c r="F14" s="2" t="s">
        <v>82</v>
      </c>
      <c r="G14" s="7">
        <v>16.391304347826086</v>
      </c>
    </row>
    <row r="15" spans="2:7" x14ac:dyDescent="0.25">
      <c r="F15" s="2" t="s">
        <v>46</v>
      </c>
      <c r="G15" s="7">
        <v>14.916666666666666</v>
      </c>
    </row>
    <row r="16" spans="2:7" x14ac:dyDescent="0.25">
      <c r="F16" s="2" t="s">
        <v>281</v>
      </c>
      <c r="G16" s="7">
        <v>14.54054054054054</v>
      </c>
    </row>
    <row r="17" spans="3:7" x14ac:dyDescent="0.25">
      <c r="F17" s="2" t="s">
        <v>4125</v>
      </c>
      <c r="G17" s="34">
        <v>15</v>
      </c>
    </row>
    <row r="21" spans="3:7" x14ac:dyDescent="0.25">
      <c r="C21" s="1" t="s">
        <v>4124</v>
      </c>
      <c r="D21" t="s">
        <v>4179</v>
      </c>
      <c r="E21" t="s">
        <v>4180</v>
      </c>
      <c r="F21" t="s">
        <v>4181</v>
      </c>
    </row>
    <row r="22" spans="3:7" x14ac:dyDescent="0.25">
      <c r="C22" s="2" t="s">
        <v>141</v>
      </c>
      <c r="D22" s="7">
        <v>28.944444444444443</v>
      </c>
      <c r="E22" s="7">
        <v>3.7527777777777782</v>
      </c>
      <c r="F22" s="7">
        <v>75</v>
      </c>
    </row>
    <row r="23" spans="3:7" x14ac:dyDescent="0.25">
      <c r="C23" s="2" t="s">
        <v>104</v>
      </c>
      <c r="D23" s="7">
        <v>31.813953488372093</v>
      </c>
      <c r="E23" s="7">
        <v>3.6116279069767443</v>
      </c>
      <c r="F23" s="7">
        <v>75.697674418604649</v>
      </c>
    </row>
    <row r="24" spans="3:7" x14ac:dyDescent="0.25">
      <c r="C24" s="2" t="s">
        <v>31</v>
      </c>
      <c r="D24" s="7">
        <v>28.775510204081634</v>
      </c>
      <c r="E24" s="7">
        <v>3.8102040816326546</v>
      </c>
      <c r="F24" s="7">
        <v>78.183673469387756</v>
      </c>
    </row>
    <row r="25" spans="3:7" x14ac:dyDescent="0.25">
      <c r="C25" s="2" t="s">
        <v>147</v>
      </c>
      <c r="D25" s="7">
        <v>30.458333333333332</v>
      </c>
      <c r="E25" s="7">
        <v>3.7500000000000004</v>
      </c>
      <c r="F25" s="7">
        <v>76.958333333333329</v>
      </c>
    </row>
    <row r="26" spans="3:7" x14ac:dyDescent="0.25">
      <c r="C26" s="2" t="s">
        <v>97</v>
      </c>
      <c r="D26" s="7">
        <v>32.114285714285714</v>
      </c>
      <c r="E26" s="7">
        <v>3.9542857142857146</v>
      </c>
      <c r="F26" s="7">
        <v>70.428571428571431</v>
      </c>
    </row>
    <row r="27" spans="3:7" x14ac:dyDescent="0.25">
      <c r="C27" s="2" t="s">
        <v>73</v>
      </c>
      <c r="D27" s="7">
        <v>27</v>
      </c>
      <c r="E27" s="7">
        <v>3.6</v>
      </c>
      <c r="F27" s="7">
        <v>73</v>
      </c>
    </row>
    <row r="28" spans="3:7" x14ac:dyDescent="0.25">
      <c r="C28" s="2" t="s">
        <v>13</v>
      </c>
      <c r="D28" s="7">
        <v>28.830985915492956</v>
      </c>
      <c r="E28" s="7">
        <v>3.7253521126760565</v>
      </c>
      <c r="F28" s="7">
        <v>74.683098591549296</v>
      </c>
    </row>
    <row r="29" spans="3:7" x14ac:dyDescent="0.25">
      <c r="C29" s="2" t="s">
        <v>135</v>
      </c>
      <c r="D29" s="7">
        <v>29.846153846153847</v>
      </c>
      <c r="E29" s="7">
        <v>3.7961538461538469</v>
      </c>
      <c r="F29" s="7">
        <v>73.65384615384616</v>
      </c>
    </row>
    <row r="30" spans="3:7" x14ac:dyDescent="0.25">
      <c r="C30" s="2" t="s">
        <v>82</v>
      </c>
      <c r="D30" s="7">
        <v>25.673913043478262</v>
      </c>
      <c r="E30" s="7">
        <v>3.6217391304347832</v>
      </c>
      <c r="F30" s="7">
        <v>70.695652173913047</v>
      </c>
    </row>
    <row r="31" spans="3:7" x14ac:dyDescent="0.25">
      <c r="C31" s="2" t="s">
        <v>46</v>
      </c>
      <c r="D31" s="7">
        <v>25.805555555555557</v>
      </c>
      <c r="E31" s="7">
        <v>3.6972222222222211</v>
      </c>
      <c r="F31" s="7">
        <v>73.388888888888886</v>
      </c>
    </row>
    <row r="32" spans="3:7" x14ac:dyDescent="0.25">
      <c r="C32" s="2" t="s">
        <v>281</v>
      </c>
      <c r="D32" s="7">
        <v>27.72972972972973</v>
      </c>
      <c r="E32" s="7">
        <v>3.5567567567567573</v>
      </c>
      <c r="F32" s="7">
        <v>74.540540540540547</v>
      </c>
    </row>
    <row r="33" spans="3:6" x14ac:dyDescent="0.25">
      <c r="C33" s="2" t="s">
        <v>4125</v>
      </c>
      <c r="D33" s="34">
        <v>28.755467196819087</v>
      </c>
      <c r="E33" s="34">
        <v>3.7155069582504989</v>
      </c>
      <c r="F33" s="34">
        <v>74.328031809145131</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1CF02-CAFA-4F2A-987B-10EACF001446}">
  <dimension ref="B3:M47"/>
  <sheetViews>
    <sheetView showGridLines="0" topLeftCell="A2" zoomScale="86" zoomScaleNormal="86" workbookViewId="0">
      <selection activeCell="K3" sqref="K3:T7"/>
    </sheetView>
  </sheetViews>
  <sheetFormatPr defaultRowHeight="13.8" x14ac:dyDescent="0.25"/>
  <cols>
    <col min="2" max="2" width="12.3984375" bestFit="1" customWidth="1"/>
    <col min="3" max="3" width="26.296875" bestFit="1" customWidth="1"/>
    <col min="5" max="5" width="12.3984375" bestFit="1" customWidth="1"/>
    <col min="6" max="6" width="18.8984375" bestFit="1" customWidth="1"/>
    <col min="10" max="10" width="12.3984375" bestFit="1" customWidth="1"/>
    <col min="11" max="11" width="15.3984375" bestFit="1" customWidth="1"/>
    <col min="12" max="12" width="19.5" bestFit="1" customWidth="1"/>
    <col min="13" max="13" width="26.296875" bestFit="1" customWidth="1"/>
  </cols>
  <sheetData>
    <row r="3" spans="2:13" x14ac:dyDescent="0.25">
      <c r="B3" s="1" t="s">
        <v>4124</v>
      </c>
      <c r="C3" t="s">
        <v>4132</v>
      </c>
      <c r="E3" s="1" t="s">
        <v>4124</v>
      </c>
      <c r="F3" t="s">
        <v>4132</v>
      </c>
    </row>
    <row r="4" spans="2:13" x14ac:dyDescent="0.25">
      <c r="B4" s="2" t="s">
        <v>124</v>
      </c>
      <c r="C4" s="7">
        <v>3.7613636363636349</v>
      </c>
      <c r="E4" s="2" t="s">
        <v>32</v>
      </c>
      <c r="F4" s="7">
        <v>3.79</v>
      </c>
    </row>
    <row r="5" spans="2:13" x14ac:dyDescent="0.25">
      <c r="B5" s="2" t="s">
        <v>72</v>
      </c>
      <c r="C5" s="7">
        <v>3.7944444444444438</v>
      </c>
      <c r="E5" s="2" t="s">
        <v>83</v>
      </c>
      <c r="F5" s="7">
        <v>3.638211382113822</v>
      </c>
    </row>
    <row r="6" spans="2:13" x14ac:dyDescent="0.25">
      <c r="B6" s="2" t="s">
        <v>103</v>
      </c>
      <c r="C6" s="7">
        <v>3.6093333333333333</v>
      </c>
      <c r="E6" s="2" t="s">
        <v>47</v>
      </c>
      <c r="F6" s="7">
        <v>3.7485436893203881</v>
      </c>
    </row>
    <row r="7" spans="2:13" x14ac:dyDescent="0.25">
      <c r="B7" s="2" t="s">
        <v>90</v>
      </c>
      <c r="C7" s="7">
        <v>3.7305555555555565</v>
      </c>
      <c r="E7" s="2" t="s">
        <v>66</v>
      </c>
      <c r="F7" s="7">
        <v>3.6149425287356314</v>
      </c>
    </row>
    <row r="8" spans="2:13" x14ac:dyDescent="0.25">
      <c r="B8" s="2" t="s">
        <v>30</v>
      </c>
      <c r="C8" s="7">
        <v>3.7229166666666669</v>
      </c>
      <c r="E8" s="2" t="s">
        <v>56</v>
      </c>
      <c r="F8" s="7">
        <v>3.7969999999999988</v>
      </c>
    </row>
    <row r="9" spans="2:13" x14ac:dyDescent="0.25">
      <c r="B9" s="2" t="s">
        <v>45</v>
      </c>
      <c r="C9" s="7">
        <v>3.6548780487804868</v>
      </c>
      <c r="E9" s="2" t="s">
        <v>4125</v>
      </c>
      <c r="F9" s="34">
        <v>3.7155069582504998</v>
      </c>
    </row>
    <row r="10" spans="2:13" x14ac:dyDescent="0.25">
      <c r="B10" s="2" t="s">
        <v>4125</v>
      </c>
      <c r="C10" s="34">
        <v>3.7155069582504998</v>
      </c>
      <c r="J10" s="1" t="s">
        <v>4124</v>
      </c>
      <c r="K10" t="s">
        <v>4161</v>
      </c>
      <c r="L10" t="s">
        <v>4131</v>
      </c>
      <c r="M10" t="s">
        <v>4132</v>
      </c>
    </row>
    <row r="11" spans="2:13" x14ac:dyDescent="0.25">
      <c r="J11" s="2" t="s">
        <v>141</v>
      </c>
      <c r="K11" s="34">
        <v>36</v>
      </c>
      <c r="L11" s="7">
        <v>108037.55555555556</v>
      </c>
      <c r="M11" s="7">
        <v>3.7527777777777782</v>
      </c>
    </row>
    <row r="12" spans="2:13" x14ac:dyDescent="0.25">
      <c r="J12" s="2" t="s">
        <v>104</v>
      </c>
      <c r="K12" s="34">
        <v>43</v>
      </c>
      <c r="L12" s="7">
        <v>110736.93023255814</v>
      </c>
      <c r="M12" s="7">
        <v>3.6116279069767443</v>
      </c>
    </row>
    <row r="13" spans="2:13" x14ac:dyDescent="0.25">
      <c r="B13" s="1" t="s">
        <v>4124</v>
      </c>
      <c r="C13" t="s">
        <v>4132</v>
      </c>
      <c r="E13" s="1" t="s">
        <v>4124</v>
      </c>
      <c r="F13" t="s">
        <v>4132</v>
      </c>
      <c r="J13" s="2" t="s">
        <v>31</v>
      </c>
      <c r="K13" s="34">
        <v>49</v>
      </c>
      <c r="L13" s="7">
        <v>113124.16326530612</v>
      </c>
      <c r="M13" s="7">
        <v>3.8102040816326546</v>
      </c>
    </row>
    <row r="14" spans="2:13" x14ac:dyDescent="0.25">
      <c r="B14" s="2" t="s">
        <v>141</v>
      </c>
      <c r="C14" s="7">
        <v>3.7527777777777782</v>
      </c>
      <c r="E14" s="2" t="s">
        <v>34</v>
      </c>
      <c r="F14" s="34">
        <v>3.7955555555555556</v>
      </c>
      <c r="J14" s="2" t="s">
        <v>147</v>
      </c>
      <c r="K14" s="34">
        <v>24</v>
      </c>
      <c r="L14" s="7">
        <v>98334.583333333328</v>
      </c>
      <c r="M14" s="7">
        <v>3.7500000000000004</v>
      </c>
    </row>
    <row r="15" spans="2:13" x14ac:dyDescent="0.25">
      <c r="B15" s="2" t="s">
        <v>104</v>
      </c>
      <c r="C15" s="7">
        <v>3.6116279069767443</v>
      </c>
      <c r="E15" s="2" t="s">
        <v>49</v>
      </c>
      <c r="F15" s="34">
        <v>3.622746781115878</v>
      </c>
      <c r="J15" s="2" t="s">
        <v>97</v>
      </c>
      <c r="K15" s="34">
        <v>35</v>
      </c>
      <c r="L15" s="7">
        <v>104075.2</v>
      </c>
      <c r="M15" s="7">
        <v>3.9542857142857146</v>
      </c>
    </row>
    <row r="16" spans="2:13" x14ac:dyDescent="0.25">
      <c r="B16" s="2" t="s">
        <v>31</v>
      </c>
      <c r="C16" s="7">
        <v>3.8102040816326546</v>
      </c>
      <c r="E16" s="2" t="s">
        <v>4125</v>
      </c>
      <c r="F16" s="34">
        <v>3.7155069582504971</v>
      </c>
      <c r="J16" s="2" t="s">
        <v>73</v>
      </c>
      <c r="K16" s="34">
        <v>29</v>
      </c>
      <c r="L16" s="7">
        <v>107134.37931034483</v>
      </c>
      <c r="M16" s="7">
        <v>3.6</v>
      </c>
    </row>
    <row r="17" spans="2:13" x14ac:dyDescent="0.25">
      <c r="B17" s="2" t="s">
        <v>147</v>
      </c>
      <c r="C17" s="7">
        <v>3.7500000000000004</v>
      </c>
      <c r="J17" s="2" t="s">
        <v>13</v>
      </c>
      <c r="K17" s="34">
        <v>142</v>
      </c>
      <c r="L17" s="7">
        <v>114806.88732394367</v>
      </c>
      <c r="M17" s="7">
        <v>3.7253521126760565</v>
      </c>
    </row>
    <row r="18" spans="2:13" x14ac:dyDescent="0.25">
      <c r="B18" s="2" t="s">
        <v>97</v>
      </c>
      <c r="C18" s="7">
        <v>3.9542857142857146</v>
      </c>
      <c r="J18" s="2" t="s">
        <v>135</v>
      </c>
      <c r="K18" s="34">
        <v>26</v>
      </c>
      <c r="L18" s="7">
        <v>111577.46153846153</v>
      </c>
      <c r="M18" s="7">
        <v>3.7961538461538469</v>
      </c>
    </row>
    <row r="19" spans="2:13" x14ac:dyDescent="0.25">
      <c r="B19" s="2" t="s">
        <v>73</v>
      </c>
      <c r="C19" s="7">
        <v>3.6</v>
      </c>
      <c r="J19" s="2" t="s">
        <v>82</v>
      </c>
      <c r="K19" s="34">
        <v>46</v>
      </c>
      <c r="L19" s="7">
        <v>100699.95652173914</v>
      </c>
      <c r="M19" s="7">
        <v>3.6217391304347832</v>
      </c>
    </row>
    <row r="20" spans="2:13" x14ac:dyDescent="0.25">
      <c r="B20" s="2" t="s">
        <v>13</v>
      </c>
      <c r="C20" s="7">
        <v>3.7253521126760565</v>
      </c>
      <c r="E20" s="1" t="s">
        <v>4124</v>
      </c>
      <c r="F20" t="s">
        <v>4123</v>
      </c>
      <c r="J20" s="2" t="s">
        <v>46</v>
      </c>
      <c r="K20" s="34">
        <v>36</v>
      </c>
      <c r="L20" s="7">
        <v>113617.27777777778</v>
      </c>
      <c r="M20" s="7">
        <v>3.6972222222222211</v>
      </c>
    </row>
    <row r="21" spans="2:13" x14ac:dyDescent="0.25">
      <c r="B21" s="2" t="s">
        <v>135</v>
      </c>
      <c r="C21" s="7">
        <v>3.7961538461538469</v>
      </c>
      <c r="E21" s="2">
        <v>2.5</v>
      </c>
      <c r="F21" s="34">
        <v>14</v>
      </c>
      <c r="J21" s="2" t="s">
        <v>281</v>
      </c>
      <c r="K21" s="34">
        <v>37</v>
      </c>
      <c r="L21" s="7">
        <v>116962.35135135135</v>
      </c>
      <c r="M21" s="7">
        <v>3.5567567567567573</v>
      </c>
    </row>
    <row r="22" spans="2:13" x14ac:dyDescent="0.25">
      <c r="B22" s="2" t="s">
        <v>82</v>
      </c>
      <c r="C22" s="7">
        <v>3.6217391304347832</v>
      </c>
      <c r="E22" s="2">
        <v>2.6</v>
      </c>
      <c r="F22" s="34">
        <v>25</v>
      </c>
      <c r="J22" s="2" t="s">
        <v>4125</v>
      </c>
      <c r="K22" s="34">
        <v>503</v>
      </c>
      <c r="L22" s="34">
        <v>110451.89264413519</v>
      </c>
      <c r="M22" s="34">
        <v>3.7155069582504989</v>
      </c>
    </row>
    <row r="23" spans="2:13" x14ac:dyDescent="0.25">
      <c r="B23" s="2" t="s">
        <v>46</v>
      </c>
      <c r="C23" s="7">
        <v>3.6972222222222211</v>
      </c>
      <c r="E23" s="2">
        <v>2.7</v>
      </c>
      <c r="F23" s="34">
        <v>16</v>
      </c>
    </row>
    <row r="24" spans="2:13" x14ac:dyDescent="0.25">
      <c r="B24" s="2" t="s">
        <v>281</v>
      </c>
      <c r="C24" s="7">
        <v>3.5567567567567573</v>
      </c>
      <c r="E24" s="2">
        <v>2.8</v>
      </c>
      <c r="F24" s="34">
        <v>22</v>
      </c>
    </row>
    <row r="25" spans="2:13" x14ac:dyDescent="0.25">
      <c r="B25" s="2" t="s">
        <v>4125</v>
      </c>
      <c r="C25" s="34">
        <v>3.7155069582504989</v>
      </c>
      <c r="E25" s="2">
        <v>2.9</v>
      </c>
      <c r="F25" s="34">
        <v>20</v>
      </c>
    </row>
    <row r="26" spans="2:13" x14ac:dyDescent="0.25">
      <c r="E26" s="2">
        <v>3</v>
      </c>
      <c r="F26" s="34">
        <v>24</v>
      </c>
    </row>
    <row r="27" spans="2:13" x14ac:dyDescent="0.25">
      <c r="E27" s="2">
        <v>3.1</v>
      </c>
      <c r="F27" s="34">
        <v>19</v>
      </c>
    </row>
    <row r="28" spans="2:13" x14ac:dyDescent="0.25">
      <c r="B28" t="s">
        <v>4124</v>
      </c>
      <c r="C28" t="s">
        <v>4132</v>
      </c>
      <c r="E28" s="2">
        <v>3.2</v>
      </c>
      <c r="F28" s="34">
        <v>24</v>
      </c>
    </row>
    <row r="29" spans="2:13" x14ac:dyDescent="0.25">
      <c r="B29" s="2" t="s">
        <v>141</v>
      </c>
      <c r="C29" s="7">
        <f>GETPIVOTDATA("Performance_Rating",$B$13,"Job_Title",B29)</f>
        <v>3.7527777777777782</v>
      </c>
      <c r="E29" s="2">
        <v>3.3</v>
      </c>
      <c r="F29" s="34">
        <v>18</v>
      </c>
    </row>
    <row r="30" spans="2:13" x14ac:dyDescent="0.25">
      <c r="B30" s="2" t="s">
        <v>104</v>
      </c>
      <c r="C30" s="7">
        <f t="shared" ref="C30:C39" si="0">GETPIVOTDATA("Performance_Rating",$B$13,"Job_Title",B30)</f>
        <v>3.6116279069767443</v>
      </c>
      <c r="E30" s="2">
        <v>3.4</v>
      </c>
      <c r="F30" s="34">
        <v>23</v>
      </c>
    </row>
    <row r="31" spans="2:13" x14ac:dyDescent="0.25">
      <c r="B31" s="2" t="s">
        <v>31</v>
      </c>
      <c r="C31" s="7">
        <f t="shared" si="0"/>
        <v>3.8102040816326546</v>
      </c>
      <c r="E31" s="2">
        <v>3.5</v>
      </c>
      <c r="F31" s="34">
        <v>23</v>
      </c>
    </row>
    <row r="32" spans="2:13" x14ac:dyDescent="0.25">
      <c r="B32" s="2" t="s">
        <v>147</v>
      </c>
      <c r="C32" s="7">
        <f t="shared" si="0"/>
        <v>3.7500000000000004</v>
      </c>
      <c r="E32" s="2">
        <v>3.6</v>
      </c>
      <c r="F32" s="34">
        <v>19</v>
      </c>
    </row>
    <row r="33" spans="2:6" x14ac:dyDescent="0.25">
      <c r="B33" s="2" t="s">
        <v>97</v>
      </c>
      <c r="C33" s="7">
        <f t="shared" si="0"/>
        <v>3.9542857142857146</v>
      </c>
      <c r="E33" s="2">
        <v>3.7</v>
      </c>
      <c r="F33" s="34">
        <v>21</v>
      </c>
    </row>
    <row r="34" spans="2:6" x14ac:dyDescent="0.25">
      <c r="B34" s="2" t="s">
        <v>73</v>
      </c>
      <c r="C34" s="7">
        <f t="shared" si="0"/>
        <v>3.6</v>
      </c>
      <c r="E34" s="2">
        <v>3.8</v>
      </c>
      <c r="F34" s="34">
        <v>19</v>
      </c>
    </row>
    <row r="35" spans="2:6" x14ac:dyDescent="0.25">
      <c r="B35" s="2" t="s">
        <v>13</v>
      </c>
      <c r="C35" s="7">
        <f t="shared" si="0"/>
        <v>3.7253521126760565</v>
      </c>
      <c r="E35" s="2">
        <v>3.9</v>
      </c>
      <c r="F35" s="34">
        <v>25</v>
      </c>
    </row>
    <row r="36" spans="2:6" x14ac:dyDescent="0.25">
      <c r="B36" s="2" t="s">
        <v>135</v>
      </c>
      <c r="C36" s="7">
        <f t="shared" si="0"/>
        <v>3.7961538461538469</v>
      </c>
      <c r="E36" s="2">
        <v>4</v>
      </c>
      <c r="F36" s="34">
        <v>16</v>
      </c>
    </row>
    <row r="37" spans="2:6" x14ac:dyDescent="0.25">
      <c r="B37" s="2" t="s">
        <v>82</v>
      </c>
      <c r="C37" s="7">
        <f t="shared" si="0"/>
        <v>3.6217391304347832</v>
      </c>
      <c r="E37" s="2">
        <v>4.0999999999999996</v>
      </c>
      <c r="F37" s="34">
        <v>11</v>
      </c>
    </row>
    <row r="38" spans="2:6" x14ac:dyDescent="0.25">
      <c r="B38" s="2" t="s">
        <v>46</v>
      </c>
      <c r="C38" s="7">
        <f>GETPIVOTDATA("Performance_Rating",$B$13,"Job_Title",B38)</f>
        <v>3.6972222222222211</v>
      </c>
      <c r="E38" s="2">
        <v>4.2</v>
      </c>
      <c r="F38" s="34">
        <v>12</v>
      </c>
    </row>
    <row r="39" spans="2:6" x14ac:dyDescent="0.25">
      <c r="B39" s="2" t="s">
        <v>281</v>
      </c>
      <c r="C39" s="7">
        <f t="shared" si="0"/>
        <v>3.5567567567567573</v>
      </c>
      <c r="E39" s="2">
        <v>4.3</v>
      </c>
      <c r="F39" s="34">
        <v>22</v>
      </c>
    </row>
    <row r="40" spans="2:6" x14ac:dyDescent="0.25">
      <c r="B40" s="2" t="s">
        <v>4125</v>
      </c>
      <c r="C40">
        <f>GETPIVOTDATA("Performance_Rating",$B$13)</f>
        <v>3.7155069582504989</v>
      </c>
      <c r="E40" s="2">
        <v>4.4000000000000004</v>
      </c>
      <c r="F40" s="34">
        <v>24</v>
      </c>
    </row>
    <row r="41" spans="2:6" x14ac:dyDescent="0.25">
      <c r="E41" s="2">
        <v>4.5</v>
      </c>
      <c r="F41" s="34">
        <v>12</v>
      </c>
    </row>
    <row r="42" spans="2:6" x14ac:dyDescent="0.25">
      <c r="E42" s="2">
        <v>4.5999999999999996</v>
      </c>
      <c r="F42" s="34">
        <v>15</v>
      </c>
    </row>
    <row r="43" spans="2:6" x14ac:dyDescent="0.25">
      <c r="E43" s="2">
        <v>4.7</v>
      </c>
      <c r="F43" s="34">
        <v>19</v>
      </c>
    </row>
    <row r="44" spans="2:6" x14ac:dyDescent="0.25">
      <c r="E44" s="2">
        <v>4.8</v>
      </c>
      <c r="F44" s="34">
        <v>24</v>
      </c>
    </row>
    <row r="45" spans="2:6" x14ac:dyDescent="0.25">
      <c r="E45" s="2">
        <v>4.9000000000000004</v>
      </c>
      <c r="F45" s="34">
        <v>27</v>
      </c>
    </row>
    <row r="46" spans="2:6" x14ac:dyDescent="0.25">
      <c r="E46" s="2">
        <v>5</v>
      </c>
      <c r="F46" s="34">
        <v>9</v>
      </c>
    </row>
    <row r="47" spans="2:6" x14ac:dyDescent="0.25">
      <c r="E47" s="2" t="s">
        <v>4125</v>
      </c>
      <c r="F47" s="34">
        <v>503</v>
      </c>
    </row>
  </sheetData>
  <pageMargins left="0.7" right="0.7" top="0.75" bottom="0.75" header="0.3" footer="0.3"/>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E76DF-64C3-45BB-AE39-BC140D4F6022}">
  <dimension ref="B2:V30"/>
  <sheetViews>
    <sheetView showGridLines="0" zoomScale="81" zoomScaleNormal="81" workbookViewId="0">
      <selection activeCell="S14" sqref="S14:V27"/>
    </sheetView>
  </sheetViews>
  <sheetFormatPr defaultRowHeight="13.8" x14ac:dyDescent="0.25"/>
  <cols>
    <col min="2" max="2" width="12.19921875" bestFit="1" customWidth="1"/>
    <col min="3" max="3" width="19.5" bestFit="1" customWidth="1"/>
    <col min="19" max="19" width="12.19921875" bestFit="1" customWidth="1"/>
    <col min="20" max="20" width="15.19921875" bestFit="1" customWidth="1"/>
    <col min="21" max="21" width="19.5" bestFit="1" customWidth="1"/>
    <col min="22" max="22" width="26.296875" bestFit="1" customWidth="1"/>
    <col min="23" max="23" width="11.8984375" bestFit="1" customWidth="1"/>
    <col min="24" max="24" width="15.19921875" bestFit="1" customWidth="1"/>
    <col min="25" max="25" width="19.296875" bestFit="1" customWidth="1"/>
    <col min="26" max="26" width="26.19921875" bestFit="1" customWidth="1"/>
    <col min="27" max="27" width="11.8984375" bestFit="1" customWidth="1"/>
    <col min="28" max="28" width="15.8984375" bestFit="1" customWidth="1"/>
    <col min="29" max="44" width="26.19921875" bestFit="1" customWidth="1"/>
    <col min="45" max="45" width="23.796875" bestFit="1" customWidth="1"/>
    <col min="46" max="46" width="30.69921875" bestFit="1" customWidth="1"/>
    <col min="47" max="49" width="7.8984375" bestFit="1" customWidth="1"/>
    <col min="50" max="50" width="10.09765625" bestFit="1" customWidth="1"/>
  </cols>
  <sheetData>
    <row r="2" spans="2:22" x14ac:dyDescent="0.25">
      <c r="B2" s="1" t="s">
        <v>4124</v>
      </c>
      <c r="C2" t="s">
        <v>4130</v>
      </c>
    </row>
    <row r="3" spans="2:22" x14ac:dyDescent="0.25">
      <c r="B3" s="2" t="s">
        <v>124</v>
      </c>
      <c r="C3" s="34">
        <v>9777907</v>
      </c>
    </row>
    <row r="4" spans="2:22" x14ac:dyDescent="0.25">
      <c r="B4" s="2" t="s">
        <v>72</v>
      </c>
      <c r="C4" s="34">
        <v>9650543</v>
      </c>
    </row>
    <row r="5" spans="2:22" x14ac:dyDescent="0.25">
      <c r="B5" s="2" t="s">
        <v>103</v>
      </c>
      <c r="C5" s="34">
        <v>8290405</v>
      </c>
    </row>
    <row r="6" spans="2:22" x14ac:dyDescent="0.25">
      <c r="B6" s="2" t="s">
        <v>90</v>
      </c>
      <c r="C6" s="34">
        <v>8093305</v>
      </c>
    </row>
    <row r="7" spans="2:22" x14ac:dyDescent="0.25">
      <c r="B7" s="2" t="s">
        <v>30</v>
      </c>
      <c r="C7" s="34">
        <v>11022722</v>
      </c>
    </row>
    <row r="8" spans="2:22" x14ac:dyDescent="0.25">
      <c r="B8" s="2" t="s">
        <v>45</v>
      </c>
      <c r="C8" s="34">
        <v>8722420</v>
      </c>
    </row>
    <row r="9" spans="2:22" x14ac:dyDescent="0.25">
      <c r="B9" s="2" t="s">
        <v>4125</v>
      </c>
      <c r="C9" s="34">
        <v>55557302</v>
      </c>
    </row>
    <row r="15" spans="2:22" x14ac:dyDescent="0.25">
      <c r="S15" s="1" t="s">
        <v>4124</v>
      </c>
      <c r="T15" t="s">
        <v>4161</v>
      </c>
      <c r="U15" t="s">
        <v>4131</v>
      </c>
      <c r="V15" t="s">
        <v>4132</v>
      </c>
    </row>
    <row r="16" spans="2:22" x14ac:dyDescent="0.25">
      <c r="S16" s="2" t="s">
        <v>141</v>
      </c>
      <c r="T16" s="34">
        <v>36</v>
      </c>
      <c r="U16" s="7">
        <v>108037.55555555556</v>
      </c>
      <c r="V16" s="7">
        <v>3.7527777777777782</v>
      </c>
    </row>
    <row r="17" spans="2:22" x14ac:dyDescent="0.25">
      <c r="S17" s="2" t="s">
        <v>104</v>
      </c>
      <c r="T17" s="34">
        <v>43</v>
      </c>
      <c r="U17" s="7">
        <v>110736.93023255814</v>
      </c>
      <c r="V17" s="7">
        <v>3.6116279069767443</v>
      </c>
    </row>
    <row r="18" spans="2:22" x14ac:dyDescent="0.25">
      <c r="B18" s="1" t="s">
        <v>6</v>
      </c>
      <c r="C18" t="s">
        <v>4131</v>
      </c>
      <c r="S18" s="2" t="s">
        <v>31</v>
      </c>
      <c r="T18" s="34">
        <v>49</v>
      </c>
      <c r="U18" s="7">
        <v>113124.16326530612</v>
      </c>
      <c r="V18" s="7">
        <v>3.8102040816326546</v>
      </c>
    </row>
    <row r="19" spans="2:22" x14ac:dyDescent="0.25">
      <c r="B19" s="2" t="s">
        <v>141</v>
      </c>
      <c r="C19" s="34">
        <v>108037.55555555556</v>
      </c>
      <c r="S19" s="2" t="s">
        <v>147</v>
      </c>
      <c r="T19" s="34">
        <v>24</v>
      </c>
      <c r="U19" s="7">
        <v>98334.583333333328</v>
      </c>
      <c r="V19" s="7">
        <v>3.7500000000000004</v>
      </c>
    </row>
    <row r="20" spans="2:22" x14ac:dyDescent="0.25">
      <c r="B20" s="2" t="s">
        <v>104</v>
      </c>
      <c r="C20" s="34">
        <v>110736.93023255814</v>
      </c>
      <c r="S20" s="2" t="s">
        <v>97</v>
      </c>
      <c r="T20" s="34">
        <v>35</v>
      </c>
      <c r="U20" s="7">
        <v>104075.2</v>
      </c>
      <c r="V20" s="7">
        <v>3.9542857142857146</v>
      </c>
    </row>
    <row r="21" spans="2:22" x14ac:dyDescent="0.25">
      <c r="B21" s="2" t="s">
        <v>31</v>
      </c>
      <c r="C21" s="34">
        <v>113124.16326530612</v>
      </c>
      <c r="S21" s="2" t="s">
        <v>73</v>
      </c>
      <c r="T21" s="34">
        <v>29</v>
      </c>
      <c r="U21" s="7">
        <v>107134.37931034483</v>
      </c>
      <c r="V21" s="7">
        <v>3.6</v>
      </c>
    </row>
    <row r="22" spans="2:22" x14ac:dyDescent="0.25">
      <c r="B22" s="2" t="s">
        <v>147</v>
      </c>
      <c r="C22" s="34">
        <v>98334.583333333328</v>
      </c>
      <c r="S22" s="2" t="s">
        <v>13</v>
      </c>
      <c r="T22" s="34">
        <v>142</v>
      </c>
      <c r="U22" s="7">
        <v>114806.88732394367</v>
      </c>
      <c r="V22" s="7">
        <v>3.7253521126760565</v>
      </c>
    </row>
    <row r="23" spans="2:22" x14ac:dyDescent="0.25">
      <c r="B23" s="2" t="s">
        <v>97</v>
      </c>
      <c r="C23" s="34">
        <v>104075.2</v>
      </c>
      <c r="S23" s="2" t="s">
        <v>135</v>
      </c>
      <c r="T23" s="34">
        <v>26</v>
      </c>
      <c r="U23" s="7">
        <v>111577.46153846153</v>
      </c>
      <c r="V23" s="7">
        <v>3.7961538461538469</v>
      </c>
    </row>
    <row r="24" spans="2:22" x14ac:dyDescent="0.25">
      <c r="B24" s="2" t="s">
        <v>73</v>
      </c>
      <c r="C24" s="34">
        <v>107134.37931034483</v>
      </c>
      <c r="S24" s="2" t="s">
        <v>82</v>
      </c>
      <c r="T24" s="34">
        <v>46</v>
      </c>
      <c r="U24" s="7">
        <v>100699.95652173914</v>
      </c>
      <c r="V24" s="7">
        <v>3.6217391304347832</v>
      </c>
    </row>
    <row r="25" spans="2:22" x14ac:dyDescent="0.25">
      <c r="B25" s="2" t="s">
        <v>13</v>
      </c>
      <c r="C25" s="34">
        <v>114806.88732394367</v>
      </c>
      <c r="S25" s="2" t="s">
        <v>46</v>
      </c>
      <c r="T25" s="34">
        <v>36</v>
      </c>
      <c r="U25" s="7">
        <v>113617.27777777778</v>
      </c>
      <c r="V25" s="7">
        <v>3.6972222222222211</v>
      </c>
    </row>
    <row r="26" spans="2:22" x14ac:dyDescent="0.25">
      <c r="B26" s="2" t="s">
        <v>135</v>
      </c>
      <c r="C26" s="34">
        <v>111577.46153846153</v>
      </c>
      <c r="S26" s="2" t="s">
        <v>281</v>
      </c>
      <c r="T26" s="34">
        <v>37</v>
      </c>
      <c r="U26" s="7">
        <v>116962.35135135135</v>
      </c>
      <c r="V26" s="7">
        <v>3.5567567567567573</v>
      </c>
    </row>
    <row r="27" spans="2:22" x14ac:dyDescent="0.25">
      <c r="B27" s="2" t="s">
        <v>82</v>
      </c>
      <c r="C27" s="34">
        <v>100699.95652173914</v>
      </c>
      <c r="S27" s="2" t="s">
        <v>4125</v>
      </c>
      <c r="T27" s="34">
        <v>503</v>
      </c>
      <c r="U27" s="34">
        <v>110451.89264413519</v>
      </c>
      <c r="V27" s="34">
        <v>3.7155069582504989</v>
      </c>
    </row>
    <row r="28" spans="2:22" x14ac:dyDescent="0.25">
      <c r="B28" s="2" t="s">
        <v>46</v>
      </c>
      <c r="C28" s="34">
        <v>113617.27777777778</v>
      </c>
    </row>
    <row r="29" spans="2:22" x14ac:dyDescent="0.25">
      <c r="B29" s="2" t="s">
        <v>281</v>
      </c>
      <c r="C29" s="34">
        <v>116962.35135135135</v>
      </c>
    </row>
    <row r="30" spans="2:22" x14ac:dyDescent="0.25">
      <c r="B30" s="2" t="s">
        <v>4125</v>
      </c>
      <c r="C30" s="34">
        <v>110451.89264413519</v>
      </c>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CC54E-6347-41E4-A50A-C8E871724347}">
  <dimension ref="B2:Y1062"/>
  <sheetViews>
    <sheetView workbookViewId="0">
      <selection activeCell="P8" sqref="P8"/>
    </sheetView>
  </sheetViews>
  <sheetFormatPr defaultRowHeight="13.8" x14ac:dyDescent="0.25"/>
  <cols>
    <col min="1" max="1" width="11.8984375" bestFit="1" customWidth="1"/>
    <col min="2" max="2" width="18.796875" bestFit="1" customWidth="1"/>
    <col min="3" max="3" width="14.3984375" bestFit="1" customWidth="1"/>
    <col min="4" max="4" width="4.09765625" bestFit="1" customWidth="1"/>
    <col min="5" max="5" width="7.09765625" bestFit="1" customWidth="1"/>
    <col min="6" max="6" width="10.09765625" bestFit="1" customWidth="1"/>
    <col min="7" max="7" width="18.8984375" bestFit="1" customWidth="1"/>
    <col min="8" max="9" width="17.296875" customWidth="1"/>
    <col min="10" max="10" width="12.5" customWidth="1"/>
    <col min="11" max="12" width="17.296875" customWidth="1"/>
    <col min="15" max="15" width="11.8984375" bestFit="1" customWidth="1"/>
    <col min="16" max="16" width="19.296875" bestFit="1" customWidth="1"/>
    <col min="17" max="17" width="22.69921875" bestFit="1" customWidth="1"/>
    <col min="18" max="18" width="14.3984375" bestFit="1" customWidth="1"/>
    <col min="19" max="19" width="8.09765625" bestFit="1" customWidth="1"/>
    <col min="20" max="20" width="10.09765625" bestFit="1" customWidth="1"/>
    <col min="21" max="21" width="8.69921875" bestFit="1" customWidth="1"/>
    <col min="22" max="22" width="10.5" bestFit="1" customWidth="1"/>
    <col min="23" max="23" width="5.09765625" bestFit="1" customWidth="1"/>
    <col min="24" max="24" width="7.796875" bestFit="1" customWidth="1"/>
    <col min="25" max="25" width="7.69921875" bestFit="1" customWidth="1"/>
    <col min="26" max="26" width="12.3984375" bestFit="1" customWidth="1"/>
    <col min="27" max="27" width="8.5" bestFit="1" customWidth="1"/>
    <col min="28" max="28" width="8.19921875" bestFit="1" customWidth="1"/>
    <col min="29" max="29" width="10.09765625" bestFit="1" customWidth="1"/>
  </cols>
  <sheetData>
    <row r="2" spans="2:25" x14ac:dyDescent="0.25">
      <c r="C2" s="9" t="s">
        <v>4143</v>
      </c>
      <c r="D2" s="9"/>
      <c r="E2" s="9"/>
      <c r="F2" s="9"/>
      <c r="G2" s="9"/>
      <c r="H2" s="9"/>
      <c r="I2" s="9"/>
      <c r="J2" s="9"/>
      <c r="K2" s="9"/>
      <c r="L2" s="9"/>
      <c r="P2" s="30" t="s">
        <v>4160</v>
      </c>
      <c r="Q2" s="30"/>
      <c r="R2" s="30"/>
      <c r="S2" s="30"/>
      <c r="T2" s="30"/>
      <c r="U2" s="30"/>
      <c r="V2" s="30"/>
      <c r="W2" s="30"/>
      <c r="X2" s="30"/>
      <c r="Y2" s="30"/>
    </row>
    <row r="3" spans="2:25" ht="20.399999999999999" x14ac:dyDescent="0.35">
      <c r="B3" s="4"/>
      <c r="D3" s="9" t="s">
        <v>4141</v>
      </c>
      <c r="E3" s="9"/>
      <c r="F3" s="9"/>
      <c r="G3" s="9"/>
      <c r="H3" s="9"/>
      <c r="I3" s="9"/>
      <c r="J3" s="9"/>
      <c r="K3" s="9"/>
      <c r="L3" s="9"/>
      <c r="M3" s="9"/>
      <c r="N3" s="9"/>
      <c r="O3" s="9"/>
      <c r="P3" s="30"/>
      <c r="Q3" s="30"/>
      <c r="R3" s="30"/>
      <c r="S3" s="30"/>
      <c r="T3" s="30"/>
      <c r="U3" s="30"/>
      <c r="V3" s="30"/>
      <c r="W3" s="30"/>
      <c r="X3" s="30"/>
      <c r="Y3" s="30"/>
    </row>
    <row r="4" spans="2:25" x14ac:dyDescent="0.25">
      <c r="F4" s="9" t="s">
        <v>4142</v>
      </c>
      <c r="G4" s="9"/>
      <c r="H4" s="9"/>
      <c r="I4" s="9"/>
      <c r="J4" s="9"/>
      <c r="K4" s="9"/>
      <c r="L4" s="9"/>
      <c r="M4" s="9"/>
      <c r="P4" s="30"/>
      <c r="Q4" s="30"/>
      <c r="R4" s="30"/>
      <c r="S4" s="30"/>
      <c r="T4" s="30"/>
      <c r="U4" s="30"/>
      <c r="V4" s="30"/>
      <c r="W4" s="30"/>
      <c r="X4" s="30"/>
      <c r="Y4" s="30"/>
    </row>
    <row r="5" spans="2:25" x14ac:dyDescent="0.25">
      <c r="F5" s="9" t="s">
        <v>4146</v>
      </c>
      <c r="G5" s="9"/>
      <c r="H5" s="9"/>
      <c r="I5" s="9"/>
      <c r="J5" s="9"/>
      <c r="K5" s="9"/>
      <c r="L5" s="9"/>
      <c r="M5" s="9"/>
      <c r="N5" s="9"/>
      <c r="O5" s="9"/>
      <c r="P5" s="30"/>
      <c r="Q5" s="30"/>
      <c r="R5" s="30"/>
      <c r="S5" s="30"/>
      <c r="T5" s="30"/>
      <c r="U5" s="30"/>
      <c r="V5" s="30"/>
      <c r="W5" s="30"/>
      <c r="X5" s="30"/>
      <c r="Y5" s="30"/>
    </row>
    <row r="6" spans="2:25" x14ac:dyDescent="0.25">
      <c r="F6" s="9" t="s">
        <v>4145</v>
      </c>
      <c r="G6" s="9"/>
      <c r="H6" s="9"/>
      <c r="I6" s="9"/>
      <c r="J6" s="9"/>
      <c r="K6" s="9"/>
      <c r="L6" s="9"/>
      <c r="M6" s="9"/>
      <c r="N6" s="9"/>
      <c r="O6" s="9"/>
      <c r="P6" s="30"/>
      <c r="Q6" s="30"/>
      <c r="R6" s="30"/>
      <c r="S6" s="30"/>
      <c r="T6" s="30"/>
      <c r="U6" s="30"/>
      <c r="V6" s="30"/>
      <c r="W6" s="30"/>
      <c r="X6" s="30"/>
      <c r="Y6" s="30"/>
    </row>
    <row r="7" spans="2:25" x14ac:dyDescent="0.25">
      <c r="F7" s="24" t="s">
        <v>4144</v>
      </c>
      <c r="G7" s="24"/>
      <c r="H7" s="24"/>
      <c r="I7" s="24"/>
      <c r="J7" s="24"/>
      <c r="K7" s="24"/>
      <c r="L7" s="24"/>
      <c r="M7" s="24"/>
      <c r="N7" s="24"/>
      <c r="O7" s="24"/>
      <c r="P7" s="24"/>
    </row>
    <row r="8" spans="2:25" x14ac:dyDescent="0.25">
      <c r="D8" s="5" t="s">
        <v>4151</v>
      </c>
      <c r="G8" s="9"/>
      <c r="H8" s="9"/>
      <c r="I8" s="9"/>
      <c r="J8" s="9"/>
      <c r="K8" s="9"/>
      <c r="L8" s="9"/>
      <c r="M8" s="9"/>
      <c r="N8" s="9"/>
      <c r="O8" s="9"/>
    </row>
    <row r="9" spans="2:25" x14ac:dyDescent="0.25">
      <c r="D9" s="5" t="s">
        <v>4150</v>
      </c>
      <c r="G9" s="9"/>
      <c r="H9" s="9"/>
      <c r="I9" s="21" t="s">
        <v>4186</v>
      </c>
      <c r="J9" s="9"/>
      <c r="K9" s="9"/>
      <c r="L9" s="9"/>
      <c r="M9" s="9"/>
      <c r="N9" s="9"/>
      <c r="O9" s="9"/>
      <c r="P9" s="9"/>
    </row>
    <row r="10" spans="2:25" x14ac:dyDescent="0.25">
      <c r="F10" t="s">
        <v>4154</v>
      </c>
    </row>
    <row r="11" spans="2:25" x14ac:dyDescent="0.25">
      <c r="D11" s="31" t="s">
        <v>4156</v>
      </c>
      <c r="E11" s="24"/>
      <c r="I11" s="21" t="s">
        <v>4187</v>
      </c>
    </row>
    <row r="13" spans="2:25" x14ac:dyDescent="0.25">
      <c r="I13" s="21" t="s">
        <v>4188</v>
      </c>
    </row>
    <row r="15" spans="2:25" x14ac:dyDescent="0.25">
      <c r="I15" s="21" t="s">
        <v>4189</v>
      </c>
    </row>
    <row r="16" spans="2:25" ht="22.8" x14ac:dyDescent="0.4">
      <c r="H16" s="32" t="s">
        <v>4158</v>
      </c>
      <c r="I16" s="32"/>
    </row>
    <row r="18" spans="7:11" x14ac:dyDescent="0.25">
      <c r="H18" s="5" t="s">
        <v>4159</v>
      </c>
    </row>
    <row r="19" spans="7:11" ht="15" x14ac:dyDescent="0.25">
      <c r="G19" s="24"/>
      <c r="H19" s="24"/>
      <c r="I19" s="22" t="s">
        <v>4190</v>
      </c>
    </row>
    <row r="20" spans="7:11" x14ac:dyDescent="0.25">
      <c r="I20" s="23" t="s">
        <v>4191</v>
      </c>
    </row>
    <row r="21" spans="7:11" x14ac:dyDescent="0.25">
      <c r="I21" s="23" t="s">
        <v>4192</v>
      </c>
    </row>
    <row r="22" spans="7:11" x14ac:dyDescent="0.25">
      <c r="I22" s="23" t="s">
        <v>4193</v>
      </c>
    </row>
    <row r="23" spans="7:11" x14ac:dyDescent="0.25">
      <c r="I23" s="23" t="s">
        <v>4194</v>
      </c>
    </row>
    <row r="26" spans="7:11" x14ac:dyDescent="0.25">
      <c r="J26" s="24"/>
      <c r="K26" s="24"/>
    </row>
    <row r="41" spans="4:4" x14ac:dyDescent="0.25">
      <c r="D41" s="3"/>
    </row>
    <row r="52" spans="2:12" ht="22.8" x14ac:dyDescent="0.4">
      <c r="B52" s="28" t="s">
        <v>4136</v>
      </c>
      <c r="C52" s="29"/>
      <c r="E52" s="33"/>
      <c r="F52" s="24"/>
      <c r="H52" s="33"/>
      <c r="I52" s="24"/>
      <c r="K52" s="33"/>
      <c r="L52" s="24"/>
    </row>
    <row r="63" spans="2:12" ht="18" x14ac:dyDescent="0.35">
      <c r="D63" s="6" t="s">
        <v>4138</v>
      </c>
    </row>
    <row r="83" spans="5:12" ht="22.8" x14ac:dyDescent="0.4">
      <c r="F83" s="28" t="s">
        <v>4147</v>
      </c>
      <c r="G83" s="29"/>
      <c r="H83" s="29"/>
    </row>
    <row r="85" spans="5:12" x14ac:dyDescent="0.25">
      <c r="E85" s="24"/>
      <c r="F85" s="24"/>
      <c r="G85" s="24"/>
      <c r="H85" s="24"/>
      <c r="J85" s="24"/>
      <c r="K85" s="24"/>
    </row>
    <row r="88" spans="5:12" x14ac:dyDescent="0.25">
      <c r="K88" s="31"/>
      <c r="L88" s="31"/>
    </row>
    <row r="1062" spans="4:4" x14ac:dyDescent="0.25">
      <c r="D1062" t="s">
        <v>4139</v>
      </c>
    </row>
  </sheetData>
  <mergeCells count="15">
    <mergeCell ref="B52:C52"/>
    <mergeCell ref="F7:P7"/>
    <mergeCell ref="P2:Y6"/>
    <mergeCell ref="K88:L88"/>
    <mergeCell ref="D11:E11"/>
    <mergeCell ref="H16:I16"/>
    <mergeCell ref="G19:H19"/>
    <mergeCell ref="J26:K26"/>
    <mergeCell ref="K52:L52"/>
    <mergeCell ref="H52:I52"/>
    <mergeCell ref="E52:F52"/>
    <mergeCell ref="F83:H83"/>
    <mergeCell ref="E85:F85"/>
    <mergeCell ref="G85:H85"/>
    <mergeCell ref="J85:K8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HR_Data</vt:lpstr>
      <vt:lpstr>Pivot</vt:lpstr>
      <vt:lpstr>Executive Overview (DASH)</vt:lpstr>
      <vt:lpstr>Attrition &amp; Workforce</vt:lpstr>
      <vt:lpstr>Executive &amp; Manager</vt:lpstr>
      <vt:lpstr>Performance</vt:lpstr>
      <vt:lpstr>Compensation &amp; Salary</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Tarab Rashid</cp:lastModifiedBy>
  <dcterms:created xsi:type="dcterms:W3CDTF">2026-07-29T12:40:33Z</dcterms:created>
  <dcterms:modified xsi:type="dcterms:W3CDTF">2026-10-20T17:33:38Z</dcterms:modified>
</cp:coreProperties>
</file>